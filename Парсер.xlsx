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Сайт" sheetId="2" r:id="rId6"/>
    <sheet state="visible" name="Цены Авито АппГрейд" sheetId="3" r:id="rId7"/>
    <sheet state="visible" name="Ценники для ТГ и ИНСТ" sheetId="4" r:id="rId8"/>
    <sheet state="visible" name="Ценники ВК" sheetId="5" r:id="rId9"/>
    <sheet state="visible" name="Цены Авито KingStore" sheetId="6" r:id="rId10"/>
    <sheet state="visible" name="mgg Каталог" sheetId="7" r:id="rId11"/>
    <sheet state="visible" name="Статус" sheetId="8" r:id="rId12"/>
    <sheet state="visible" name="Лист6" sheetId="9" r:id="rId13"/>
  </sheets>
  <definedNames>
    <definedName hidden="1" localSheetId="1" name="_xlnm._FilterDatabase">'Сайт'!$A$1:$D$1400</definedName>
    <definedName hidden="1" localSheetId="2" name="_xlnm._FilterDatabase">'Цены Авито АппГрейд'!$A$1:$E$166</definedName>
  </definedNames>
  <calcPr/>
</workbook>
</file>

<file path=xl/sharedStrings.xml><?xml version="1.0" encoding="utf-8"?>
<sst xmlns="http://schemas.openxmlformats.org/spreadsheetml/2006/main" count="11326" uniqueCount="4835">
  <si>
    <t>ID</t>
  </si>
  <si>
    <t>Название устройства</t>
  </si>
  <si>
    <t>Ссылка Цифросити</t>
  </si>
  <si>
    <t>Категория</t>
  </si>
  <si>
    <t>Ссылка Репремиум</t>
  </si>
  <si>
    <t>Название</t>
  </si>
  <si>
    <t>Состояние</t>
  </si>
  <si>
    <t>Ссылка Девайс</t>
  </si>
  <si>
    <t>Подкатегория</t>
  </si>
  <si>
    <t>Актуальная цена</t>
  </si>
  <si>
    <t>Цена Цифросити</t>
  </si>
  <si>
    <t>Модель</t>
  </si>
  <si>
    <t>Новая цена</t>
  </si>
  <si>
    <t>Для бота</t>
  </si>
  <si>
    <t>Цена Репремиум</t>
  </si>
  <si>
    <t>Цена Девайс</t>
  </si>
  <si>
    <t>iPhone 17 Pro Max, 256 ГБ, SIM + eSIM</t>
  </si>
  <si>
    <t>Цена</t>
  </si>
  <si>
    <t>Б/У</t>
  </si>
  <si>
    <t>ID продукта</t>
  </si>
  <si>
    <t>Раздел</t>
  </si>
  <si>
    <t>Наименьшая цена</t>
  </si>
  <si>
    <t>Средняя цена</t>
  </si>
  <si>
    <t>[ iPhone 13 / 14 / 15 ]</t>
  </si>
  <si>
    <t>НАША ЦЕНА</t>
  </si>
  <si>
    <t>iPhone 13 128</t>
  </si>
  <si>
    <t>iPhone 15 Pro Max, 256 ГБ, SIM + eSIM</t>
  </si>
  <si>
    <t>Смартфон Apple iPhone 13 128 ГБ Темная ночь</t>
  </si>
  <si>
    <t>Телевизор SMART TV 43"</t>
  </si>
  <si>
    <t>Новый</t>
  </si>
  <si>
    <t>Наименование товара</t>
  </si>
  <si>
    <t>Цена по акции</t>
  </si>
  <si>
    <t>Рассрочка</t>
  </si>
  <si>
    <t>https://cifrocity.com/catalog/apple/iphone_13_13_pro_13_pro_max/apple_iphone_13_128gb_seryy/</t>
  </si>
  <si>
    <t>iPhone 18 Pro 256 Бургунди eSim</t>
  </si>
  <si>
    <t>Смартфон Apple iPhone 11 64 ГБ Чёрный</t>
  </si>
  <si>
    <t>Смартфон Apple iPhone 11 64 ГБ Желтый</t>
  </si>
  <si>
    <t>Смартфон Apple iPhone 11 64 ГБ Зелёный</t>
  </si>
  <si>
    <t>Смартфон Apple iPhone 11 64 ГБ Красный</t>
  </si>
  <si>
    <t>Смартфон Apple iPhone 11 64 ГБ Фиолетовый</t>
  </si>
  <si>
    <t>Смартфон Apple iPhone 11 64 ГБ Белый</t>
  </si>
  <si>
    <t>Смартфон Apple iPhone 11 128 ГБ Чёрный</t>
  </si>
  <si>
    <t>Смартфон Apple iPhone 11 128 ГБ Жёлтый</t>
  </si>
  <si>
    <t>Смартфон Apple iPhone 11 128 ГБ Зелёный</t>
  </si>
  <si>
    <t>Смартфон Apple iPhone 11 128 ГБ Красный</t>
  </si>
  <si>
    <t>Смартфон Apple iPhone 11 128 ГБ Фиолетовый</t>
  </si>
  <si>
    <t>Смартфон Apple iPhone 11 128 ГБ Белый</t>
  </si>
  <si>
    <t>Смартфон Apple iPhone 12 64 ГБ Чёрный</t>
  </si>
  <si>
    <t>Смартфон Apple iPhone 12 64 ГБ Белый</t>
  </si>
  <si>
    <t>Смартфон Apple iPhone 12 64 ГБ Зелёный</t>
  </si>
  <si>
    <t>https://mgg.stores-apple.com/catalog/apple-iphone-13-128-gb-chernyj/</t>
  </si>
  <si>
    <t>Смартфон Apple iPhone 12 64 ГБ Фиолетовый</t>
  </si>
  <si>
    <t>Смартфон Apple iPhone 12 64 ГБ Красный</t>
  </si>
  <si>
    <t>Смартфон Apple iPhone 12 64 ГБ Синий</t>
  </si>
  <si>
    <t>Смартфон Apple iPhone 12 128 ГБ Чёрный</t>
  </si>
  <si>
    <t>Смартфон Apple iPhone 12 128 ГБ Белый</t>
  </si>
  <si>
    <t>Смартфон Apple iPhone 12 128 ГБ Зелёный</t>
  </si>
  <si>
    <t>Смартфон Apple iPhone 12 128 ГБ Фиолетовый</t>
  </si>
  <si>
    <t>Смартфон Apple iPhone 12 128 ГБ Синий</t>
  </si>
  <si>
    <t>Смартфон Apple iPhone 12 128 ГБ Красный</t>
  </si>
  <si>
    <t>Игровой ноутбук Neobieher</t>
  </si>
  <si>
    <t>iPhone 13, 128 ГБ, SIM + eSIM</t>
  </si>
  <si>
    <t>Телевизор SMART TV 32"</t>
  </si>
  <si>
    <t>iPhone 17 Pro Max, 512 ГБ, SIM + eSIM</t>
  </si>
  <si>
    <t>iPhone 18 Pro Max 512 Небесно-голубой eSim</t>
  </si>
  <si>
    <t>iPhone 11, 128 ГБ, SIM + eSIM</t>
  </si>
  <si>
    <t>iPhone 18 Pro Max 256 Небесно-голубой eSim</t>
  </si>
  <si>
    <t>Смартфон Apple iPhone 13 128 ГБ Сияющая звезда</t>
  </si>
  <si>
    <t>https://mgg.stores-apple.com/catalog/apple-iphone-13-128-gb-belyj/</t>
  </si>
  <si>
    <t>iPhone 18 Pro Max 512 Бургунди eSim</t>
  </si>
  <si>
    <t>iPhone</t>
  </si>
  <si>
    <t>iPhone 14 128</t>
  </si>
  <si>
    <t>Смартфон Apple iPhone 14 128 ГБ Темная ночь</t>
  </si>
  <si>
    <t>https://mgg.stores-apple.com/catalog/apple-iphone-14-128-gb-polnoch/</t>
  </si>
  <si>
    <t>iPhone 18 Pro Max 256 Бургунди eSim</t>
  </si>
  <si>
    <t>Смартфон Apple iPhone 13 128 ГБ Красный</t>
  </si>
  <si>
    <t>Смартфон Apple iPhone 13 128 ГБ Розовый</t>
  </si>
  <si>
    <t>Смартфон Apple iPhone 13 128 ГБ Синий</t>
  </si>
  <si>
    <t>Смартфон Apple iPhone 13 128 ГБ Зелёный</t>
  </si>
  <si>
    <t>Смартфон Apple iPhone 13 256 ГБ Темная ночь</t>
  </si>
  <si>
    <t>Смартфон Apple iPhone 13 256 ГБ Сияющая звезда</t>
  </si>
  <si>
    <t>Смартфон Apple iPhone 13 256 ГБ Красный</t>
  </si>
  <si>
    <t>Смартфон Apple iPhone 13 256 ГБ Розовый</t>
  </si>
  <si>
    <t>iPhone 11, 64 ГБ, SIM + eSIM</t>
  </si>
  <si>
    <t>Смартфон Apple iPhone 13 256 ГБ Синий</t>
  </si>
  <si>
    <t>Apple Watch SE2 44mm</t>
  </si>
  <si>
    <t>Смартфон Apple iPhone 13 256 ГБ Зелёный</t>
  </si>
  <si>
    <t>iPhone 16e, 128 ГБ, eSIM</t>
  </si>
  <si>
    <t>Смартфон Apple iPhone 13 512 ГБ Темная ночь</t>
  </si>
  <si>
    <t>iPhone 15, 128 ГБ, SIM + eSIM</t>
  </si>
  <si>
    <t>Смартфон Apple iPhone 13 512 ГБ Сияющая звезда</t>
  </si>
  <si>
    <t>iPhone 18 Pro 512 Бургунди eSim</t>
  </si>
  <si>
    <t>Смартфон Apple iPhone 13 512 ГБ Красный</t>
  </si>
  <si>
    <t>Смартфон Apple iPhone 13 512 ГБ Розовый</t>
  </si>
  <si>
    <t>iPhone 15 128</t>
  </si>
  <si>
    <t>Смартфон Apple iPhone 13 512 ГБ Синий</t>
  </si>
  <si>
    <t>Смартфон Apple iPhone 15 128 ГБ Чёрный</t>
  </si>
  <si>
    <t>Смартфон Apple iPhone 13 512 ГБ Зелёный</t>
  </si>
  <si>
    <t>https://cifrocity.com/catalog/apple/iphone_15/apple_iphone_15_128gb_seryy/</t>
  </si>
  <si>
    <t>Наушники Яндекс Дропс</t>
  </si>
  <si>
    <t>JBL Boombox 3</t>
  </si>
  <si>
    <t>Игра NHL 26 PS5</t>
  </si>
  <si>
    <t>Dyson Supersonic HD18 / Дайсон</t>
  </si>
  <si>
    <t>Беспроводной PowerBank Voltme 5.000 mAh</t>
  </si>
  <si>
    <t>Игра God Of War 3 PS4</t>
  </si>
  <si>
    <t>https://mgg.stores-apple.com/catalog/apple-iphone-15-128-gb-black/</t>
  </si>
  <si>
    <t>MacBook Air 15 M5 16/1024 Рассрочка. Гарантия</t>
  </si>
  <si>
    <t>ПОЗЖЕ</t>
  </si>
  <si>
    <t>Игра Dead Island 2 PS4</t>
  </si>
  <si>
    <t>Смартфон Samsung Galaxy S26 256 ГБ белый</t>
  </si>
  <si>
    <t>Смартфон Apple iPhone 14 128 ГБ Cияющая звезда</t>
  </si>
  <si>
    <t>Смартфон Apple iPhone 14 128 ГБ Синий</t>
  </si>
  <si>
    <t>Смартфон Apple iPhone 14 128 ГБ Фиолетовый</t>
  </si>
  <si>
    <t>Смартфон Apple iPhone 14 128 ГБ Красный</t>
  </si>
  <si>
    <t>Смартфон Apple iPhone 14 256 ГБ Темная ночь</t>
  </si>
  <si>
    <t>Смартфон Apple iPhone 14 256 ГБ Cияющая звезда</t>
  </si>
  <si>
    <t>Игра Robocop Rogue City PS5</t>
  </si>
  <si>
    <t>https://девайс-прайс.рф/product/apple-iphone-15/apple-iphone-15-128gb-chernyi-bez-rustore</t>
  </si>
  <si>
    <t>Смартфон Apple iPhone 14 256 ГБ Синий</t>
  </si>
  <si>
    <t>Игра The Last Of Us Part 1 PS5</t>
  </si>
  <si>
    <t>Смартфон Apple iPhone 14 256 ГБ Фиолетовый</t>
  </si>
  <si>
    <t>Смартфон Apple iPhone 14 256 ГБ Красный</t>
  </si>
  <si>
    <t>Адаптер питания Voltme 45W 2USB-C / USB</t>
  </si>
  <si>
    <t>Смартфон Samsung Galaxy S25 Plus 12/512 ГБ, зелёный</t>
  </si>
  <si>
    <t>Смартфон Apple iPhone 14 512 ГБ Темная ночь</t>
  </si>
  <si>
    <t>iPhone 15 256</t>
  </si>
  <si>
    <t>Смартфон Apple iPhone 15 128 ГБ Синий</t>
  </si>
  <si>
    <t>Смартфон Apple iPhone 14 512 ГБ Cияющая звезда</t>
  </si>
  <si>
    <t>https://cifrocity.com/catalog/apple/iphone_15/apple_iphone_15_128gb_siniy/</t>
  </si>
  <si>
    <t>Смартфон Apple iPhone 14 512 ГБ Синий</t>
  </si>
  <si>
    <t>Смартфон Apple iPhone 14 512 ГБ Фиолетовый</t>
  </si>
  <si>
    <t>Смартфон Apple iPhone 14 512 ГБ Красный</t>
  </si>
  <si>
    <t>Смартфон Apple iPhone 15 128 ГБ Розовый</t>
  </si>
  <si>
    <t>Смартфон Samsung Galaxy S26 512 ГБ белый</t>
  </si>
  <si>
    <t>https://mgg.stores-apple.com/catalog/apple-iphone-15-128-gb-siniy/</t>
  </si>
  <si>
    <t>Смартфон Samsung Galaxy S25 FE 8/512 синий/белый</t>
  </si>
  <si>
    <t>https://девайс-прайс.рф/product/apple-iphone-15/apple-iphone-15-128gb-sinii-bez-rustore</t>
  </si>
  <si>
    <t>iPhone 15 plus 128</t>
  </si>
  <si>
    <t>Смартфон Apple iPhone 15 128 ГБ Зелёный</t>
  </si>
  <si>
    <t>https://mgg.stores-apple.com/catalog/apple-iphone-15-128-gb-green/</t>
  </si>
  <si>
    <t>MacBook Air 13 M5 24/1024 Рассрочка. Гарантия</t>
  </si>
  <si>
    <t>Смартфон Samsung Galaxy S26 Ultra 512 ГБ серебристый</t>
  </si>
  <si>
    <t>https://mgg.stores-apple.com/catalog/apple-iphone-15-128-gb-pink/</t>
  </si>
  <si>
    <t>Смарт-часы Apple Watch SE 3 44 мм, тёмная ночь</t>
  </si>
  <si>
    <t>iPhone 15 plus 256</t>
  </si>
  <si>
    <t>Зарядная станция acefast 3 в 1</t>
  </si>
  <si>
    <t>Смарт-часы Apple Watch SE 3 44 мм, сияющая звезда</t>
  </si>
  <si>
    <t>Смартфон Apple iPhone 15 256 ГБ Чёрный</t>
  </si>
  <si>
    <t>https://cifrocity.com/catalog/apple/iphone_15/apple_iphone_15_256gb_chernyy/</t>
  </si>
  <si>
    <t>Игра Mortal Kombat 1 PS5</t>
  </si>
  <si>
    <t>Игра Resident Evil 4 PS4</t>
  </si>
  <si>
    <t>https://mgg.stores-apple.com/catalog/apple-iphone-15-256-gb-black/</t>
  </si>
  <si>
    <t>Игра Mafia The Old Country PS5</t>
  </si>
  <si>
    <t>Адаптер питания Voltme 20W</t>
  </si>
  <si>
    <t>[ iPhone 16 ]</t>
  </si>
  <si>
    <t>Игра EA FC 26 PS4</t>
  </si>
  <si>
    <t>iPhone 16e 128</t>
  </si>
  <si>
    <t>Смартфон Samsung Galaxy S25 Edge 12/256 ГБ черный</t>
  </si>
  <si>
    <t>https://девайс-прайс.рф/product/apple-iphone-15/apple-iphone-15-256gb-chernyi-bez-rustore</t>
  </si>
  <si>
    <t>Игра Hogwarts Legacy PS5</t>
  </si>
  <si>
    <t>Смартфон Apple iPhone 15 256 ГБ Синий</t>
  </si>
  <si>
    <t>https://cifrocity.com/catalog/apple/iphone_15/apple_iphone_15_256gb_siniy/</t>
  </si>
  <si>
    <t>Ray-Ban Wayfarer RW4008 Shiny Black/Clear L</t>
  </si>
  <si>
    <t>Игра Mortal Kombat 11 PS5</t>
  </si>
  <si>
    <t>Смартфон Samsung Galaxy S26 Ultra 256 ГБ черный/белый</t>
  </si>
  <si>
    <t>https://mgg.stores-apple.com/catalog/apple-iphone-15-256-gb-siniy/</t>
  </si>
  <si>
    <t>Игра UFC 5 PS5</t>
  </si>
  <si>
    <t>Игра The Crew PS4</t>
  </si>
  <si>
    <t>Смарт-часы Apple Watch SE 3 40 мм, сияющая звезда</t>
  </si>
  <si>
    <t>Смартфон Apple iPhone 15 128 ГБ Желтый</t>
  </si>
  <si>
    <t>iPhone 16e 256</t>
  </si>
  <si>
    <t>https://девайс-прайс.рф/product/apple-iphone-15/apple-iphone-15-256gb-sinii-bez-rustore</t>
  </si>
  <si>
    <t>Смартфон Samsung Galaxy S25 12/512 ГБ розовый</t>
  </si>
  <si>
    <t>Смартфон Apple iPhone 15 256 ГБ Зелёный</t>
  </si>
  <si>
    <t>https://mgg.stores-apple.com/catalog/apple-iphone-15-256-gb-green/</t>
  </si>
  <si>
    <t>Зарядная станция Apple Watch</t>
  </si>
  <si>
    <t>Смартфон Samsung Galaxy S25 FE 8/256 черный/белый</t>
  </si>
  <si>
    <t>Смартфон Apple iPhone 15 256 ГБ Розовый</t>
  </si>
  <si>
    <t>https://mgg.stores-apple.com/catalog/apple-iphone-15-256-gb-pink/</t>
  </si>
  <si>
    <t>Беспроводные наушники hoco ANC</t>
  </si>
  <si>
    <t>iPhone 16 128</t>
  </si>
  <si>
    <t>Смартфон Samsung Galaxy S25 Edge 12/512 ГБ черный</t>
  </si>
  <si>
    <t>Смартфон Apple iPhone 16 128 ГБ ультрамарин</t>
  </si>
  <si>
    <t>Игра Grand The Auto (GTA ) 5 PS5</t>
  </si>
  <si>
    <t>Игра Village Resident Evil PS5</t>
  </si>
  <si>
    <t>MacBook Air 13 M5 16/1024 Рассрочка. Гарантия</t>
  </si>
  <si>
    <t>Игра The Last Of Us Part 2 Remastered PS5</t>
  </si>
  <si>
    <t>Игра Mafia 3 PS4</t>
  </si>
  <si>
    <t>https://cifrocity.com/catalog/apple/iphone_16/apple_iphone_16_128gb_ultramarinovyy/</t>
  </si>
  <si>
    <t>MacBook Air 15 M5 16/512 Рассрочка. Гарантия</t>
  </si>
  <si>
    <t>Игра Watch Dogs Legion PS4</t>
  </si>
  <si>
    <t>MacBook Air 15 M5 24/1024 Рассрочка. Гарантия</t>
  </si>
  <si>
    <t>Игра Mass Effect Andromeda PS4</t>
  </si>
  <si>
    <t>MacBook Air 13 M5 16/512 Рассрочка. Гарантия</t>
  </si>
  <si>
    <t>https://mgg.stores-apple.com/catalog/smartfon-apple-iphone-16-128-gb-ultramarin/</t>
  </si>
  <si>
    <t>https://девайс-прайс.рф/product/apple-iphone-16/apple-iphone-16-128gb-ultramarin-bez-rustore</t>
  </si>
  <si>
    <t>iPhone 16 256</t>
  </si>
  <si>
    <t>Кабель питания Original Apple</t>
  </si>
  <si>
    <t>Смартфон Apple iPhone 15 256 ГБ Желтый</t>
  </si>
  <si>
    <t>Игра Tekken 8 PS5</t>
  </si>
  <si>
    <t>Смартфон Samsung Galaxy S26 Plus 512 ГБ серебристый</t>
  </si>
  <si>
    <r>
      <rPr>
        <rFont val="Arial"/>
        <color rgb="FF1155CC"/>
        <u/>
      </rPr>
      <t>Смартфон Apple iPhone 16 128 ГБ чёрный</t>
    </r>
  </si>
  <si>
    <t>Замена аккумулятора iPhone / Android</t>
  </si>
  <si>
    <t>Apple macbook air 13 2020 i3</t>
  </si>
  <si>
    <t>Ремонт телефонов iPhone/Android</t>
  </si>
  <si>
    <t>JBL Xtreme 4</t>
  </si>
  <si>
    <t>Смартфон Samsung Galaxy S25 Ultra 12/512 ГБ, серый</t>
  </si>
  <si>
    <t>Смартфон Apple iPhone 15 512 ГБ Розовый</t>
  </si>
  <si>
    <t>iPhone 16 Plus 128</t>
  </si>
  <si>
    <t>Смартфон Apple iPhone 15 512 ГБ Синий</t>
  </si>
  <si>
    <t>Смартфон Apple iPhone 15 512 ГБ Чёрный</t>
  </si>
  <si>
    <t>Наушники Apple AirPods Max USB-C полуночный черный MWW43</t>
  </si>
  <si>
    <t>Смартфон Apple iPhone 15 512 ГБ Желтый</t>
  </si>
  <si>
    <t>Смартфон Apple iPhone 15 512 ГБ Зелёный</t>
  </si>
  <si>
    <t>Смартфон Apple iPhone 15 Pro 128 ГБ Синий титан</t>
  </si>
  <si>
    <t>Смартфон Apple iPhone 15 Pro 128 ГБ Натуральный титан</t>
  </si>
  <si>
    <t>Смартфон Apple iPhone 15 Pro 128 ГБ Белый титан</t>
  </si>
  <si>
    <t>https://cifrocity.com/catalog/apple/iphone_16/apple_iphone_16_128gb_chernyy/</t>
  </si>
  <si>
    <t>Смартфон Apple iPhone 15 Pro 128 ГБ Черный титан</t>
  </si>
  <si>
    <t>iPhone 16 Plus 256</t>
  </si>
  <si>
    <t>Беспроводные наушники AirPods Pro (3-го поколения)</t>
  </si>
  <si>
    <t>Смартфон Apple iPhone 15 Pro 256 ГБ Синий титан</t>
  </si>
  <si>
    <t>Смартфон Apple iPhone 15 Pro 256 ГБ Натуральный титан</t>
  </si>
  <si>
    <t>Смартфон Apple iPhone 15 Pro 256 ГБ Белый титан</t>
  </si>
  <si>
    <t>Смартфон Apple iPhone 15 Pro 256 ГБ Черный титан</t>
  </si>
  <si>
    <t>Смартфон Apple iPhone 15 Pro 512 ГБ Синий титан</t>
  </si>
  <si>
    <t>Смартфон Apple iPhone 15 Pro 512 ГБ Натуральный титан</t>
  </si>
  <si>
    <t>Смартфон Apple iPhone 15 Pro 512 ГБ Белый титан</t>
  </si>
  <si>
    <t>iPhone 17 512 Лавандовый eSim</t>
  </si>
  <si>
    <t>Смартфон Apple iPhone 15 Pro 512 ГБ Черный титан</t>
  </si>
  <si>
    <t>Смартфон Apple iPhone 15 Pro 1 ТБ Синий титан</t>
  </si>
  <si>
    <t>iPhone 16 Pro 128</t>
  </si>
  <si>
    <t>Смартфон Apple iPhone 15 Pro 1 ТБ Натуральный титан</t>
  </si>
  <si>
    <t>Смартфон Apple iPhone 15 Pro 1 ТБ Белый титан</t>
  </si>
  <si>
    <t>Смартфон Apple iPhone 15 Pro 1 ТБ Черный титан</t>
  </si>
  <si>
    <t>Смартфон Apple iPhone 15 Pro Max 256 ГБ Натуральный титан</t>
  </si>
  <si>
    <t>https://mgg.stores-apple.com/catalog/smartfon-apple-iphone-16-128-gb-chernyj/</t>
  </si>
  <si>
    <t>iPhone 17 512 Чёрный eSim</t>
  </si>
  <si>
    <t>Смартфон Apple IPhone 15 Pro Max 256 ГБ Белый титан</t>
  </si>
  <si>
    <t>Смартфон Apple iPhone 15 Pro Max 256 ГБ Синий титан</t>
  </si>
  <si>
    <t>https://девайс-прайс.рф/product/apple-iphone-16/apple-iphone-16-128gb-chernyi-bez-rustore</t>
  </si>
  <si>
    <t>Смартфон Apple iPhone 15 Pro Max 256 ГБ Черный титан</t>
  </si>
  <si>
    <t>Смартфон Apple iPhone 15 Pro Max 512 ГБ Синий титан</t>
  </si>
  <si>
    <t>Смартфон Apple iPhone 15 Pro Max 512 ГБ Натуральный титан</t>
  </si>
  <si>
    <t>iPhone 17 256 Лавандовый Sim</t>
  </si>
  <si>
    <t>Смартфон Apple iPhone 15 Pro Max 512 ГБ Белый титан</t>
  </si>
  <si>
    <t>iPhone 16 Pro Max 256</t>
  </si>
  <si>
    <t>Смартфон Apple iPhone 15 Pro Max 512 ГБ Черный титан</t>
  </si>
  <si>
    <t>Смартфон Apple iPhone 15 Pro Max 1 ТБ Синий титан</t>
  </si>
  <si>
    <t>Смартфон Apple iPhone 15 Pro Max 1 ТБ Натуральный титан</t>
  </si>
  <si>
    <r>
      <rPr>
        <color rgb="FF1155CC"/>
        <u/>
      </rPr>
      <t>Смартфон Apple iPhone 16 128 ГБ белый</t>
    </r>
  </si>
  <si>
    <t>Смартфон Apple iPhone 15 Pro Max 1 ТБ Белый титан</t>
  </si>
  <si>
    <t>Смартфон Apple iPhone 15 Pro Max 1 ТБ Черный титан</t>
  </si>
  <si>
    <t>iPhone 17 512 Синий Sim</t>
  </si>
  <si>
    <t>Смартфон Apple iPhone 16 128 ГБ белый</t>
  </si>
  <si>
    <t>[ iPhone 17 ]</t>
  </si>
  <si>
    <t>Версия с физической сим-картой:</t>
  </si>
  <si>
    <t>iPhone 17E 256</t>
  </si>
  <si>
    <t>iPhone 17 256 Синий Sim</t>
  </si>
  <si>
    <t>iPhone 17 256 Синий eSim</t>
  </si>
  <si>
    <t>https://cifrocity.com/catalog/apple/iphone_16/apple_iphone_16_128gb_belyy/</t>
  </si>
  <si>
    <t>iPhone 17 256</t>
  </si>
  <si>
    <t>Смартфон Apple iPhone 16 128 ГБ бирюзовый</t>
  </si>
  <si>
    <t>iPhone 17 512 Чёрный Sim</t>
  </si>
  <si>
    <t>iPhone 17 512</t>
  </si>
  <si>
    <t>https://mgg.stores-apple.com/catalog/smartfon-apple-iphone-16-128-gb-belyj/</t>
  </si>
  <si>
    <t>iPhone 17 256 Чёрный Sim</t>
  </si>
  <si>
    <t>Смартфон Apple iPhone 16 128 ГБ розовый</t>
  </si>
  <si>
    <t>iPhone 17 256 Зелёный eSim</t>
  </si>
  <si>
    <r>
      <rPr>
        <color rgb="FF1155CC"/>
        <u/>
      </rPr>
      <t>Смартфон Apple iPhone 16 128 ГБ бирюзовый</t>
    </r>
  </si>
  <si>
    <t>iPhone 17 Pro 256</t>
  </si>
  <si>
    <t>iPhone 17 256 Зелёный Sim</t>
  </si>
  <si>
    <t>iPhone 17 256 Лавандовый eSim</t>
  </si>
  <si>
    <t>https://cifrocity.com/catalog/apple/iphone_16/apple_iphone_16_128gb_zelenyy/</t>
  </si>
  <si>
    <t>iPhone 17 Pro 512</t>
  </si>
  <si>
    <t>Смартфон Apple iPhone 16 128 ГБ чёрный</t>
  </si>
  <si>
    <t>iPhone 17 256 Чёрный eSim</t>
  </si>
  <si>
    <t>iPhone 17 512 Зелёный eSim</t>
  </si>
  <si>
    <t>https://mgg.stores-apple.com/catalog/smartfon-apple-iphone-16-128-gb-biryuzovyj/</t>
  </si>
  <si>
    <t>https://девайс-прайс.рф/product/apple-iphone-16/apple-iphone-16-128gb-biriuzovyi-bez-rustore</t>
  </si>
  <si>
    <t>Смартфон Apple iPhone 16 256 ГБ белый</t>
  </si>
  <si>
    <t>iPhone 17 Pro 1024</t>
  </si>
  <si>
    <t>Выкуп техники Apple</t>
  </si>
  <si>
    <r>
      <rPr>
        <color rgb="FF1155CC"/>
        <u/>
      </rPr>
      <t>Смартфон Apple iPhone 16 128 ГБ розовый</t>
    </r>
  </si>
  <si>
    <t>Смартфон Apple iPhone 16 256 ГБ бирюзовый</t>
  </si>
  <si>
    <t>iPhone 17 Pro Max 2048 Оранжевый Sim</t>
  </si>
  <si>
    <t>iPhone 17 Pro Max 256</t>
  </si>
  <si>
    <t>https://cifrocity.com/catalog/apple/iphone_16/apple_iphone_16_128gb_rozovyy/</t>
  </si>
  <si>
    <t>iPhone 17 Pro 256 Оранжевый Sim</t>
  </si>
  <si>
    <t>Смартфон Apple iPhone 16 256 ГБ розовый</t>
  </si>
  <si>
    <t>https://mgg.stores-apple.com/catalog/smartfon-apple-iphone-16-128-gb-rozovyj/</t>
  </si>
  <si>
    <t>iPhone 17 Pro 512 Синий Sim</t>
  </si>
  <si>
    <t>https://девайс-прайс.рф/product/apple-iphone-16/apple-iphone-16-128gb-rozovyi-bez-rustore</t>
  </si>
  <si>
    <t>Смартфон Apple iPhone 16 256 ГБ ультрамарин</t>
  </si>
  <si>
    <t>https://mgg.stores-apple.com/catalog/smartfon-apple-iphone-16-256-gb-ultramarin-obmen/</t>
  </si>
  <si>
    <t>iPhone 17 Pro 1024 Оранжевый Sim</t>
  </si>
  <si>
    <t>iPhone 17 Pro Max 512</t>
  </si>
  <si>
    <t>Смартфон Apple iPhone 16 256 ГБ чёрный</t>
  </si>
  <si>
    <t>iPhone 17 Pro 1024 Оранжевый eSim</t>
  </si>
  <si>
    <r>
      <rPr>
        <rFont val="Arial"/>
        <color rgb="FF1155CC"/>
        <u/>
      </rPr>
      <t>Смартфон Apple iPhone 16 256 ГБ чёрный</t>
    </r>
  </si>
  <si>
    <t>https://cifrocity.com/catalog/apple/iphone_16/apple_iphone_16_256gb_chernyy/</t>
  </si>
  <si>
    <t>iPhone 17 Pro Max 1024</t>
  </si>
  <si>
    <t>https://mgg.stores-apple.com/catalog/smartfon-apple-iphone-16-256-gb-chernyj-obmen/</t>
  </si>
  <si>
    <t>Смартфон Apple iPhone 16 512 ГБ белый</t>
  </si>
  <si>
    <t>iPhone 17 Pro Max 2048</t>
  </si>
  <si>
    <t>Смартфон Apple iPhone 16 512 ГБ бирюзовый</t>
  </si>
  <si>
    <t>Смартфон Apple iPhone 16 512 ГБ розовый</t>
  </si>
  <si>
    <t>Смартфон Apple iPhone 16 512 ГБ ультрамарин</t>
  </si>
  <si>
    <t>iPhone 17 Pro Max 1024 Серебристый eSim</t>
  </si>
  <si>
    <t>Смартфон Apple iPhone 16 512 ГБ чёрный</t>
  </si>
  <si>
    <t>https://cifrocity.com/catalog/apple/iphone_16/apple_iphone_16_256gb_belyy/</t>
  </si>
  <si>
    <t>Смартфон Apple iPhone 16 Plus 128 ГБ белый</t>
  </si>
  <si>
    <t>iPhone 17 Pro Max 512 Синий eSim</t>
  </si>
  <si>
    <t>Версия без физической сим-карты:</t>
  </si>
  <si>
    <t>https://mgg.stores-apple.com/catalog/smartfon-apple-iphone-16-256-gb-belyj-obmen/</t>
  </si>
  <si>
    <t>iPhone 17 Pro Max 1024 Серебристый Sim</t>
  </si>
  <si>
    <t>https://cifrocity.com/catalog/apple/iphone_16/apple_iphone_16_256gb_zelenyy/</t>
  </si>
  <si>
    <t>iPhone 17 Pro Max 512 Серебристый Sim</t>
  </si>
  <si>
    <t>Смартфон Apple iPhone 16 Plus 128 ГБ бирюзовый</t>
  </si>
  <si>
    <t>iPhone 17 Pro 256 Оранжевый eSim</t>
  </si>
  <si>
    <t>https://mgg.stores-apple.com/catalog/smartfon-apple-iphone-16-256-gb-biryuzovyj-obmen/</t>
  </si>
  <si>
    <t>iPhone Air 256</t>
  </si>
  <si>
    <t>iPhone 17 Pro Max 1024 Синий Sim</t>
  </si>
  <si>
    <t>https://cifrocity.com/catalog/apple/iphone_16/apple_iphone_16_256gb_rozovyy/</t>
  </si>
  <si>
    <t>iPhone 17 Pro Max 1024 Оранжевый Sim</t>
  </si>
  <si>
    <t>iPhone Air 512</t>
  </si>
  <si>
    <t>Смартфон Apple iPhone 16 Plus 128 ГБ розовый</t>
  </si>
  <si>
    <t>https://mgg.stores-apple.com/catalog/smartfon-apple-iphone-16-256-gb-rozovyj-obmen/</t>
  </si>
  <si>
    <t>iPhone 17 Pro Max 256 Синий Sim</t>
  </si>
  <si>
    <t>iPhone 17 Pro Max 256 Оранжевый eSim</t>
  </si>
  <si>
    <t>iPhone Air 1024</t>
  </si>
  <si>
    <r>
      <rPr>
        <rFont val="Arial"/>
        <color rgb="FF1155CC"/>
        <u/>
      </rPr>
      <t>Смартфон Apple iPhone 16e 128 ГБ Чёрный</t>
    </r>
  </si>
  <si>
    <t>https://mgg.stores-apple.com/catalog/smartfon-apple-iphone-16e-128-gb-chernyj/</t>
  </si>
  <si>
    <t>iPhone 17 Pro 1024 Серебристый eSim</t>
  </si>
  <si>
    <t>Смартфон Apple iPhone 16 Plus 128 ГБ ультрамарин</t>
  </si>
  <si>
    <t>iPhone 17 Pro 512 Серебристый Sim</t>
  </si>
  <si>
    <r>
      <rPr>
        <rFont val="Arial"/>
        <color rgb="FF1155CC"/>
        <u/>
      </rPr>
      <t>Смартфон Apple iPhone 16e 128 ГБ Белый</t>
    </r>
  </si>
  <si>
    <t>https://mgg.stores-apple.com/catalog/smartfon-apple-iphone-16e-128-gb-belyy/</t>
  </si>
  <si>
    <t>iPhone 17 Pro 256 Синий eSim</t>
  </si>
  <si>
    <t>iPhone 17 Pro 256 Серебристый Sim</t>
  </si>
  <si>
    <t>Смартфон Apple iPhone 16 Plus 128 ГБ чёрный</t>
  </si>
  <si>
    <r>
      <rPr>
        <rFont val="Arial"/>
        <color rgb="FF1155CC"/>
        <u/>
      </rPr>
      <t>Смартфон Apple iPhone 16e 256 ГБ Чёрный</t>
    </r>
  </si>
  <si>
    <t>https://cifrocity.com/catalog/apple/iphone_16/apple_iphone_16e_256gb_2sim_chernyy_bez_rustore/</t>
  </si>
  <si>
    <t>iPhone 17 Pro Max 1024 Оранжевый eSim</t>
  </si>
  <si>
    <t>Смартфон Apple iPhone 16 Plus 256 ГБ белый</t>
  </si>
  <si>
    <t>https://mgg.stores-apple.com/catalog/smartfon-apple-iphone-16e-256-gb-chernyj/</t>
  </si>
  <si>
    <t>iPhone 17 Pro Max 512 Серебристый eSim</t>
  </si>
  <si>
    <t>iPhone 17 Pro Max 256 Серебристый Sim</t>
  </si>
  <si>
    <t>Смартфон Apple iPhone 16 Plus 256 ГБ бирюзовый</t>
  </si>
  <si>
    <t>Смартфон Apple iPhone 16e 256 ГБ Белый</t>
  </si>
  <si>
    <t>https://cifrocity.com/catalog/apple/iphone_16/apple_iphone_16e_256gb_2sim_belyy_bez_rustore/</t>
  </si>
  <si>
    <t>iPhone 17 Pro 256 Серебристый eSim</t>
  </si>
  <si>
    <t>https://mgg.stores-apple.com/catalog/smartfon-apple-iphone-16e-256-gb-belyy/</t>
  </si>
  <si>
    <t>Смартфон Apple iPhone 16 Plus 256 ГБ розовый</t>
  </si>
  <si>
    <t>iPhone 17 Pro Max 2048 Серебристый Sim</t>
  </si>
  <si>
    <t>iPhone 17 Pro Max 512 Оранжевый eSim</t>
  </si>
  <si>
    <r>
      <rPr>
        <rFont val="Arial"/>
        <color rgb="FF1155CC"/>
        <u/>
      </rPr>
      <t>Смартфон Apple iPhone 16 Plus 128 ГБ ультрамарин</t>
    </r>
  </si>
  <si>
    <t>https://repremium.ru/magnitogorsk/catalog/smartfon_apple_iphone_16_plus_128_gb_fioletovyy/</t>
  </si>
  <si>
    <t>iPhone 17 Pro Max 512 Оранжевый Sim</t>
  </si>
  <si>
    <t>Смартфон Apple iPhone 16 Plus 256 ГБ ультрамарин</t>
  </si>
  <si>
    <t>iPhone 17 Pro Max 2048 Серебристый eSim</t>
  </si>
  <si>
    <r>
      <rPr>
        <rFont val="Arial"/>
        <color rgb="FF1155CC"/>
        <u/>
      </rPr>
      <t>Смартфон Apple iPhone 16 Plus 128 ГБ чёрный</t>
    </r>
  </si>
  <si>
    <t>Смартфон Apple iPhone 16 Plus 256 ГБ чёрный</t>
  </si>
  <si>
    <t>https://mgg.stores-apple.com/catalog/smartfon-apple-iphone-16-plus-128-gb-ultramarin/</t>
  </si>
  <si>
    <t>iPhone 17 Pro 1024 Синий eSim</t>
  </si>
  <si>
    <t>Смартфон Apple iPhone 16 Plus 512 ГБ белый</t>
  </si>
  <si>
    <t>iPhone 17 Pro Max 256 Синий eSim</t>
  </si>
  <si>
    <t>[ iPhone 18 ]</t>
  </si>
  <si>
    <t>Смартфон Apple iPhone 16 Plus 512 ГБ бирюзовый</t>
  </si>
  <si>
    <r>
      <rPr>
        <rFont val="Arial"/>
        <color rgb="FF1155CC"/>
        <u/>
      </rPr>
      <t>Смартфон Apple iPhone 16 Plus 128 ГБ белый</t>
    </r>
  </si>
  <si>
    <t>Смартфон Apple iPhone 16 Plus 512 ГБ розовый</t>
  </si>
  <si>
    <t xml:space="preserve">iPhone 18 Pro 256 </t>
  </si>
  <si>
    <t>https://mgg.stores-apple.com/catalog/smartfon-apple-iphone-16-plus-128-gb-belyj/</t>
  </si>
  <si>
    <t>Смартфон Apple iPhone 16 Plus 512 ГБ ультрамарин</t>
  </si>
  <si>
    <t>Смартфон Apple iPhone 16 Plus 512 ГБ чёрный</t>
  </si>
  <si>
    <t>iPhone 17 Pro Max 2048 Синий Sim</t>
  </si>
  <si>
    <t>Смартфон Apple iPhone 16 Pro 128 ГБ белый титан</t>
  </si>
  <si>
    <t>iPhone 17 Pro Max 2048 Синий eSim</t>
  </si>
  <si>
    <r>
      <rPr>
        <rFont val="Arial"/>
        <color rgb="FF1155CC"/>
        <u/>
      </rPr>
      <t>Смартфон Apple iPhone 16 Plus 128 ГБ бирюзовый</t>
    </r>
  </si>
  <si>
    <t>https://mgg.stores-apple.com/catalog/smartfon-apple-iphone-16-plus-128-gb-biryuzovyj/</t>
  </si>
  <si>
    <t>iPhone 18 Pro 512</t>
  </si>
  <si>
    <t>iPhone 17 Pro 512 Оранжевый eSim</t>
  </si>
  <si>
    <t>Смартфон Apple iPhone 16 Pro 128 ГБ пустынный титан</t>
  </si>
  <si>
    <t>iPhone 17 Pro Max 1024 Синий eSim</t>
  </si>
  <si>
    <r>
      <rPr>
        <rFont val="Arial"/>
        <color rgb="FF1155CC"/>
        <u/>
      </rPr>
      <t>Смартфон Apple iPhone 16 Plus 128 ГБ розовый</t>
    </r>
  </si>
  <si>
    <t>iPhone 17 Pro 1024 Синий Sim</t>
  </si>
  <si>
    <t>Смартфон Apple iPhone 16 Pro 128 ГБ натуральный титан</t>
  </si>
  <si>
    <t>https://mgg.stores-apple.com/catalog/smartfon-apple-iphone-16-plus-128-gb-rozovyj/</t>
  </si>
  <si>
    <t>iPhone 17 Pro 512 Оранжевый Sim</t>
  </si>
  <si>
    <t>Смартфон Apple iPhone 16 Pro 128 ГБ черный титан</t>
  </si>
  <si>
    <t>iPhone 17 Pro 256 Синий Sim</t>
  </si>
  <si>
    <r>
      <rPr>
        <rFont val="Arial"/>
        <color rgb="FF1155CC"/>
        <u/>
      </rPr>
      <t>Смартфон Apple iPhone 16 Plus 256 ГБ ультрамарин</t>
    </r>
  </si>
  <si>
    <t>https://mgg.stores-apple.com/catalog/smartfon-apple-iphone-16-plus-256-gb-ultramarin/</t>
  </si>
  <si>
    <t>iPhone 17 Pro Max 2048 Оранжевый eSim</t>
  </si>
  <si>
    <t>Смартфон Apple iPhone 16 Pro 256 ГБ белый титан</t>
  </si>
  <si>
    <t>iPhone 18 Pro 1024</t>
  </si>
  <si>
    <t>Смартфон Apple iPhone 16 Pro 256 ГБ пустынный титан</t>
  </si>
  <si>
    <t>Fifa 2026 ps 5</t>
  </si>
  <si>
    <t>Смартфон Apple iPhone 16 Pro 256 ГБ натуральный титан</t>
  </si>
  <si>
    <r>
      <rPr>
        <rFont val="Arial"/>
        <color rgb="FF1155CC"/>
        <u/>
      </rPr>
      <t>Смартфон Apple iPhone 16 Plus 256 ГБ чёрный</t>
    </r>
  </si>
  <si>
    <t>Смартфон Apple iPhone 16 Pro 256 ГБ черный титан</t>
  </si>
  <si>
    <t>https://mgg.stores-apple.com/catalog/smartfon-apple-iphone-16-plus-256-gb-chernyj/</t>
  </si>
  <si>
    <t>Смартфон Apple iPhone 16 Pro 512 ГБ белый титан</t>
  </si>
  <si>
    <t>Смартфон Apple iPhone 16 Pro 512 ГБ пустынный титан</t>
  </si>
  <si>
    <t>Смартфон Apple iPhone 16 Pro 512 ГБ натуральный титан</t>
  </si>
  <si>
    <t>Смартфон Apple iPhone 16 Pro 512 ГБ черный титан</t>
  </si>
  <si>
    <t>Смартфон Apple iPhone 16 Pro 1 ТБ белый титан</t>
  </si>
  <si>
    <t>Смартфон Apple iPhone 16 Pro 1 ТБ пустынный титан</t>
  </si>
  <si>
    <t>Смартфон Apple iPhone 16 Pro 1 ТБ натуральный титан</t>
  </si>
  <si>
    <t>Смартфон Apple iPhone 16 Pro 1 ТБ черный титан</t>
  </si>
  <si>
    <t>Смартфон Apple iPhone 16 Pro Max 256 ГБ белый титан</t>
  </si>
  <si>
    <t>iPhone 18 Pro 2048</t>
  </si>
  <si>
    <t>Планшет Apple iPad 11" 2025 Wi‑Fi 128 ГБ голубой</t>
  </si>
  <si>
    <r>
      <rPr>
        <rFont val="Arial"/>
        <color rgb="FF1155CC"/>
        <u/>
      </rPr>
      <t>Смартфон Apple iPhone 16 Plus 256 ГБ белый</t>
    </r>
  </si>
  <si>
    <t>https://mgg.stores-apple.com/catalog/smartfon-apple-iphone-16-plus-256-gb-belyj/</t>
  </si>
  <si>
    <t>iPhone 17 Pro 512 Серебристый eSim</t>
  </si>
  <si>
    <t>Смартфон Apple iPhone 16 Pro Max 256 ГБ пустынный титан</t>
  </si>
  <si>
    <r>
      <rPr>
        <rFont val="Arial"/>
        <color rgb="FF1155CC"/>
        <u/>
      </rPr>
      <t>Смартфон Apple iPhone 16 Plus 256 ГБ бирюзовый</t>
    </r>
  </si>
  <si>
    <t>https://mgg.stores-apple.com/catalog/smartfon-apple-iphone-16-plus-256-gb-biryuzovyj/</t>
  </si>
  <si>
    <t>iPhone 17 Pro Max 256 Серебристый eSim</t>
  </si>
  <si>
    <t>Смартфон Apple iPhone 16 Pro Max 256 ГБ натуральный титан</t>
  </si>
  <si>
    <t>Смартфон Apple iPhone 16 Pro Max 256 ГБ черный титан</t>
  </si>
  <si>
    <r>
      <rPr>
        <rFont val="Arial"/>
        <color rgb="FF1155CC"/>
        <u/>
      </rPr>
      <t>Смартфон Apple iPhone 16 Plus 256 ГБ розовый</t>
    </r>
  </si>
  <si>
    <t>https://mgg.stores-apple.com/catalog/smartfon-apple-iphone-16-plus-256-gb-rozovyj/</t>
  </si>
  <si>
    <t>Смартфон Apple iPhone 16 Pro Max 512 ГБ белый титан</t>
  </si>
  <si>
    <t>Смартфон Apple iPhone 16 Pro Max 512 ГБ пустынный титан</t>
  </si>
  <si>
    <t>Беспроводные наушники Marshall Major 5 белый</t>
  </si>
  <si>
    <t>Смартфон Apple iPhone 16 Pro Max 512 ГБ натуральный титан</t>
  </si>
  <si>
    <t>Смартфон Samsung Galaxy S25 Plus 12/256 ГБ, зелёный</t>
  </si>
  <si>
    <t>Смартфон Apple iPhone 16 Pro Max 512 ГБ черный титан</t>
  </si>
  <si>
    <t>Смартфон Apple iPhone 16 Pro Max 1 ТБ белый титан</t>
  </si>
  <si>
    <t>Смартфон Apple iPhone 16 Pro Max 1 ТБ пустынный титан</t>
  </si>
  <si>
    <t>Смартфон Apple iPhone 16 Pro Max 1 ТБ натуральный титан</t>
  </si>
  <si>
    <t>Смартфон Apple iPhone 16 Pro Max 1 ТБ черный титан</t>
  </si>
  <si>
    <t>Планшет Apple iPad (9th generation) 10,2" Wi-Fi 64 ГБ серый космос</t>
  </si>
  <si>
    <t>Планшет Apple iPad (9th generation) 10,2" Wi-Fi 64 ГБ серебристый</t>
  </si>
  <si>
    <t>Планшет Apple iPad (9th generation) 10,2" Wi-Fi 256 ГБ серый космос</t>
  </si>
  <si>
    <t>Планшет Apple iPad (9th generation) 10,2" Wi-Fi 256 ГБ серебристый</t>
  </si>
  <si>
    <t>https://mgg.stores-apple.com/catalog/smartfon-apple-iphone-16-pro-128-gb-pustynnyj-titan/</t>
  </si>
  <si>
    <t>Планшет Apple iPad 10,9" 2022 Wi‑Fi 64 ГБ голубой</t>
  </si>
  <si>
    <t>Планшет Apple iPad 10,9" 2022 Wi‑Fi 64 ГБ желтый</t>
  </si>
  <si>
    <t>Зарядная станция DualSense PS5</t>
  </si>
  <si>
    <t>Планшет Apple iPad 10,9" 2022 Wi‑Fi 64 ГБ розовый</t>
  </si>
  <si>
    <t>Планшет Apple iPad 10,9" 2022 Wi‑Fi 64 ГБ серебристый</t>
  </si>
  <si>
    <t>Планшет Apple iPad 10,9" 2022 LTE 64 ГБ голубой</t>
  </si>
  <si>
    <t>Смартфон Samsung Galaxy S25 Ultra 12/512 ГБ синий титан</t>
  </si>
  <si>
    <t>Планшет Apple iPad 10,9" 2022 LTE 64 ГБ желтый</t>
  </si>
  <si>
    <t>Планшет Apple iPad 10,9" 2022 LTE 64 ГБ розовый</t>
  </si>
  <si>
    <t>Планшет Apple iPad 10,9" 2022 LTE 64 ГБ серебристый</t>
  </si>
  <si>
    <t>Планшет Apple iPad 10,9" 2022 Wi‑Fi 256 ГБ голубой</t>
  </si>
  <si>
    <t>Планшет Apple iPad 10,9" 2022 Wi‑Fi 256 ГБ желтый</t>
  </si>
  <si>
    <t>Планшет Apple iPad 10,9" 2022 Wi‑Fi 256 ГБ розовый</t>
  </si>
  <si>
    <t>Планшет Apple iPad 10,9" 2022 Wi‑Fi 256 ГБ серебристый</t>
  </si>
  <si>
    <t>Планшет Apple iPad 10,9" 2022 LTE 256 ГБ голубой</t>
  </si>
  <si>
    <t>Планшет Apple iPad 10,9" 2022 LTE 256 ГБ желтый</t>
  </si>
  <si>
    <t>Планшет Apple iPad 10,9" 2022 LTE 256 ГБ розовый</t>
  </si>
  <si>
    <t>Смартфон Samsung Galaxy S25 12/256 ГБ розовый</t>
  </si>
  <si>
    <t>Планшет Apple iPad 10,9" 2022 LTE 256 ГБ серебристый</t>
  </si>
  <si>
    <t>https://mgg.stores-apple.com/catalog/smartfon-apple-iphone-16-pro-128-gb-belyj-titan/</t>
  </si>
  <si>
    <t>Планшет Apple iPad Pro (2024, M4) 11" Wi-Fi 256 ГБ серебристый</t>
  </si>
  <si>
    <t>Samsung Galaxy S24 Ultra, 12/512 ГБ</t>
  </si>
  <si>
    <t>Выпрямитель Dyson Airstrait HT01 (Ceramic PinkSakura Gold) 1</t>
  </si>
  <si>
    <t>https://mgg.stores-apple.com/catalog/smartfon-apple-iphone-16-pro-128-gb-naturalnyj-titan/</t>
  </si>
  <si>
    <t>Планшет Apple iPad Pro (2024, M4) 11" LTE 256 ГБ серебристый</t>
  </si>
  <si>
    <t>Планшет Apple iPad Pro (2024, M4) 11" Wi-Fi 256 ГБ серый космос</t>
  </si>
  <si>
    <t>Apple Pencil (USB-C)</t>
  </si>
  <si>
    <t xml:space="preserve">iPhone 18 Pro Max 256 </t>
  </si>
  <si>
    <t>Яндекс станция Макс бирюзовый 1</t>
  </si>
  <si>
    <t>https://mgg.stores-apple.com/catalog/smartfon-apple-iphone-16-pro-128-gb-chernyj-titan/</t>
  </si>
  <si>
    <t>Планшет Apple iPad Pro (2024, M4) 11" LTE 256 ГБ серый космос</t>
  </si>
  <si>
    <t>Смартфон Samsung Galaxy S25 Ultra 12/256 ГБ розовый титан</t>
  </si>
  <si>
    <t>Планшет Apple iPad Pro (2024, M4) 11" LTE 512 ГБ серебристый</t>
  </si>
  <si>
    <t>Планшет Apple iPad Pro (2024, M4) 11" LTE 512 ГБ серый космос</t>
  </si>
  <si>
    <t>https://mgg.stores-apple.com/catalog/smartfon-apple-iphone-16-pro-max-256-gb-pustynnyj-titan/</t>
  </si>
  <si>
    <t>iPhone 18 Pro Max 512</t>
  </si>
  <si>
    <t>Планшет Apple iPad Pro (2024, M4) 11" Wi-Fi 512 ГБ серебристый</t>
  </si>
  <si>
    <t>Яндекс станция мини 3</t>
  </si>
  <si>
    <t>Стайлер Dyson Airwrap Complete Long HS08 Ceramic Patina/Topaz</t>
  </si>
  <si>
    <t>Яндекс станция лайт 2 с часами Рассрочка/Гарантия</t>
  </si>
  <si>
    <t>Беспроводные наушники Apple AirPods 4, без активного шумоподавления</t>
  </si>
  <si>
    <t>https://mgg.stores-apple.com/catalog/smartfon-apple-iphone-16-pro-max-256-gb-belyj-titan-obmen/</t>
  </si>
  <si>
    <t>Планшет Apple iPad Pro (2024, M4) 11" Wi-Fi 512 ГБ серый космос</t>
  </si>
  <si>
    <t>Беспроводные наушники Apple AirPods 4, с активным шумоподавленем</t>
  </si>
  <si>
    <t>iPhone 18 Pro Max 1024</t>
  </si>
  <si>
    <t>Планшет Apple iPad Pro (2024, M4) 11" Wi-Fi 1 ТБ серый космос</t>
  </si>
  <si>
    <t>Apple Pencil Pro</t>
  </si>
  <si>
    <t>Планшет Apple iPad Pro (2024, M4) 11" Wi-Fi 1 ТБ серебристый</t>
  </si>
  <si>
    <t>https://mgg.stores-apple.com/catalog/smartfon-apple-iphone-16-pro-max-256-gb-naturalnyj-titan-obmen/</t>
  </si>
  <si>
    <t>Apple Magic Mouse 3 белая</t>
  </si>
  <si>
    <t>Планшет Apple iPad Pro (2024, M4) 13" Wi-Fi 256 ГБ серый космос</t>
  </si>
  <si>
    <t>iPhone 18 Pro Max 2048</t>
  </si>
  <si>
    <t>Фен Dyson Supersonic HD16 Vinca Blue/Topaz</t>
  </si>
  <si>
    <t>Умная колонка Яндекс Станция Миди с Алисой на YaGPT оранжевый</t>
  </si>
  <si>
    <t>Планшет Apple iPad Pro (2024, M4) 13" Wi-Fi 256 ГБ серебристый</t>
  </si>
  <si>
    <t>Умная колонка Яндекс Станция Мини 2 с Алисой синий сапфир</t>
  </si>
  <si>
    <t>https://mgg.stores-apple.com/catalog/smartfon-apple-iphone-16-pro-max-256-gb-chernyj-titan-obmen/</t>
  </si>
  <si>
    <t>Планшет Apple iPad Pro (2024, M4) 13" LTE 256 ГБ серый космос</t>
  </si>
  <si>
    <t>Планшет Apple iPad Pro (2024, M4) 13" LTE 256 ГБ серебристый</t>
  </si>
  <si>
    <t>Беспроводные наушники AirPods Pro (2nd generation)</t>
  </si>
  <si>
    <t>Планшет Apple iPad Pro (2024, M4) 13" Wi-Fi 512 ГБ серый космос</t>
  </si>
  <si>
    <t>iPhone 17e 256 черный SIM</t>
  </si>
  <si>
    <t>Игровая приставка Sony PlayStation 5 Slim 1 ТБ</t>
  </si>
  <si>
    <t>https://mgg.stores-apple.com/catalog/smartfon_apple_iphone_17e_256_gb_chernyy/</t>
  </si>
  <si>
    <t>Планшет Apple iPad Pro (2024, M4) 13" Wi-Fi 512 ГБ серебристый</t>
  </si>
  <si>
    <t>Геймпад Sony Playstation 5 DualSense Wireless Controller, белый</t>
  </si>
  <si>
    <t>Умная колонка Яндекс Станция 2 с Алисой синий кобальт</t>
  </si>
  <si>
    <t>https://девайс-прайс.рф/product/iphone-17e/apple-iphone-17e-256gb-simesim-chernyj-bez-rustore</t>
  </si>
  <si>
    <t>Dyson Airwrap Complete Long HS05 Кредит/Гарантия</t>
  </si>
  <si>
    <t>iPhone 17e 256 белый SIM</t>
  </si>
  <si>
    <t>https://mgg.stores-apple.com/catalog/smartfon_apple_iphone_17e_256_gb_belyy/</t>
  </si>
  <si>
    <t>Планшет Apple iPad Pro (2024, M4) 13" LTE 512 ГБ серый космос</t>
  </si>
  <si>
    <t>https://девайс-прайс.рф/product/iphone-17e/apple-iphone-17e-256gb-simesim-belyj-bez-rustore</t>
  </si>
  <si>
    <t>Планшет Apple iPad Pro (2024, M4) 13" LTE 512 ГБ серебристый</t>
  </si>
  <si>
    <t>iPhone 17e 256 розовый SIM</t>
  </si>
  <si>
    <t>https://mgg.stores-apple.com/catalog/smartfon_apple_iphone_17e_256_gb_rozovyy/</t>
  </si>
  <si>
    <t>Планшет Apple iPad Pro (2024, M4) 13" Wi-Fi 1 ТБ серый космос</t>
  </si>
  <si>
    <t>Планшет Apple iPad Pro (2024, M4) 13" Wi-Fi 1 ТБ серебристый</t>
  </si>
  <si>
    <t>https://девайс-прайс.рф/product/iphone-17e/apple-iphone-17e-256gb-simesim-rozovyj-bez-rustore</t>
  </si>
  <si>
    <t>iPhone 17e 256 черный eSIM</t>
  </si>
  <si>
    <t>https://mgg.stores-apple.com/catalog/smartfon_apple_iphone_17e_256_gb_chernyy_esim/</t>
  </si>
  <si>
    <t>id</t>
  </si>
  <si>
    <t>available</t>
  </si>
  <si>
    <t>name</t>
  </si>
  <si>
    <t>price</t>
  </si>
  <si>
    <t>old_price</t>
  </si>
  <si>
    <t>Планшет Apple iPad Pro (2024, M4) 13" LTE 1 ТБ серый космос</t>
  </si>
  <si>
    <t>currencyId</t>
  </si>
  <si>
    <t>categoryId</t>
  </si>
  <si>
    <t>vkCategory</t>
  </si>
  <si>
    <t>weight</t>
  </si>
  <si>
    <t>dimensions</t>
  </si>
  <si>
    <t>ae_stock</t>
  </si>
  <si>
    <t>url</t>
  </si>
  <si>
    <t>picture</t>
  </si>
  <si>
    <t>description</t>
  </si>
  <si>
    <t>category_name</t>
  </si>
  <si>
    <t>Планшет Apple iPad Pro (2024, M4) 13" LTE 1 ТБ серебристый</t>
  </si>
  <si>
    <t>iPhone 17e 256 белый eSIM</t>
  </si>
  <si>
    <t>https://mgg.stores-apple.com/catalog/smartfon_apple_iphone_17e_256_gb_belyy_esim/</t>
  </si>
  <si>
    <t>Планшет Apple iPad Air (2024, M2) 11"Wi-Fi 128 ГБ серый космос</t>
  </si>
  <si>
    <t>Планшет Apple iPad Air (2024, M2) 11"Wi-Fi 128 ГБ синий</t>
  </si>
  <si>
    <t>Планшет Apple iPad Air (2024, M2) 11"Wi-Fi 128 ГБ сияющая звезда</t>
  </si>
  <si>
    <t>Планшет Apple iPad Air (2024, M2) 11"Wi-Fi 128 ГБ фиолетовый</t>
  </si>
  <si>
    <t>Планшет Apple iPad Air (2024, M2) 11"Wi-Fi 256 ГБ серый космос</t>
  </si>
  <si>
    <t>Планшет Apple iPad Air (2024, M2) 11"Wi-Fi 256 ГБ синий</t>
  </si>
  <si>
    <t>Планшет Apple iPad Air (2024, M2) 11"Wi-Fi 256 ГБ сияющая звезда</t>
  </si>
  <si>
    <t>Планшет Apple iPad Air (2024, M2) 11"Wi-Fi 256 ГБ фиолетовый</t>
  </si>
  <si>
    <t>iPhone 17e 256 розовый eSIM</t>
  </si>
  <si>
    <t>https://mgg.stores-apple.com/catalog/smartfon_apple_iphone_17e_256_gb_rozovyy_esim/</t>
  </si>
  <si>
    <t>Планшет Apple iPad Air (2024, M2) 11" LTE 128 ГБ фиолетовый</t>
  </si>
  <si>
    <t>Планшет Apple iPad Air (2024, M2) 11" LTE 128 ГБ сияющая звезда</t>
  </si>
  <si>
    <t>Планшет Apple iPad Air (2024, M2) 11" LTE 128 ГБ синий</t>
  </si>
  <si>
    <t>Планшет Apple iPad Air (2024, M2) 11" LTE 128 ГБ серый космос</t>
  </si>
  <si>
    <t>Планшет Apple iPad Air (2024, M2) 11" LTE 256 ГБ фиолетовый</t>
  </si>
  <si>
    <t>Планшет Apple iPad Air (2024, M2) 11" LTE 256 ГБ сияющая звезда</t>
  </si>
  <si>
    <t>Планшет Apple iPad Air (2024, M2) 11" LTE 256 ГБ синий</t>
  </si>
  <si>
    <t>Планшет Apple iPad Air (2024, M2) 11" LTE 256 ГБ серый космос</t>
  </si>
  <si>
    <t>Планшет Apple iPad Air (2024, M2) 11"Wi-Fi 512 ГБ серый космос</t>
  </si>
  <si>
    <t>https://cifrocity.com/catalog/apple/iphone_17_17_air/apple_iphone_17_128gb_rozovyy/</t>
  </si>
  <si>
    <t>Планшет Apple iPad Air (2024, M2) 11"Wi-Fi 512 ГБ синий</t>
  </si>
  <si>
    <t>Планшет Apple iPad Air (2024, M2) 11"Wi-Fi 512 ГБ сияющая звезда</t>
  </si>
  <si>
    <t>Планшет Apple iPad Air (2024, M2) 11"Wi-Fi 512 ГБ фиолетовый</t>
  </si>
  <si>
    <t>Планшет Apple iPad Air (2024, M2) 13"Wi-Fi 128 ГБ серый космос</t>
  </si>
  <si>
    <t>Планшет Apple iPad Air (2024, M2) 13"Wi-Fi 128 ГБ синий</t>
  </si>
  <si>
    <t>Планшет Apple iPad Air (2024, M2) 13"Wi-Fi 128 ГБ сияющая звезда</t>
  </si>
  <si>
    <t>https://mgg.stores-apple.com/catalog/smartfon-apple-iphone-17-256-gb-lavandovyj/</t>
  </si>
  <si>
    <t>Планшет Apple iPad Air (2024, M2) 13"Wi-Fi 128 ГБ фиолетовый</t>
  </si>
  <si>
    <t>Планшет Apple iPad Air (2024, M2) 13"LTE 128 ГБ серый космос</t>
  </si>
  <si>
    <t>Планшет Apple iPad Air (2024, M2) 13"LTE 128 ГБ синий</t>
  </si>
  <si>
    <t>Планшет Apple iPad Air (2024, M2) 13"LTE 128 ГБ сияющая звезда</t>
  </si>
  <si>
    <t>Планшет Apple iPad Air (2024, M2) 13"LTE 128 ГБ фиолетовый</t>
  </si>
  <si>
    <t>Планшет Apple iPad Air (2024, M2) 13"Wi-Fi 256 ГБ серый космос</t>
  </si>
  <si>
    <t>Планшет Apple iPad Air (2024, M2) 13"Wi-Fi 256 ГБ синий</t>
  </si>
  <si>
    <t>https://девайс-прайс.рф/product/apple-iphone-17/apple-iphone-17-256gb-simesim-lavandovyi-bez-rustore</t>
  </si>
  <si>
    <t>Планшет Apple iPad Air (2024, M2) 13"Wi-Fi 256 ГБ сияющая звезда</t>
  </si>
  <si>
    <t>Планшет Apple iPad Air (2024, M2) 13"Wi-Fi 256 ГБ фиолетовый</t>
  </si>
  <si>
    <t>Планшет Apple iPad Air (2024, M2) 13"Wi-Fi 512 ГБ серый космос</t>
  </si>
  <si>
    <t>https://cifrocity.com/catalog/apple/iphone_17_17_air/apple_iphone_17_128gb_chernyy/</t>
  </si>
  <si>
    <t>Планшет Apple iPad Air (2024, M2) 13"Wi-Fi 512 ГБ синий</t>
  </si>
  <si>
    <t>Планшет Apple iPad Air (2024, M2) 13"Wi-Fi 512 ГБ сияющая звезда</t>
  </si>
  <si>
    <t>Планшет Apple iPad Air (2024, M2) 13"Wi-Fi 512 ГБ фиолетовый</t>
  </si>
  <si>
    <t>Планшет Apple iPad Air (2024, M2) 13"LTE 256 ГБ серый космос</t>
  </si>
  <si>
    <t>Планшет Apple iPad Air (2024, M2) 13"LTE 256 ГБ синий</t>
  </si>
  <si>
    <t>https://mgg.stores-apple.com/catalog/smartfon-apple-iphone-17-256-gb-chernyi/</t>
  </si>
  <si>
    <t>Планшет Apple iPad Air (2024, M2) 13"LTE 256 ГБ сияющая звезда</t>
  </si>
  <si>
    <t>Планшет Apple iPad Air (2024, M2) 13"LTE 256 ГБ фиолетовый</t>
  </si>
  <si>
    <t>Планшет Apple iPad Air (2024, M2) 13"LTE 512 ГБ серый космос</t>
  </si>
  <si>
    <t>Планшет Apple iPad Air (2024, M2) 13"LTE 512 ГБ синий</t>
  </si>
  <si>
    <t>Планшет Apple iPad Air (2024, M2) 13"LTE 512 ГБ сияющая звезда</t>
  </si>
  <si>
    <t>Планшет Apple iPad Air (2024, M2) 13"LTE 512 ГБ фиолетовый</t>
  </si>
  <si>
    <t>Ноутбук Apple MacBook Air 13,3" M1 8/256 ГБ Серый космос</t>
  </si>
  <si>
    <t>https://девайс-прайс.рф/product/apple-iphone-17/apple-iphone-17-256gb-simesim-chernyi-bez-rustore</t>
  </si>
  <si>
    <t>Ноутбук Apple MacBook Air 13,3" M1 8/256 ГБ Золото</t>
  </si>
  <si>
    <t>Моноблок Apple iMac 24 M1 256 ГБ зелёный</t>
  </si>
  <si>
    <t>iPhone 17 256 Белый Sim</t>
  </si>
  <si>
    <t>Моноблок Apple iMac 24 M1 256 ГБ серебристый</t>
  </si>
  <si>
    <t>https://cifrocity.com/catalog/apple/iphone_17_17_air/apple_iphone_17_128gb_belyy/</t>
  </si>
  <si>
    <t>Моноблок Apple iMac 24 M1 256 ГБ синий</t>
  </si>
  <si>
    <t>Моноблок Apple iMac 24 M1 256 ГБ розовый</t>
  </si>
  <si>
    <t>Моноблок Apple iMac 24 M1 512 ГБ зелёный</t>
  </si>
  <si>
    <t>Моноблок Apple iMac 24 M1 512 ГБ серебристый</t>
  </si>
  <si>
    <t>Моноблок Apple iMac 24 M1 512 ГБ синий</t>
  </si>
  <si>
    <t>https://mgg.stores-apple.com/catalog/smartfon-apple-iphone-17-256-gb-belyi/</t>
  </si>
  <si>
    <t>Моноблок Apple iMac 24 M1 512 ГБ розовый</t>
  </si>
  <si>
    <t>Ноутбук Apple MacBook Air 13,6" (M2, 2022) 256Гб, сияющая звезда</t>
  </si>
  <si>
    <t>Ноутбук Apple MacBook Air 13,6" (M2, 2022) 256 ГБ, серебристый</t>
  </si>
  <si>
    <t>Ноутбук Apple MacBook Air 13,6" (M2, 2022) 256 ГБ, серый космос</t>
  </si>
  <si>
    <t>Ноутбук Apple MacBook Air 13,6" (M2, 2022) 256 ГБ, темная ночь</t>
  </si>
  <si>
    <t>Ноутбук Apple MacBook Air 13,6" (M2, 2022) 512 Гб, сияющая звезда</t>
  </si>
  <si>
    <t>Ноутбук Apple MacBook Air 13,6" (M2, 2022) 512 ГБ, серебристый</t>
  </si>
  <si>
    <t>https://девайс-прайс.рф/product/apple-iphone-17/apple-iphone-17-256gb-simesim-belyi-bez-rustore</t>
  </si>
  <si>
    <t>Ноутбук Apple MacBook Air 13,6" (M2, 2022) 512 ГБ, серый космос</t>
  </si>
  <si>
    <t>Ноутбук Apple MacBook Air 13,6" (M2, 2022) 512 ГБ, темная ночь</t>
  </si>
  <si>
    <t>https://cifrocity.com/catalog/apple/iphone_17_17_air/apple_iphone_17_128gb_siniy/</t>
  </si>
  <si>
    <t>Ноутбук Apple MacBook Air 15,3" (M2, 2023) 256 ГБ, серебристый</t>
  </si>
  <si>
    <t>Ноутбук Apple MacBook Air 15,3" (M2, 2023) 256 ГБ, серый космос</t>
  </si>
  <si>
    <t>Ноутбук Apple MacBook Air 15,3" (M2, 2023) 256 ГБ, сияющая звезда</t>
  </si>
  <si>
    <t>Ноутбук Apple MacBook Air 15,3" (M2, 2023) 256 ГБ, темная ночь</t>
  </si>
  <si>
    <t>Ноутбук Apple MacBook Air 15,3" (M2, 2023) 512 ГБ, темная ночь</t>
  </si>
  <si>
    <t>Ноутбук Apple MacBook Air 15,3" (M2, 2023) 512 ГБ, сияющая звезда</t>
  </si>
  <si>
    <t>Ноутбук Apple MacBook Air 15,3" (M2, 2023) 512 ГБ, серый космос</t>
  </si>
  <si>
    <t>https://mgg.stores-apple.com/catalog/smartfon-apple-iphone-17-256-gb-goluboj/</t>
  </si>
  <si>
    <t>Ноутбук Apple MacBook Air 15,3" (M2, 2023) 512 ГБ, серебристый</t>
  </si>
  <si>
    <t>Ноутбук Apple MacBook Pro 14" (M3 Pro, 2023) 512 ГБ, серебристый</t>
  </si>
  <si>
    <t>Ноутбук Apple MacBook Pro 14" (M3 Pro, 2023) 512 ГБ, черный космос</t>
  </si>
  <si>
    <t>Ноутбук Apple MacBook Pro 14" (M3 Pro, 2023) 1 ТБ, серебристый</t>
  </si>
  <si>
    <t>Ноутбук Apple MacBook Pro 14" (M3 Pro, 2023) 1 ТБ, черный космос</t>
  </si>
  <si>
    <t>Ноутбук Apple MacBook Pro 16" (M3 Pro, 2023) 36 ГБ / 1 ТБ, черный космос</t>
  </si>
  <si>
    <t>https://девайс-прайс.рф/product/apple-iphone-17/apple-iphone-17-256gb-simesim-goluboi-tuman-bez-rustore</t>
  </si>
  <si>
    <t>Ноутбук Apple MacBook Pro 16" (M3 Pro, 2023) 48 ГБ / 1 ТБ, черный космос</t>
  </si>
  <si>
    <t>Ноутбук Apple MacBook Pro 14" (M3, 2023) 512 ГБ, серебристый</t>
  </si>
  <si>
    <t>https://cifrocity.com/catalog/apple/iphone_17_17_air/apple_iphone_17_128gb_zelenyy/</t>
  </si>
  <si>
    <t>Ноутбук Apple MacBook Pro 14" (M3, 2023) 512 ГБ, черный космос</t>
  </si>
  <si>
    <t>Ноутбук Apple MacBook Pro 14" (M3, 2023) 1 ТБ, серебристый</t>
  </si>
  <si>
    <t>Ноутбук Apple MacBook Pro 14" (M3, 2023) 1 ТБ, черный космос</t>
  </si>
  <si>
    <t>Ноутбук Apple MacBook Air 15,3" (M3, 2024) 256 ГБ, серебристый</t>
  </si>
  <si>
    <t>Ноутбук Apple MacBook Air 15,3" (M3, 2024) 256 ГБ, серый космос</t>
  </si>
  <si>
    <t>Ноутбук Apple MacBook Air 15,3" (M3, 2024) 256 ГБ, сияющая звезда</t>
  </si>
  <si>
    <t>Ноутбук Apple MacBook Air 15,3" (M3, 2024) 256 ГБ, темная ночь</t>
  </si>
  <si>
    <t>https://mgg.stores-apple.com/catalog/smartfon-apple-iphone-17-256-gb-zelenyi/</t>
  </si>
  <si>
    <t>Ноутбук Apple MacBook Air 15,3" (M3, 2024) 512 ГБ, темная ночь</t>
  </si>
  <si>
    <t>Ноутбук Apple MacBook Air 15,3" (M3, 2024) 512 ГБ, сияющая звезда</t>
  </si>
  <si>
    <t>Ноутбук Apple MacBook Air 15,3" (M3, 2024) 512 ГБ, серый космос</t>
  </si>
  <si>
    <t>Ноутбук Apple MacBook Air 15,3" (M3, 2024) 512 ГБ, серебристый</t>
  </si>
  <si>
    <t>Ноутбук Apple MacBook Air 15,3" (M3, 2024) 16 ГБ оперативной, 512 ГБ, темная ночь</t>
  </si>
  <si>
    <t>Ноутбук Apple MacBook Air 15,3" (M3, 2024) 16 ГБ оперативной, 512 ГБ, сияющая звезда</t>
  </si>
  <si>
    <t>https://девайс-прайс.рф/product/apple-iphone-17/apple-iphone-17-256gb-simesim-shalfei-bez-rustore</t>
  </si>
  <si>
    <t>Ноутбук Apple MacBook Air 15,3" (M3, 2024) 16 ГБ оперативной, 512 ГБ, серый космос</t>
  </si>
  <si>
    <t>Ноутбук Apple MacBook Air 15,3" (M3, 2024) 16 ГБ оперативной, 512 ГБ, серебристый</t>
  </si>
  <si>
    <t>Ноутбук Apple MacBook Air 13,6" (M3, 2024) 256 ГБ, сияющая звезда</t>
  </si>
  <si>
    <t>https://cifrocity.com/catalog/apple/iphone_17_17_air/apple_iphone_17_256gb_esim_fioletovyy_bez_rustore/</t>
  </si>
  <si>
    <t>Ноутбук Apple MacBook Air 13,6" (M3, 2024) 256 ГБ, серебристый</t>
  </si>
  <si>
    <t>Ноутбук Apple MacBook Air 13,6" (M3, 2024) 256 ГБ, серый космос</t>
  </si>
  <si>
    <t>Ноутбук Apple MacBook Air 13,6" (M3, 2024) 256 ГБ, темная ночь</t>
  </si>
  <si>
    <t>Ноутбук Apple MacBook Air 13,6" (M3, 2024) 512 Гб, сияющая звезда</t>
  </si>
  <si>
    <t>Ноутбук Apple MacBook Air 13,6" (M3, 2024) 512 ГБ, серебристый</t>
  </si>
  <si>
    <t>https://mgg.stores-apple.com/catalog/smartfon-apple-iphone-17-256-gb-lavandovyj-esim/</t>
  </si>
  <si>
    <t>Ноутбук Apple MacBook Air 13,6" (M3, 2024) 512 ГБ, серый космос</t>
  </si>
  <si>
    <t>Ноутбук Apple MacBook Air 13,6" (M3, 2024) 512 ГБ, темная ночь</t>
  </si>
  <si>
    <t>Ноутбук Apple MacBook Air 13,6" (M3, 2024) 16 ГБ оперативной, 512 ГБ, темная ночь</t>
  </si>
  <si>
    <t>Ноутбук Apple MacBook Air 13,6" (M3, 2024) 16 ГБ оперативной, 512 ГБ, серый космос</t>
  </si>
  <si>
    <t>Ноутбук Apple MacBook Air 13,6" (M3, 2024) 16 ГБ оперативной, 512 ГБ, серебристый</t>
  </si>
  <si>
    <t>Ноутбук Apple MacBook Air 13,6" (M3, 2024) 16 ГБ оперативной, 512 ГБ, сияющая звезда</t>
  </si>
  <si>
    <t>Беспроводные наушники Apple AirPods (2rd generation)</t>
  </si>
  <si>
    <t>Беспроводные наушники Apple AirPods 3 Lightning Charging Case</t>
  </si>
  <si>
    <t>https://cifrocity.com/catalog/apple/iphone_17_17_air/apple_iphone_17_256gb_esim_chernyy_bez_rustore/</t>
  </si>
  <si>
    <t>https://mgg.stores-apple.com/catalog/smartfon-apple-iphone-17-256-gb-chernyi-esim/</t>
  </si>
  <si>
    <t>iPhone 17 256 Белый eSim</t>
  </si>
  <si>
    <t>https://cifrocity.com/catalog/apple/iphone_17_17_air/apple_iphone_17_256gb_esim_belyy_bez_rustore/</t>
  </si>
  <si>
    <t>https://mgg.stores-apple.com/catalog/smartfon-apple-iphone-17-256-gb-belyi-esim/</t>
  </si>
  <si>
    <t>Беспроводные наушники AirPods Max Серебряный</t>
  </si>
  <si>
    <t>Беспроводные наушники AirPods Max Космический серый</t>
  </si>
  <si>
    <t>Беспроводные наушники AirPods Max Небесно-голубой</t>
  </si>
  <si>
    <t>Беспроводные наушники AirPods Max Розовый</t>
  </si>
  <si>
    <t>Беспроводные наушники AirPods Max Зелёный</t>
  </si>
  <si>
    <t>Смарт-часы Apple Watch Series 9, 41 мм, серебристые</t>
  </si>
  <si>
    <t>https://cifrocity.com/catalog/apple/iphone_17_17_air/apple_iphone_17_256gb_esim_goluboy_bez_rustore/</t>
  </si>
  <si>
    <t>Смарт-часы Apple Watch Series 9, 41 мм, сияющая звезда</t>
  </si>
  <si>
    <t>Смарт-часы Apple Watch Series 9, 41 мм, темная ночь</t>
  </si>
  <si>
    <t>Смарт-часы Apple Watch Series 9, 45 мм, серебристые</t>
  </si>
  <si>
    <t>Смарт-часы Apple Watch Series 9, 45 мм, сияющая звезда</t>
  </si>
  <si>
    <t>https://mgg.stores-apple.com/catalog/smartfon-apple-iphone-17-256-gb-goluboj-esim/</t>
  </si>
  <si>
    <t>Смарт-часы Apple Watch Series 9, 45 мм, темная ночь</t>
  </si>
  <si>
    <t>Смарт-часы Apple Watch Series 10, 42 мм цвет серебристый</t>
  </si>
  <si>
    <t>Смарт-часы Apple Watch Series 10, 42 мм цвет «розовое золото»</t>
  </si>
  <si>
    <t>Смарт-часы Apple Watch Series 10, 42 мм цвет «чёрный глянец»</t>
  </si>
  <si>
    <t>Смарт-часы Apple Watch Series 10, 46 мм цвет серебристый</t>
  </si>
  <si>
    <t>Смарт-часы Apple Watch Series 10, 46 мм цвет «розовое золото»</t>
  </si>
  <si>
    <t>Смарт-часы Apple Watch Series 10, 46 мм цвет «чёрный глянец»</t>
  </si>
  <si>
    <t>Смарт-часы Apple Watch SE 2024, 40 мм, темная ночь</t>
  </si>
  <si>
    <t>Смарт-часы Apple Watch SE 2024, 40 мм, серебристый/белый</t>
  </si>
  <si>
    <t>Смарт-часы Apple Watch SE 2024, 40 мм, серебристый/синий</t>
  </si>
  <si>
    <t>Смарт-часы Apple Watch SE 2024, 40 мм, сияющая звезда</t>
  </si>
  <si>
    <t>Смарт-часы Apple Watch SE 2024, 44 мм, темная ночь</t>
  </si>
  <si>
    <t>https://cifrocity.com/catalog/apple/iphone_17_17_air/apple_iphone_17_256gb_esim_zelenyy_bez_rustore/</t>
  </si>
  <si>
    <t>Смарт-часы Apple Watch SE 2024, 44 мм, серебристый/белый</t>
  </si>
  <si>
    <t>Смарт-часы Apple Watch SE 2024, 44 мм, серебристый/синий</t>
  </si>
  <si>
    <t>Смарт-часы Apple Watch SE 2024, 44 мм, сияющая звезда</t>
  </si>
  <si>
    <t>Смарт-часы Apple Watch Ultra 2, 49 мм, Alpine Loop, синий</t>
  </si>
  <si>
    <t>https://mgg.stores-apple.com/catalog/smartfon-apple-iphone-17-256-gb-zelenyi-esim/</t>
  </si>
  <si>
    <t>iPhone 17 512 Лавандовый Sim</t>
  </si>
  <si>
    <t>Смарт-часы Apple Watch Ultra 2, 49 мм, Alpine Loop, оливковый</t>
  </si>
  <si>
    <t>https://mgg.stores-apple.com/catalog/smartfon-apple-iphone-17-512-gb-lavandovyj/</t>
  </si>
  <si>
    <t>Смарт-часы Apple Watch Ultra 2, 49 мм, Alpine Loop, индиго</t>
  </si>
  <si>
    <t>https://девайс-прайс.рф/product/apple-iphone-17/apple-iphone-17-512gb-simesim-lavandovyi-bez-rustore</t>
  </si>
  <si>
    <t>https://mgg.stores-apple.com/catalog/smartfon-apple-iphone-17-512-gb-chernyi/</t>
  </si>
  <si>
    <t>Трекер Apple AirTag</t>
  </si>
  <si>
    <t>Apple AirTag 4 Pack</t>
  </si>
  <si>
    <t>https://девайс-прайс.рф/product/apple-iphone-17/apple-iphone-17-512gb-simesim-chernyi-bez-rustore</t>
  </si>
  <si>
    <t>iPhone 17 512 Белый Sim</t>
  </si>
  <si>
    <t>https://mgg.stores-apple.com/catalog/smartfon-apple-iphone-17-512-gb-belyi/</t>
  </si>
  <si>
    <t>https://девайс-прайс.рф/product/apple-iphone-17/apple-iphone-17-512gb-simesim-belyi-bez-rustore</t>
  </si>
  <si>
    <t>Apple Pencil 2</t>
  </si>
  <si>
    <t>https://mgg.stores-apple.com/catalog/smartfon-apple-iphone-17-512-gb-goluboj/</t>
  </si>
  <si>
    <t>https://девайс-прайс.рф/product/apple-iphone-17/apple-iphone-17-512gb-simesim-goluboi-tuman-bez-rustore</t>
  </si>
  <si>
    <t>iPhone 17 512 Зелёный Sim</t>
  </si>
  <si>
    <t>https://mgg.stores-apple.com/catalog/smartfon-apple-iphone-17-512-gb-zelenyi/</t>
  </si>
  <si>
    <t>Ссылка</t>
  </si>
  <si>
    <t>Apple iPhone</t>
  </si>
  <si>
    <t>iPhone 18 Pro Max</t>
  </si>
  <si>
    <t>Кабель Baseus microUSB</t>
  </si>
  <si>
    <t>Смартфон Apple iPhone 18 Pro Max 256 ГБ Dark Black | Чёрный eSIM</t>
  </si>
  <si>
    <t>https://mgg.stores-apple.com/catalog/smartfon_apple_iphone_18_pro_max_256_gb_dark_grey_tyemno_seryy_esim/</t>
  </si>
  <si>
    <t>Кабель Baseus Cafule USB 40w</t>
  </si>
  <si>
    <t>https://девайс-прайс.рф/product/apple-iphone-17/apple-iphone-17-512gb-simesim-shalfei-bez-rustore</t>
  </si>
  <si>
    <t>Кабель Wiwu USB-C to TM01</t>
  </si>
  <si>
    <t>https://mgg.stores-apple.com/catalog/smartfon-apple-iphone-17-512-gb-lavandovyj-esim/</t>
  </si>
  <si>
    <t>Кабель Baseus Cafule Data Cable Type C to Lightning 20w</t>
  </si>
  <si>
    <t>Кабель Baseus Cafule T-C to T-C 100W (2m)</t>
  </si>
  <si>
    <t>Apple Lightning to Headphone Jack</t>
  </si>
  <si>
    <t>Apple USB power adapter 1A</t>
  </si>
  <si>
    <t>Apple Lightning to USB cable 1m</t>
  </si>
  <si>
    <t>Apple Usb-C to lightning 1m</t>
  </si>
  <si>
    <t>Смартфон Apple iPhone 18 Pro Max 256 ГБ Silver | Серебро eSIM</t>
  </si>
  <si>
    <t>https://mgg.stores-apple.com/catalog/smartfon-apple-iphone-17-512-gb-chernyi-esim/</t>
  </si>
  <si>
    <t>https://mgg.stores-apple.com/catalog/smartfon_apple_iphone_18_pro_max_256_gb_silver_serebro_esim/</t>
  </si>
  <si>
    <t>Powerbank rECCI 10.000 RPB P36</t>
  </si>
  <si>
    <t>Apple Usb-C to lightning 2m</t>
  </si>
  <si>
    <t>Кабель USB-C - Lightning VLP</t>
  </si>
  <si>
    <t>Powerbank Recci Mars Series</t>
  </si>
  <si>
    <t>Беспроводная зарядка Baseus</t>
  </si>
  <si>
    <t>PowerBank Baseus Bipow Pro Digital</t>
  </si>
  <si>
    <t>Смартфон Apple iPhone 18 Pro Max 256 ГБ Burgundy | Бургунди eSIM</t>
  </si>
  <si>
    <t>https://mgg.stores-apple.com/catalog/smartfon_apple_iphone_18_pro_max_256_gb_dark_cherry_tyemnaya_vishnya_esim_/</t>
  </si>
  <si>
    <t>Apple 20W USB-C Power Adapter</t>
  </si>
  <si>
    <t>iPhone 17 512 Белый eSim</t>
  </si>
  <si>
    <t>https://mgg.stores-apple.com/catalog/smartfon-apple-iphone-17-512-gb-belyi-esim/</t>
  </si>
  <si>
    <t>Набор UZAY Кабель + Адаптер</t>
  </si>
  <si>
    <t>PowerBank с подставкой Recci 5000 RPB-W07</t>
  </si>
  <si>
    <t>Беспроводная зарядка Wiwu 4 in 1</t>
  </si>
  <si>
    <t>Беспроводная зарядка Wiwu Power Air 3 in 1</t>
  </si>
  <si>
    <t>VLP Magsafe Battery Pack с подставкой 5000mah</t>
  </si>
  <si>
    <t>Смартфон Apple iPhone 18 Pro Max 256 ГБ Glacier | Ледяной</t>
  </si>
  <si>
    <t>https://mgg.stores-apple.com/catalog/smartfon_apple_iphone_18_pro_max_256_gb_blue_goluboy/</t>
  </si>
  <si>
    <t>Беспроводная зарядная станция VLP MagSafe M-Charger 3in1</t>
  </si>
  <si>
    <t>iPhone 17 512 Синий eSim</t>
  </si>
  <si>
    <t>https://mgg.stores-apple.com/catalog/smartfon-apple-iphone-17-512-gb-goluboj-esim/</t>
  </si>
  <si>
    <t>Apple Watch Magnetic Charger USB C</t>
  </si>
  <si>
    <t>Battery Pack MagSafe</t>
  </si>
  <si>
    <t>Apple MagSafe Duo</t>
  </si>
  <si>
    <t>Система виртуальной реальности Apple Vision Pro серый 256 ГБ</t>
  </si>
  <si>
    <t>Смартфон Apple iPhone 18 Pro Max 256 ГБ Black | Чёрный</t>
  </si>
  <si>
    <t>https://mgg.stores-apple.com/catalog/smartfon_apple_iphone_18_pro_max_256_gb_dark_grey_tyemno_seryy/</t>
  </si>
  <si>
    <t>https://mgg.stores-apple.com/catalog/smartfon-apple-iphone-17-512-gb-zelenyi-esim/</t>
  </si>
  <si>
    <t>Система виртуальной реальности Apple Vision Pro серый 512 ГБ</t>
  </si>
  <si>
    <t>Смартфон Apple iPhone Air 256 ГБ Синий</t>
  </si>
  <si>
    <t>https://cifrocity.com/catalog/apple/iphone_17_17_air/apple_iphone_17_air_128gb_nebesno_goluboy/</t>
  </si>
  <si>
    <t>Смартфон Apple iPhone 18 Pro Max 256 ГБ Silver | Серебро</t>
  </si>
  <si>
    <t>https://mgg.stores-apple.com/catalog/smartfon_apple_iphone_18_pro_max_256_gb_silver_serebro/</t>
  </si>
  <si>
    <t>Система виртуальной реальности Apple Vision Pro серый 1 ТБ</t>
  </si>
  <si>
    <t>Беспроводной микрофон DJI Mic 2 (2 TX + 1 RX + Charging Case)</t>
  </si>
  <si>
    <t>Смартфон Apple iPhone 18 Pro Max 256 ГБ Burgundy | Бургунди</t>
  </si>
  <si>
    <t>https://mgg.stores-apple.com/catalog/smartfon_apple_iphone_18_pro_max_256_gb_dark_cherry_tyemnaya_vishnya/</t>
  </si>
  <si>
    <t>https://mgg.stores-apple.com/catalog/smartfon-apple-iphone-air-256-gb-goluboi/</t>
  </si>
  <si>
    <t>Cтайлер Dyson Airwrap Complete Long HS05 Fuchsia/Nickel</t>
  </si>
  <si>
    <t>Стайлер Dyson Airwrap Complete Long HS05 Nickel/Copper</t>
  </si>
  <si>
    <t>Стайлер Dyson Airwrap Complete Long HS05 Prussian Blue/Copper</t>
  </si>
  <si>
    <t>Процесс</t>
  </si>
  <si>
    <t>Стайлер Dyson Airwrap Complete Long HS05 Ceramic pop</t>
  </si>
  <si>
    <t>Статус</t>
  </si>
  <si>
    <t>Проверено строк</t>
  </si>
  <si>
    <t>Из скольки строк</t>
  </si>
  <si>
    <t>Смартфон Apple iPhone 18 Pro Max 512 ГБ Glacier | Ледяной</t>
  </si>
  <si>
    <t>Успешно цен</t>
  </si>
  <si>
    <t>Вентилятор напольный Dyson AM07</t>
  </si>
  <si>
    <t>https://mgg.stores-apple.com/catalog/smartfon_apple_iphone_18_pro_max_512_gb_blue_goluboy/</t>
  </si>
  <si>
    <t>Ошибок</t>
  </si>
  <si>
    <t>Обновлено</t>
  </si>
  <si>
    <t>Выпрямитель волос Dyson Airstrait HT01 Nickel/Copper</t>
  </si>
  <si>
    <t>Последняя строка</t>
  </si>
  <si>
    <t>Лист1: обновление цен</t>
  </si>
  <si>
    <t>готово</t>
  </si>
  <si>
    <t>25.09.2026 14:16:51</t>
  </si>
  <si>
    <t>Смартфон Apple iPhone 18 Pro Max 512 ГБ Black | Чёрный</t>
  </si>
  <si>
    <t>https://mgg.stores-apple.com/catalog/smartfon_apple_iphone_18_pro_max_512_gb_dark_grey_tyemno_seryy/</t>
  </si>
  <si>
    <t>https://девайс-прайс.рф/product/apple-iphone-air/apple-iphone-air-256gb-goluboe-nebo-bez-rustore</t>
  </si>
  <si>
    <t>Экшн-камера GoPro HERO 13 черный</t>
  </si>
  <si>
    <t>Ray-Ban Очки с камерой Meta Wayfarer RW4006, темно-синий</t>
  </si>
  <si>
    <t>Ray-Ban Очки с камерой Meta Wayfarer RW4006, черно-серый</t>
  </si>
  <si>
    <t>Смартфон Samsung Galaxy S23 128 ГБ Чёрный</t>
  </si>
  <si>
    <t>Смартфон Samsung Galaxy S23 256 ГБ Чёрный</t>
  </si>
  <si>
    <t>Смартфон Samsung Galaxy S23 128 ГБ Лаймовый</t>
  </si>
  <si>
    <t>Смартфон Samsung Galaxy S23 256 ГБ Лаймовый</t>
  </si>
  <si>
    <t>Смартфон Samsung Galaxy S23 128 ГБ Лавандовый</t>
  </si>
  <si>
    <t>Смартфон Apple iPhone Air 256 ГБ Чёрный</t>
  </si>
  <si>
    <t>https://cifrocity.com/catalog/apple/iphone_17_17_air/apple_iphone_17_air_128gb_chernyy/</t>
  </si>
  <si>
    <t>Смартфон Apple iPhone 18 Pro Max 512 ГБ Silver | Серебро</t>
  </si>
  <si>
    <t>Смартфон Samsung Galaxy S23 256 ГБ Лавандовый</t>
  </si>
  <si>
    <t>https://mgg.stores-apple.com/catalog/smartfon_apple_iphone_18_pro_max_512_gb_silver_serebro/</t>
  </si>
  <si>
    <t>Смартфон Apple iPhone 17 (Sim/eSim) 256 ГБ Лавандовый</t>
  </si>
  <si>
    <t>Смартфон Samsung Galaxy S23 128 ГБ Кремовый</t>
  </si>
  <si>
    <t>Смартфон Samsung Galaxy S23 256 ГБ Кремовый</t>
  </si>
  <si>
    <t>Смартфон Apple iPhone 17 (Sim/eSim) 256 ГБ Чёрный</t>
  </si>
  <si>
    <t>Смартфон Apple iPhone 17 (Sim/eSim) 256 ГБ Белый</t>
  </si>
  <si>
    <t>Смартфон Samsung Galaxy S23 128 ГБ Зелёный</t>
  </si>
  <si>
    <t>Смартфон Apple iPhone 17 (Sim/eSim) 256 ГБ Синий</t>
  </si>
  <si>
    <t>Смартфон Apple iPhone 17 (Sim/eSim) 256 ГБ Зелёный</t>
  </si>
  <si>
    <t>Смартфон Samsung Galaxy S23 256 ГБ Зелёный</t>
  </si>
  <si>
    <t>Смартфон Apple iPhone 17 (eSim) 256 ГБ Лавандовый</t>
  </si>
  <si>
    <t>Смартфон Apple iPhone 17 (eSim) 256 ГБ Чёрный</t>
  </si>
  <si>
    <t>Смартфон Samsung Galaxy S23 Ultra 256 ГБ Чёрный</t>
  </si>
  <si>
    <t>Смартфон Apple iPhone 17 (eSim) 256 ГБ Белый</t>
  </si>
  <si>
    <t>Смартфон Samsung Galaxy S23 Ultra 512 ГБ Чёрный</t>
  </si>
  <si>
    <t>Смартфон Apple iPhone 17 (eSim) 256 ГБ Синий</t>
  </si>
  <si>
    <t>Смартфон Apple iPhone 17 (eSim) 256 ГБ Зелёный</t>
  </si>
  <si>
    <t>Смартфон Samsung Galaxy S23 Ultra 256 ГБ Лавандовый</t>
  </si>
  <si>
    <t>Смартфон Apple iPhone 17 (Sim/eSim) 512 ГБ Лавандовый</t>
  </si>
  <si>
    <t>Смартфон Apple iPhone 17 (Sim/eSim) 512 ГБ Чёрный</t>
  </si>
  <si>
    <t>Смартфон Apple iPhone 17 (Sim/eSim) 512 ГБ Белый</t>
  </si>
  <si>
    <t>Смартфон Samsung Galaxy S23 Ultra 512 ГБ Лавандовый</t>
  </si>
  <si>
    <t>Смартфон Apple iPhone 17 (Sim/eSim) 512 ГБ Синий</t>
  </si>
  <si>
    <t>Смартфон Apple iPhone 18 Pro Max 512 ГБ Burgundy | Бургунди</t>
  </si>
  <si>
    <t>https://mgg.stores-apple.com/catalog/smartfon-apple-iphone-air-256-gb-chernyi/</t>
  </si>
  <si>
    <t>Смартфон Apple iPhone 17 (Sim/eSim) 512 ГБ Зелёный</t>
  </si>
  <si>
    <t>https://mgg.stores-apple.com/catalog/smartfon_apple_iphone_18_pro_max_512_gb_dark_cherry_tyemnaya_vishnya/</t>
  </si>
  <si>
    <t>Смартфон Samsung Galaxy S23 Ultra 256 ГБ Кремовый</t>
  </si>
  <si>
    <t>Смартфон Apple iPhone 17 (eSim) 512 ГБ Лавандовый</t>
  </si>
  <si>
    <t>Смартфон Apple iPhone 17 (eSim) 512 ГБ Чёрный</t>
  </si>
  <si>
    <t>Смартфон Samsung Galaxy S23 Ultra 512 ГБ Кремовый</t>
  </si>
  <si>
    <t>Смартфон Apple iPhone 17 (eSim) 512 ГБ Белый</t>
  </si>
  <si>
    <t>Смартфон Samsung Galaxy S23 Ultra 256 ГБ Красный</t>
  </si>
  <si>
    <t>Смартфон Apple iPhone 17 (eSim) 512 ГБ Синий</t>
  </si>
  <si>
    <t>Смартфон Samsung Galaxy S23 Ultra 512 ГБ Красный</t>
  </si>
  <si>
    <t>Смартфон Apple iPhone 17 (eSim) 512 ГБ Зелёный</t>
  </si>
  <si>
    <t>Смартфон Samsung Galaxy S23 Ultra 256 ГБ Зелёный</t>
  </si>
  <si>
    <t>Смартфон Samsung Galaxy S23 Ultra 512 ГБ Зелёный</t>
  </si>
  <si>
    <t>Смартфон Samsung Galaxy S23 Ultra 256 ГБ Графитовый</t>
  </si>
  <si>
    <t>Смартфон Samsung Galaxy S23 Ultra 512 ГБ Графитовый</t>
  </si>
  <si>
    <t>Смартфон Samsung Galaxy S23 Ultra 256 ГБ Голубой</t>
  </si>
  <si>
    <t>Смартфон Samsung Galaxy S23 Ultra 512 ГБ Голубой</t>
  </si>
  <si>
    <t>Смартфон Apple iPhone 18 Pro Max 1024 ГБ Glacier | Ледяной</t>
  </si>
  <si>
    <t>https://mgg.stores-apple.com/catalog/smartfon_apple_iphone_18_pro_max_1024_gb_blue_goluboy/</t>
  </si>
  <si>
    <t>Смартфон Samsung Galaxy S23 Plus 256 ГБ Чёрный</t>
  </si>
  <si>
    <t>Смартфон Samsung Galaxy S23 Plus 512 ГБ Чёрный</t>
  </si>
  <si>
    <t>Смартфон Samsung Galaxy S23 Plus 256 ГБ Лавандовый</t>
  </si>
  <si>
    <t>Смартфон Apple iPhone Air 256 ГБ Золотой</t>
  </si>
  <si>
    <t>Смартфон Samsung Galaxy S23 Plus 512 ГБ Лавандовый</t>
  </si>
  <si>
    <t>Смартфон Apple iPhone Air 256 ГБ Белый</t>
  </si>
  <si>
    <t>Смартфон Apple iPhone Air 512 ГБ Синий</t>
  </si>
  <si>
    <t>Смартфон Samsung Galaxy S23 Plus 256 ГБ Кремовый</t>
  </si>
  <si>
    <t>Смартфон Apple iPhone Air 512 ГБ Чёрный</t>
  </si>
  <si>
    <t>Смартфон Apple iPhone Air 512 ГБ Золотой</t>
  </si>
  <si>
    <t>Смартфон Samsung Galaxy S23 Plus 512 ГБ Кремовый</t>
  </si>
  <si>
    <t>Смартфон Apple iPhone Air 512 ГБ Белый</t>
  </si>
  <si>
    <t>Смартфон Apple iPhone Air 1 ТБ Синий</t>
  </si>
  <si>
    <t>Смартфон Samsung Galaxy S23 Plus 256 ГБ Зелёный</t>
  </si>
  <si>
    <t>Смартфон Apple iPhone Air 1 ТБ Чёрный</t>
  </si>
  <si>
    <t>Смартфон Apple iPhone Air 1 ТБ Золотой</t>
  </si>
  <si>
    <t>Смартфон Samsung Galaxy S23 Plus 512 ГБ Зелёный</t>
  </si>
  <si>
    <t>Смартфон Apple iPhone 18 Pro Max 1024 ГБ Black | Чёрный</t>
  </si>
  <si>
    <t>Смартфон Apple iPhone Air 1 ТБ Белый</t>
  </si>
  <si>
    <t>https://mgg.stores-apple.com/catalog/smartfon_apple_iphone_18_pro_max_1024_gb_dark_grey_tyemno_seryy/</t>
  </si>
  <si>
    <t>Смартфон Apple iPhone 17 Pro (eSim) 256 ГБ Оранжевый</t>
  </si>
  <si>
    <t>Смартфон Samsung Galaxy S24 8/128 ГБ черный</t>
  </si>
  <si>
    <t>Смартфон Apple iPhone 17 Pro (eSim) 256 ГБ Синий</t>
  </si>
  <si>
    <t>Смартфон Samsung Galaxy S24 8/128 ГБ фиолетовый</t>
  </si>
  <si>
    <t>Смартфон Apple iPhone 17 Pro (eSim) 256 ГБ Серебристый</t>
  </si>
  <si>
    <t>Смартфон Apple iPhone 17 Pro (Sim/eSim) 256 ГБ Оранжевый</t>
  </si>
  <si>
    <t>Смартфон Samsung Galaxy S24 8/128 ГБ серый</t>
  </si>
  <si>
    <t>Смартфон Apple iPhone 17 Pro (Sim/eSim) 256 ГБ Синий</t>
  </si>
  <si>
    <t>Смартфон Apple iPhone 17 Pro (Sim/eSim) 256 ГБ Серебристый</t>
  </si>
  <si>
    <t>Смартфон Samsung Galaxy S24 8/128 ГБ желтый</t>
  </si>
  <si>
    <t>Смартфон Apple iPhone 17 Pro (eSim) 512 ГБ Оранжевый</t>
  </si>
  <si>
    <t>Смартфон Samsung Galaxy S24 8/256 ГБ черный</t>
  </si>
  <si>
    <t>Смартфон Apple iPhone 17 Pro (eSim) 512 ГБ Синий</t>
  </si>
  <si>
    <t>https://cifrocity.com/catalog/apple/iphone_17_17_air/apple_iphone_17_air_128gb_zoloto/</t>
  </si>
  <si>
    <t>Смартфон Samsung Galaxy S24 8/256 ГБ желтый</t>
  </si>
  <si>
    <t>Смартфон Apple iPhone 17 Pro (eSim) 512 ГБ Серебристый</t>
  </si>
  <si>
    <t>Смартфон Apple iPhone 17 Pro (Sim/eSim) 512 ГБ Оранжевый</t>
  </si>
  <si>
    <t>Смартфон Samsung Galaxy S24 8/256 ГБ серый</t>
  </si>
  <si>
    <t>Смартфон Apple iPhone 17 Pro (Sim/eSim) 512 ГБ Синий</t>
  </si>
  <si>
    <t>Смартфон Apple iPhone 17 Pro (Sim/eSim) 512 ГБ Серебристый</t>
  </si>
  <si>
    <t>Смартфон Samsung Galaxy S24 8/256 ГБ фиолетовый</t>
  </si>
  <si>
    <t>Смартфон Apple iPhone 17 Pro (Sim/eSim) 1024 ГБ Синий</t>
  </si>
  <si>
    <t>Смартфон Apple iPhone 17 Pro (eSim) 1024 ГБ Синий</t>
  </si>
  <si>
    <t>Смартфон Samsung Galaxy S24 8/512 ГБ черный</t>
  </si>
  <si>
    <t>Смартфон Apple iPhone 17 Pro (eSim) 1024 ГБ Оранжевый</t>
  </si>
  <si>
    <t>Смартфон Apple iPhone 17 Pro (eSim) 1024 ГБ Серебристый</t>
  </si>
  <si>
    <t>Смартфон Samsung Galaxy S24 8/512 ГБ фиолетовый</t>
  </si>
  <si>
    <t>Смартфон Apple iPhone 17 Pro (Sim/eSim) 1024 ГБ Оранжевый</t>
  </si>
  <si>
    <t>Смартфон Apple iPhone 18 Pro Max 1024 ГБ Silver | Серебро</t>
  </si>
  <si>
    <t>Смартфон Samsung Galaxy S24 8/512 ГБ серый</t>
  </si>
  <si>
    <t>Смартфон Apple iPhone 17 Pro (Sim/eSim) 1024 ГБ Серебристый</t>
  </si>
  <si>
    <t>https://mgg.stores-apple.com/catalog/smartfon_apple_iphone_18_pro_max_1024_gb_silver_serebro/</t>
  </si>
  <si>
    <t>Смартфон Samsung Galaxy S24 8/512 ГБ желтый</t>
  </si>
  <si>
    <t>Смартфон Apple iPhone 17 Pro Max (eSim) 256 ГБ Оранжевый</t>
  </si>
  <si>
    <t>Смартфон Apple iPhone 17 Pro Max (eSim) 256 ГБ Синий</t>
  </si>
  <si>
    <t>Смартфон Samsung Galaxy S24 Plus 12/256 ГБ фиолетовый</t>
  </si>
  <si>
    <t>Смартфон Apple iPhone 17 Pro Max (eSim) 256 ГБ Серебристый</t>
  </si>
  <si>
    <t>Смартфон Samsung Galaxy S24 Plus 12/256 ГБ желтый</t>
  </si>
  <si>
    <t>Смартфон Apple iPhone 17 Pro Max (Sim/eSim) 256 ГБ Оранжевый</t>
  </si>
  <si>
    <t>Смартфон Samsung Galaxy S24 Plus 12/256 ГБ серый</t>
  </si>
  <si>
    <t>https://mgg.stores-apple.com/catalog/smartfon-apple-iphone-air-256-gb-zolotoi/</t>
  </si>
  <si>
    <t>Смартфон Apple iPhone 17 Pro Max (Sim/eSim) 256 ГБ Синий</t>
  </si>
  <si>
    <t>Смартфон Samsung Galaxy S24 Plus 12/256 ГБ черный</t>
  </si>
  <si>
    <t>Смартфон Apple iPhone 17 Pro Max (Sim/eSim) 256 ГБ Серебристый</t>
  </si>
  <si>
    <t>Смартфон Samsung Galaxy S24 Plus 12/512 ГБ черный</t>
  </si>
  <si>
    <t>Смартфон Apple iPhone 17 Pro Max (eSim) 512 ГБ Оранжевый</t>
  </si>
  <si>
    <t>Смартфон Samsung Galaxy S24 Plus 12/512 ГБ желтый</t>
  </si>
  <si>
    <t>Смартфон Apple iPhone 17 Pro Max (eSim) 512 ГБ Синий</t>
  </si>
  <si>
    <t>Смартфон Samsung Galaxy S24 Plus 12/512 ГБ фиолетовый</t>
  </si>
  <si>
    <t>Смартфон Apple iPhone 17 Pro Max (eSim) 512 ГБ Серебристый</t>
  </si>
  <si>
    <t>Смартфон Apple iPhone 17 Pro Max (Sim/eSim) 512 ГБ Оранжевый</t>
  </si>
  <si>
    <t>Смартфон Samsung Galaxy S24 Plus 12/512 ГБ серый</t>
  </si>
  <si>
    <t>Смартфон Apple iPhone 17 Pro Max (Sim/eSim) 512 ГБ Синий</t>
  </si>
  <si>
    <t>Смартфон Samsung Galaxy S24 Ultra 12/256 ГБ желтый титан</t>
  </si>
  <si>
    <t>Смартфон Apple iPhone 17 Pro Max (Sim/eSim) 512 ГБ Серебристый</t>
  </si>
  <si>
    <t>Смартфон Apple iPhone 17 Pro Max (eSim) 1024 ГБ Оранжевый</t>
  </si>
  <si>
    <t>Смартфон Samsung Galaxy S24 Ultra 12/256 ГБ серый титан</t>
  </si>
  <si>
    <t>Смартфон Apple iPhone 17 Pro Max (eSim) 1024 ГБ Синий</t>
  </si>
  <si>
    <t>Смартфон Apple iPhone 18 Pro Max 1024 ГБ Burgundy | Бургунди</t>
  </si>
  <si>
    <t>Смартфон Apple iPhone 17 Pro Max (eSim) 1024 ГБ Серебристый</t>
  </si>
  <si>
    <t>https://mgg.stores-apple.com/catalog/smartfon_apple_iphone_18_pro_max_1024_gb_dark_cherry_tyemnaya_vishnya/</t>
  </si>
  <si>
    <t>Смартфон Apple iPhone 17 Pro Max (Sim/eSim) 1024 ГБ Оранжевый</t>
  </si>
  <si>
    <t>Смартфон Samsung Galaxy S24 Ultra 12/256 ГБ фиолетовый титан</t>
  </si>
  <si>
    <t>Смартфон Apple iPhone 17 Pro Max (Sim/eSim) 1024 ГБ Синий</t>
  </si>
  <si>
    <t>Смартфон Apple iPhone 17 Pro Max (Sim/eSim) 1024 ГБ Серебристый</t>
  </si>
  <si>
    <t>Смартфон Samsung Galaxy S24 Ultra 12/256 ГБ черный титан</t>
  </si>
  <si>
    <t>Смартфон Apple iPhone 17 Pro Max (eSim) 2048 ГБ Оранжевый</t>
  </si>
  <si>
    <t>Смартфон Apple iPhone 17 Pro Max (eSim) 2048 ГБ Синий</t>
  </si>
  <si>
    <t>Смартфон Samsung Galaxy S24 Ultra 12/512 ГБ черный титан</t>
  </si>
  <si>
    <t>Смартфон Apple iPhone 17 Pro Max (eSim) 2048 ГБ Серебристый</t>
  </si>
  <si>
    <t>Смартфон Samsung Galaxy S24 Ultra 12/512 ГБ фиолетовый титан</t>
  </si>
  <si>
    <t>Смартфон Apple iPhone 17 Pro Max (Sim/eSim) 2048 ГБ Оранжевый</t>
  </si>
  <si>
    <t>https://девайс-прайс.рф/product/apple-iphone-air/apple-iphone-air-256gb-svetlo-zolotoi-bez-rustore</t>
  </si>
  <si>
    <t>Смартфон Apple iPhone 17 Pro Max (Sim/eSim) 2048 ГБ Синий</t>
  </si>
  <si>
    <t>Смартфон Samsung Galaxy S24 Ultra 12/512 ГБ серый титан</t>
  </si>
  <si>
    <t>Смартфон Apple iPhone 17 Pro Max (Sim/eSim) 2048 ГБ Серебристый</t>
  </si>
  <si>
    <t>iPhone 18 Pro 256 Черный eSim</t>
  </si>
  <si>
    <t>Смартфон Samsung Galaxy S24 Ultra 12/512 ГБ желтый титан</t>
  </si>
  <si>
    <t>https://mgg.stores-apple.com/catalog/smartfon-apple-iphone-air-256-gb-belyi/</t>
  </si>
  <si>
    <t>Смартфон Apple iPhone 18 Pro Max 2048 ГБ Glacier | Ледяной</t>
  </si>
  <si>
    <t>https://mgg.stores-apple.com/catalog/smartfon_apple_iphone_18_pro_max_2048_gb_blue_goluboy/</t>
  </si>
  <si>
    <t>iPhone 18 Pro 256 Небесно-голубой eSim</t>
  </si>
  <si>
    <t>iPhone 18 Pro 256 Серебристый eSim</t>
  </si>
  <si>
    <t>Смартфон Apple iPhone 18 Pro Max 2048 ГБ Black | Чёрный</t>
  </si>
  <si>
    <t>https://mgg.stores-apple.com/catalog/smartfon_apple_iphone_18_pro_max_2048_gb_dark_grey_tyemno_seryy/</t>
  </si>
  <si>
    <t>iPhone 18 Pro 512 Небесно-голубой eSim</t>
  </si>
  <si>
    <t>Игровая приставка Sony PlayStation 5 Degital Edition</t>
  </si>
  <si>
    <t>https://девайс-прайс.рф/product/apple-iphone-air/apple-iphone-air-256gb-beloe-oblako-bez-rustore</t>
  </si>
  <si>
    <t>iPhone 18 Pro 512 Серебристый eSim</t>
  </si>
  <si>
    <t>iPhone 18 Pro 512 Черный eSim</t>
  </si>
  <si>
    <t>https://mgg.stores-apple.com/catalog/smartfon-apple-iphone-air-512-gb-goluboi/</t>
  </si>
  <si>
    <t>Смартфон Apple iPhone 18 Pro Max 2048 ГБ Silver | Серебро</t>
  </si>
  <si>
    <t>https://mgg.stores-apple.com/catalog/smartfon_apple_iphone_18_pro_max_2048_gb_silver_serebro/</t>
  </si>
  <si>
    <t>Смартфон Apple iPhone 18 Pro (eSim) 1024 ГБ Бургунди</t>
  </si>
  <si>
    <t>iPhone 18 Pro 1024 Бургунди eSim</t>
  </si>
  <si>
    <t>Смартфон Apple iPhone 18 Pro (eSim) 1024 ГБ  Небесно-голубой</t>
  </si>
  <si>
    <t>Очки виртуальной реальности Sony PlayStation VR 2</t>
  </si>
  <si>
    <t>iPhone 18 Pro 1024 Небесно-голубой eSim</t>
  </si>
  <si>
    <t>Смартфон Apple iPhone 18 Pro (eSim) 1024 ГБ  Серебристый</t>
  </si>
  <si>
    <t>Смартфон Apple iPhone 18 Pro Max 2048 ГБ Burgundy | Бургунди</t>
  </si>
  <si>
    <t>https://mgg.stores-apple.com/catalog/smartfon_apple_iphone_18_pro_max_2048_gb_dark_cherry_tyemnaya_vishnya/</t>
  </si>
  <si>
    <t>https://девайс-прайс.рф/product/apple-iphone-air/apple-iphone-air-512gb-goluboe-nebo-bez-rustore</t>
  </si>
  <si>
    <t>iPhone 18 Pro 1024 Серебристый eSim</t>
  </si>
  <si>
    <t>Смартфон Apple iPhone 18 Pro (eSim) 1024 ГБ  Черный</t>
  </si>
  <si>
    <t>Батарейки Xiaomi</t>
  </si>
  <si>
    <t>Метеостанция Xiaomi Mijia Bluetooth</t>
  </si>
  <si>
    <t>https://mgg.stores-apple.com/catalog/smartfon-apple-iphone-air-512-gb-chernyi/</t>
  </si>
  <si>
    <t>iPhone 18 Pro 1024 Черный eSim</t>
  </si>
  <si>
    <t>Смартфон Apple iPhone 18 Pro (eSim) 2048 ГБ Бургунди</t>
  </si>
  <si>
    <t>iPhone 18 Pro 2048 Бургунди eSim</t>
  </si>
  <si>
    <t>Смартфон Apple iPhone 18 Pro (eSim) 2048 ГБ Небесно-голубой</t>
  </si>
  <si>
    <t>iPhone 18 Pro</t>
  </si>
  <si>
    <t>Щетка ультразвуковая для лица InFace Sonic Clean жёлтая</t>
  </si>
  <si>
    <t>Смартфон Apple iPhone 18 Pro 256 ГБ Burgundy | Бургунди</t>
  </si>
  <si>
    <t>https://mgg.stores-apple.com/catalog/smartfon_apple_iphone_18_pro_256_gb_dark_cherry_tyemnaya_vishnya/</t>
  </si>
  <si>
    <t>iPhone 18 Pro 2048 Небесно-голубой eSim</t>
  </si>
  <si>
    <t>Смартфон Apple iPhone 18 Pro (eSim) 2048 ГБ Серебристый</t>
  </si>
  <si>
    <t>Щетка ультразвуковая для лица InFace Sonic Clean розовая</t>
  </si>
  <si>
    <t>Автоматический диспенсер для мыла Xiaomi Mijia</t>
  </si>
  <si>
    <t>iPhone 18 Pro 2048 Серебристый eSim</t>
  </si>
  <si>
    <t>Смартфон Apple iPhone 18 Pro (eSim) 2048 ГБ Черный</t>
  </si>
  <si>
    <t>Часы с датчиком влажности Xiaomi</t>
  </si>
  <si>
    <t>Планшет для рисования Xiaomi 13.5</t>
  </si>
  <si>
    <t>iPhone 18 Pro 2048 Черный eSim</t>
  </si>
  <si>
    <t>https://девайс-прайс.рф/product/apple-iphone-air/apple-iphone-air-512gb-chiornyi-kosmos-bez-rustore</t>
  </si>
  <si>
    <t>iPhone 18 Pro 256 Бургунди Sim</t>
  </si>
  <si>
    <t>iPhone 18 Pro 256 Небесно-голубой Sim</t>
  </si>
  <si>
    <t>Смартфон Apple iPhone 18 Pro 256 ГБ Silver | Серебро</t>
  </si>
  <si>
    <t>https://mgg.stores-apple.com/catalog/smartfon-apple-iphone-air-512-gb-zolotoi/</t>
  </si>
  <si>
    <t>Бумага для принтера Xiaomi</t>
  </si>
  <si>
    <t>https://mgg.stores-apple.com/catalog/smartfon_apple_iphone_18_pro_256_gb_silver_serebro/</t>
  </si>
  <si>
    <t>iPhone 18 Pro 256 Серебристый Sim</t>
  </si>
  <si>
    <t>Электрическая отвертка Xiaomi Wowstick</t>
  </si>
  <si>
    <t>iPhone 18 Pro 256 Черный Sim</t>
  </si>
  <si>
    <t>iPhone 18 Pro 512 Бургунди Sim</t>
  </si>
  <si>
    <t>Отпариватель xiaomi mijia</t>
  </si>
  <si>
    <t>iPhone 18 Pro 512 Небесно-голубой Sim</t>
  </si>
  <si>
    <t>Электрические кусачки xiaomi mini</t>
  </si>
  <si>
    <t>Смартфон Apple iPhone 18 Pro 256 ГБ Glacier | Ледяной</t>
  </si>
  <si>
    <t>https://mgg.stores-apple.com/catalog/smartfon_apple_iphone_18_pro_256_gb_blue_goluboy/</t>
  </si>
  <si>
    <t>Фен для волос Xiaomi Mijia Negative</t>
  </si>
  <si>
    <t>iPhone 18 Pro 512 Черный Sim</t>
  </si>
  <si>
    <t>https://девайс-прайс.рф/product/apple-iphone-air/apple-iphone-air-512gb-svetlo-zolotoi-bez-rustore</t>
  </si>
  <si>
    <t>iPhone 18 Pro 512 Серебристый Sim</t>
  </si>
  <si>
    <t>Смартфон Apple iPhone 18 Pro (Sim/eSim) 1024 ГБ Бургунди</t>
  </si>
  <si>
    <t>Набор керамических ножей Xiaomi 4в1</t>
  </si>
  <si>
    <t>https://mgg.stores-apple.com/catalog/smartfon-apple-iphone-air-512-gb-belyi/</t>
  </si>
  <si>
    <t>Планшет для рисования Xiaomi 20</t>
  </si>
  <si>
    <t>iPhone 18 Pro 1024 Бургунди Sim</t>
  </si>
  <si>
    <t>Смартфон Apple iPhone 18 Pro 256 ГБ Black | Чёрный</t>
  </si>
  <si>
    <t>Смартфон Apple iPhone 18 Pro (Sim/eSim) 1024 ГБ  Небесно-голубой</t>
  </si>
  <si>
    <t>https://mgg.stores-apple.com/catalog/smartfon_apple_iphone_18_pro_256_gb_dark_grey_tyemno_seryy/</t>
  </si>
  <si>
    <t>Фен Xiaomi Mi Ionic Hair Dryer H101</t>
  </si>
  <si>
    <t>Портативный блендер Xiaomi Qcooker Wireless Meat Grinder</t>
  </si>
  <si>
    <t>iPhone 18 Pro 1024 Небесно-голубой Sim</t>
  </si>
  <si>
    <t>Смартфон Apple iPhone 18 Pro (Sim/eSim) 1024 ГБ  Серебристый</t>
  </si>
  <si>
    <t>Компрессор Xiaomi 70mai Midrive</t>
  </si>
  <si>
    <t>iPhone 18 Pro 1024 Серебристый Sim</t>
  </si>
  <si>
    <t>Фонарик Xiaomi NexTool</t>
  </si>
  <si>
    <t>Смартфон Apple iPhone 18 Pro (Sim/eSim) 1024 ГБ  Черный</t>
  </si>
  <si>
    <t>Увлажнитель для воздуха Xiaomi</t>
  </si>
  <si>
    <t>iPhone 18 Pro 1024 Черный Sim</t>
  </si>
  <si>
    <t>Смартфон Apple iPhone 18 Pro 512 ГБ Silver | Серебро</t>
  </si>
  <si>
    <t>Камера видеонаблюдения Xiaomi MILAB Home Security</t>
  </si>
  <si>
    <t>Смартфон Apple iPhone 18 Pro (Sim/eSim) 2048 ГБ Бургунди</t>
  </si>
  <si>
    <t>https://mgg.stores-apple.com/catalog/smartfon_apple_iphone_18_pro_512_gb_silver_serebro/</t>
  </si>
  <si>
    <t>https://девайс-прайс.рф/product/apple-iphone-air/apple-iphone-air-512gb-beloe-oblako-bez-rustore</t>
  </si>
  <si>
    <t>iPhone 18 Pro 2048 Бургунди Sim</t>
  </si>
  <si>
    <t>Смартфон Apple iPhone 18 Pro (Sim/eSim) 2048 ГБ Небесно-голубой</t>
  </si>
  <si>
    <t>https://mgg.stores-apple.com/catalog/smartfon-apple-iphone-air-1024-gb-goluboi/</t>
  </si>
  <si>
    <t>Умные часы Xiaomi Mibro Lite</t>
  </si>
  <si>
    <t>iPhone 18 Pro 2048 Небесно-голубой Sim</t>
  </si>
  <si>
    <t>Камера видеонаблюдения Xiaomi Start PTZ</t>
  </si>
  <si>
    <t>Смартфон Apple iPhone 18 Pro (Sim/eSim) 2048 ГБ Серебристый</t>
  </si>
  <si>
    <t>Массажер Xiaomi Monica</t>
  </si>
  <si>
    <t>Смартфон Apple iPhone 18 Pro 512 ГБ Black | Чёрный</t>
  </si>
  <si>
    <t>https://mgg.stores-apple.com/catalog/smartfon_apple_iphone_18_pro_512_gb_dark_grey_tyemno_seryy/</t>
  </si>
  <si>
    <t>iPhone 18 Pro 2048 Серебристый Sim</t>
  </si>
  <si>
    <t>Принтер Xiaomi Mija AR Zink</t>
  </si>
  <si>
    <t>Смартфон Apple iPhone 18 Pro (Sim/eSim) 2048 ГБ Черный</t>
  </si>
  <si>
    <t>Детские часы Xiaomi Mibro с GPS</t>
  </si>
  <si>
    <t>Стабилизатор Xiaomi</t>
  </si>
  <si>
    <t>iPhone 18 Pro 2048 Черный Sim</t>
  </si>
  <si>
    <t>Фен для волос Xiaomi h501</t>
  </si>
  <si>
    <t>Пылесос Xiaomi DREAMFE F9</t>
  </si>
  <si>
    <t>Автомобильный держатель Borofone</t>
  </si>
  <si>
    <t>Скребок для льда и снега</t>
  </si>
  <si>
    <t>https://mgg.stores-apple.com/catalog/smartfon-apple-iphone-air-1024-gb-chernyi/</t>
  </si>
  <si>
    <t>Автомобильный держатель магнитный Uzay</t>
  </si>
  <si>
    <t>Смартфон Apple iPhone 18 Pro 512 ГБ Burgundy | Бургунди</t>
  </si>
  <si>
    <t>https://mgg.stores-apple.com/catalog/smartfon_apple_iphone_18_pro_512_gb_dark_cherry_tyemnaya_vishnya/</t>
  </si>
  <si>
    <t>iPhone 18 Pro Max 256 Серебристый eSim</t>
  </si>
  <si>
    <t>iPhone 18 Pro Max 256 Черный eSim</t>
  </si>
  <si>
    <t>Парковочная карта Baseus</t>
  </si>
  <si>
    <t>Автомобильная зарядка Baseus Digital Display</t>
  </si>
  <si>
    <t>Смартфон Apple iPhone 18 Pro 512 ГБ Glacier | Ледяной</t>
  </si>
  <si>
    <t>https://mgg.stores-apple.com/catalog/smartfon_apple_iphone_18_pro_512_gb_blue_goluboy/</t>
  </si>
  <si>
    <t>Автомобильная зарядка Baseus Grain</t>
  </si>
  <si>
    <t>iPhone 18 Pro Max 512 Серебристый eSim</t>
  </si>
  <si>
    <t>Автомобильное зарядное устройство Uzay</t>
  </si>
  <si>
    <t>https://mgg.stores-apple.com/catalog/smartfon-apple-iphone-air-1024-gb-zolotoi/</t>
  </si>
  <si>
    <t>Автомобильный держатель HOCO CA91</t>
  </si>
  <si>
    <t>iPhone 18 Pro Max 512 Черный eSim</t>
  </si>
  <si>
    <t>Автомобильный держатель Baseus Metal age gravity</t>
  </si>
  <si>
    <t>Смартфон Apple iPhone 18 Pro Max (eSim) 1024 ГБ Бургунди</t>
  </si>
  <si>
    <t>Bluetooth ресивер для авто Wiwu</t>
  </si>
  <si>
    <t>iPhone 18 Pro Max 1024 Бургунди eSim</t>
  </si>
  <si>
    <t>Смартфон Apple iPhone 18 Pro Max (eSim) 1024 ГБ Небесно-голубой</t>
  </si>
  <si>
    <t>Автомобильный держатель Baseus Gravity Car mount</t>
  </si>
  <si>
    <t>Смартфон Apple iPhone 18 Pro 1024 ГБ Silver | Серебро</t>
  </si>
  <si>
    <t>https://mgg.stores-apple.com/catalog/smartfon_apple_iphone_18_pro_1024_gb_silver_serebro/</t>
  </si>
  <si>
    <t>Автомобильный держатель магнитный с беспроводной зарядкой Uzay</t>
  </si>
  <si>
    <t>iPhone 18 Pro Max 1024 Небесно-голубой eSim</t>
  </si>
  <si>
    <t>Смартфон Apple iPhone 18 Pro Max (eSim) 1024 ГБ Серебристый</t>
  </si>
  <si>
    <t>Автомобильный держатель Baseus Gravity Car</t>
  </si>
  <si>
    <t>Автопылесос Baseus Capsule</t>
  </si>
  <si>
    <t>iPhone 18 Pro Max 1024 Серебристый eSim</t>
  </si>
  <si>
    <t>Смартфон Apple iPhone 18 Pro Max (eSim) 1024 ГБ Черный</t>
  </si>
  <si>
    <t>Автомобильный держатель Baseus halo electirc wireless</t>
  </si>
  <si>
    <t>Автомобильный держатель Wiwu lIBERATOR 15W</t>
  </si>
  <si>
    <t>iPhone 18 Pro Max 1024 Черный eSim</t>
  </si>
  <si>
    <t>Смартфон Apple iPhone 18 Pro Max (eSim) 2048 ГБ Бургунди</t>
  </si>
  <si>
    <t>Видеорегистратор HOCO DV2</t>
  </si>
  <si>
    <t>https://mgg.stores-apple.com/catalog/smartfon-apple-iphone-air-1024-gb-belyi/</t>
  </si>
  <si>
    <t>iPhone 18 Pro Max 2048 Бургунди eSim</t>
  </si>
  <si>
    <t>Автомобильный держатель Baseus Milky Way</t>
  </si>
  <si>
    <t>Смартфон Apple iPhone 18 Pro Max (eSim) 2048 ГБ Небесно-голубой</t>
  </si>
  <si>
    <t>Автомобильный держатель Baseus Light Electric</t>
  </si>
  <si>
    <t>Смартфон Apple iPhone 18 Pro 1024 ГБ Black | Чёрный</t>
  </si>
  <si>
    <t>https://mgg.stores-apple.com/catalog/smartfon_apple_iphone_18_pro_1024_gb_dark_grey_tyemno_seryy/</t>
  </si>
  <si>
    <t>iPhone 18 Pro Max 2048 Небесно-голубой eSim</t>
  </si>
  <si>
    <t>Автомобильный держатель Energy Car VLP</t>
  </si>
  <si>
    <t>Смартфон Apple iPhone 18 Pro Max (eSim) 2048 ГБ Серебристый</t>
  </si>
  <si>
    <t>Видеорегистратор HOCO DV3 с задней камерой</t>
  </si>
  <si>
    <t>iPhone 18 Pro Max 2048 Серебристый eSim</t>
  </si>
  <si>
    <t>Смартфон Apple iPhone 18 Pro Max (eSim) 2048 ГБ Черный</t>
  </si>
  <si>
    <t>Массажер для лица Bomidi</t>
  </si>
  <si>
    <t>Охлаждающие камни для виски Xiaomi</t>
  </si>
  <si>
    <t>iPhone 18 Pro Max 2048 Черный eSim</t>
  </si>
  <si>
    <t>iPhone 18 Pro Max 256 Небесно-голубой Sim</t>
  </si>
  <si>
    <t>Дозатор для жидкого мыла Deerma DEM-XS100</t>
  </si>
  <si>
    <t>iPhone 18 Pro Max 256 Серебристый Sim</t>
  </si>
  <si>
    <t>Смартфон Apple iPhone 18 Pro 1024 ГБ Dark Burgundy | Бургунди</t>
  </si>
  <si>
    <t>https://mgg.stores-apple.com/catalog/smartfon_apple_iphone_18_pro_1024_gb_dark_cherry_tyemnaya_vishnya/</t>
  </si>
  <si>
    <t>Колонка Recci AMBER</t>
  </si>
  <si>
    <t>iPhone 18 Pro Max 256 Черный Sim</t>
  </si>
  <si>
    <t>Электрический штопор Circle Joy 4 в 1</t>
  </si>
  <si>
    <t>https://cifrocity.com/catalog/apple/iphone_17_pro/apple_iphone_17_pro_256gb_esim_oranzhevyy_bez_rustore/</t>
  </si>
  <si>
    <t>Увлажнитель воздуха lydsto</t>
  </si>
  <si>
    <t>iPhone 18 Pro Max 256 Бургунди Sim</t>
  </si>
  <si>
    <t>Зубная щетка Soocas</t>
  </si>
  <si>
    <t>iPhone 18 Pro Max 512 Серебристый Sim</t>
  </si>
  <si>
    <t>Складной нож NexTool</t>
  </si>
  <si>
    <t>iPhone 18 Pro Max 512 Черный Sim</t>
  </si>
  <si>
    <t>Смартфон Apple iPhone 18 Pro 1024 ГБ Glacier | Ледяной</t>
  </si>
  <si>
    <t>Громкоговоритель Infinity LAB Clear Call Harman Kardon</t>
  </si>
  <si>
    <t>https://mgg.stores-apple.com/catalog/smartfon_apple_iphone_18_pro_1024_gb_blue_goluboy/</t>
  </si>
  <si>
    <t>iPhone 18 Pro Max 512 Небесно-голубой Sim</t>
  </si>
  <si>
    <t>Наушники TWS Deppa Air Light 2 белый</t>
  </si>
  <si>
    <t>Наушники TWS Deppa Air Nova 3 белый</t>
  </si>
  <si>
    <t>iPhone 18 Pro Max 512 Бургунди Sim</t>
  </si>
  <si>
    <t>Наушники TWS Deppa Air Pro 2 белый</t>
  </si>
  <si>
    <t>https://mgg.stores-apple.com/catalog/smartfon-apple-iphone-17-pro-256-gb-oranzevyi-esim/</t>
  </si>
  <si>
    <t>Смартфон Apple iPhone 18 Pro Max (Sim/eSim) 1024 ГБ Бургунди</t>
  </si>
  <si>
    <t>Беспроводные/проводные наушники Deppa Stereo Max серый</t>
  </si>
  <si>
    <t>Умная колонка Яндекс Станция Лайт с Алисой желтый</t>
  </si>
  <si>
    <t>iPhone 18 Pro Max 1024 Бургунди Sim</t>
  </si>
  <si>
    <t>Смартфон Apple iPhone 18 Pro 2048 ГБ Black | Чёрный</t>
  </si>
  <si>
    <t>Умная колонка Яндекс Станция Лайт с Алисой ультрафиолетовый</t>
  </si>
  <si>
    <t>Смартфон Apple iPhone 18 Pro Max (Sim/eSim) 1024 ГБ Небесно-голубой</t>
  </si>
  <si>
    <t>https://mgg.stores-apple.com/catalog/smartfon_apple_iphone_18_pro_2048_gb_dark_grey_tyemno_seryy/</t>
  </si>
  <si>
    <t>Умная колонка Яндекс Станция Лайт с Алисой красный</t>
  </si>
  <si>
    <t>Умная колонка Яндекс Станция Лайт с Алисой розовый</t>
  </si>
  <si>
    <t>iPhone 18 Pro Max 1024 Небесно-голубой Sim</t>
  </si>
  <si>
    <t>Смартфон Apple iPhone 18 Pro Max (Sim/eSim) 1024 ГБ Серебристый</t>
  </si>
  <si>
    <t>Умная колонка Яндекс Станция Лайт с Алисой бежевый</t>
  </si>
  <si>
    <t>Умная колонка Яндекс Станция Лайт с Алисой бирюзовый</t>
  </si>
  <si>
    <t>iPhone 18 Pro Max 1024 Серебристый Sim</t>
  </si>
  <si>
    <t>Смартфон Apple iPhone 18 Pro Max (Sim/eSim) 1024 ГБ Черный</t>
  </si>
  <si>
    <t>Умная колонка Яндекс Станция Мини 2 с часами и Алисой чёрный оникс</t>
  </si>
  <si>
    <t>iPhone 18 Pro Max 1024 Черный Sim</t>
  </si>
  <si>
    <t>Смартфон Apple iPhone 18 Pro Max (Sim/eSim) 2048 ГБ Бургунди</t>
  </si>
  <si>
    <t>Смартфон Apple iPhone 18 Pro 2048 ГБ Silver | Серебро</t>
  </si>
  <si>
    <t>https://девайс-прайс.рф/product/apple-iphone-17-pro/apple-iphone-17-pro-256gb-esim-kosmicheskii-oranzhevyi-bez-rustore</t>
  </si>
  <si>
    <t>https://mgg.stores-apple.com/catalog/smartfon_apple_iphone_18_pro_2048_gb_silver_serebro/</t>
  </si>
  <si>
    <t>iPhone 18 Pro Max 2048 Бургунди Sim</t>
  </si>
  <si>
    <t>Смартфон Apple iPhone 18 Pro Max (Sim/eSim) 2048 ГБ Небесно-голубой</t>
  </si>
  <si>
    <t>iPhone 18 Pro Max 2048 Небесно-голубой Sim</t>
  </si>
  <si>
    <t>Смартфон Apple iPhone 18 Pro Max (Sim/eSim) 2048 ГБ  Серебристый</t>
  </si>
  <si>
    <t>https://cifrocity.com/catalog/apple/iphone_17_pro/apple_iphone_17_pro_256gb_esim_siniy_bez_rustore/</t>
  </si>
  <si>
    <t>Умная колонка Яндекс Станция Мини 2 с часами и Алисой синий сапфир</t>
  </si>
  <si>
    <t>iPhone 18 Pro Max 2048 Серебристый Sim</t>
  </si>
  <si>
    <t>Смартфон Apple iPhone 18 Pro Max (Sim/eSim) 2048 ГБ  Черный</t>
  </si>
  <si>
    <t>iPhone 18 Pro Max 2048 Черный Sim</t>
  </si>
  <si>
    <t>Смартфон Apple iPhone 18 Pro 2048 ГБ Burgundy | Бургунди</t>
  </si>
  <si>
    <t>https://mgg.stores-apple.com/catalog/smartfon_apple_iphone_18_pro_2048_gb_dark_cherry_tyemnaya_vishnya/</t>
  </si>
  <si>
    <t>Умная колонка Яндекс Станция Мини 2 с часами и Алисой красный гранат</t>
  </si>
  <si>
    <t>https://mgg.stores-apple.com/catalog/smartfon-apple-iphone-17-pro-256-gb-sinij-esim/</t>
  </si>
  <si>
    <t>Умная колонка Яндекс Станция Мини 2 с часами и Алисой cерый опал</t>
  </si>
  <si>
    <t>Смартфон Apple iPhone 18 Pro 2048 ГБ Glacier | Ледяной</t>
  </si>
  <si>
    <t>https://mgg.stores-apple.com/catalog/smartfon_apple_iphone_18_pro_2048_gb_blue_goluboy/</t>
  </si>
  <si>
    <t>Умная колонка Яндекс Станция Миди с Алисой на YaGPT чёрный</t>
  </si>
  <si>
    <t>https://девайс-прайс.рф/product/apple-iphone-17-pro/apple-iphone-17-pro-256gb-esim-glubokii-sinii-bez-rustore</t>
  </si>
  <si>
    <t>iPhone Duo</t>
  </si>
  <si>
    <t>Смартфон Apple iPhone Duo 256 ГБ Star White | Белая звезда</t>
  </si>
  <si>
    <t>https://mgg.stores-apple.com/catalog/smartfon_apple_iphone_duo_256_gb_star_white_belaya_zvezda/</t>
  </si>
  <si>
    <t>https://cifrocity.com/catalog/apple/iphone_17_pro/apple_iphone_17_pro_256gb_esim_serebristyy_bez_rustore/</t>
  </si>
  <si>
    <t>Умная колонка Яндекс Станция Миди с Алисой на YaGPT малиновый</t>
  </si>
  <si>
    <t>Смартфон Apple iPhone Duo 256 ГБ Night Sky | Ночное небо</t>
  </si>
  <si>
    <t>https://mgg.stores-apple.com/catalog/smartfon_apple_iphone_duo_256_gb_night_sky_nochnoe_nebo/</t>
  </si>
  <si>
    <t>https://mgg.stores-apple.com/catalog/smartfon-apple-iphone-17-pro-256-gb-serebristyj-esim/</t>
  </si>
  <si>
    <t>Умная колонка Яндекс Станция Миди с Алисой на YaGPT изумрудный</t>
  </si>
  <si>
    <t>Смартфон Apple iPhone Duo 512 ГБ Star White | Белая звезда</t>
  </si>
  <si>
    <t>https://mgg.stores-apple.com/catalog/smartfon_apple_iphone_duo_512_gb_star_white_belaya_zvezda/</t>
  </si>
  <si>
    <t>Умная колонка Яндекс Станция Миди с Алисой на YaGPT белый</t>
  </si>
  <si>
    <t>https://девайс-прайс.рф/product/apple-iphone-17-pro/apple-iphone-17-pro-256gb-esim-serebristyi-bez-rustore</t>
  </si>
  <si>
    <t>https://cifrocity.com/catalog/apple/iphone_17_pro/apple_iphone_17_pro_256gb_oranzhevyy/</t>
  </si>
  <si>
    <t>Смартфон Apple iPhone Duo 512 ГБ Night Sky | Ночное небо</t>
  </si>
  <si>
    <t>https://mgg.stores-apple.com/catalog/smartfon_apple_iphone_duo_512_gb_night_sky_nochnoe_nebo/</t>
  </si>
  <si>
    <t>Умная колонка Яндекс Станция 2 с Алисой чёрный антрацит</t>
  </si>
  <si>
    <t>Смартфон Apple iPhone Duo 1024 ГБ Night Sky | Ночное небо</t>
  </si>
  <si>
    <t>https://mgg.stores-apple.com/catalog/smartfon_apple_iphone_duo_1024_gb_night_sky_nochnoe_nebo/</t>
  </si>
  <si>
    <t>https://mgg.stores-apple.com/catalog/smartfon-apple-iphone-17-pro-256-gb-oranzevyi/</t>
  </si>
  <si>
    <t>Умная колонка Яндекс Станция 2 с Алисой песочный</t>
  </si>
  <si>
    <t>Смартфон Apple iPhone Duo 1024 ГБ Star White | Белая звезда</t>
  </si>
  <si>
    <t>https://mgg.stores-apple.com/catalog/smartfon_apple_iphone_duo_1024_gb_star_white_belaya_zvezda/</t>
  </si>
  <si>
    <t>https://девайс-прайс.рф/product/apple-iphone-17-pro/apple-iphone-17-pro-256gb-simesim-kosmicheskii-oranzhevyi-bez-rustore</t>
  </si>
  <si>
    <t>Умная колонка Яндекс Станция 2 с Алисой медный</t>
  </si>
  <si>
    <t>https://cifrocity.com/catalog/apple/iphone_17_pro/apple_iphone_17_pro_256gb_siniy/</t>
  </si>
  <si>
    <t>Смартфон Apple iPhone Duo 2048 ГБ Star White | Белая звезда</t>
  </si>
  <si>
    <t>https://mgg.stores-apple.com/catalog/smartfon_apple_iphone_duo_2048_gb_star_white_belaya_zvezda/</t>
  </si>
  <si>
    <t>Умная колонка Яндекс Станция Макс с Алисой на YaGPT зелёный</t>
  </si>
  <si>
    <t>Умная колонка Яндекс Станция Макс с Алисой на YaGPT серый</t>
  </si>
  <si>
    <t>Смартфон Apple iPhone Duo 2048 ГБ Night Sky | Ночное небо</t>
  </si>
  <si>
    <t>https://mgg.stores-apple.com/catalog/smartfon-apple-iphone-17-pro-256-gb-sinij/</t>
  </si>
  <si>
    <t>https://mgg.stores-apple.com/catalog/smartfon_apple_iphone_duo_2048_gb_night_sky_nochnoe_nebo/</t>
  </si>
  <si>
    <t>Умная колонка Яндекс Станция Макс с Алисой на YaGPT синий</t>
  </si>
  <si>
    <t>Умная колонка Яндекс Станция Макс с Алисой на YaGPT малиновый</t>
  </si>
  <si>
    <t>iPhone 17</t>
  </si>
  <si>
    <t>Смартфон Apple iPhone 17 256 ГБ лавандовый</t>
  </si>
  <si>
    <t>https://mgg.stores-apple.com/catalog/smartfon_apple_iphone_17_256_gb_lavandovyy_/</t>
  </si>
  <si>
    <t>Умная колонка Яндекс Станция Дуо Макс с Алисой на YaGPT чёрный</t>
  </si>
  <si>
    <t>https://девайс-прайс.рф/product/apple-iphone-17-pro/apple-iphone-17-pro-256gb-simesim-glubokii-sinii-bez-rustore</t>
  </si>
  <si>
    <t>Умная колонка Яндекс Станция Дуо Макс с Алисой на YaGPT бежевый</t>
  </si>
  <si>
    <t>https://cifrocity.com/catalog/apple/iphone_17_pro/apple_iphone_17_pro_256gb_belyy/</t>
  </si>
  <si>
    <t>Смартфон Apple iPhone 17 256 ГБ зеленый</t>
  </si>
  <si>
    <t>https://mgg.stores-apple.com/catalog/smartfon_apple_iphone_17_256_gb_zelenyy_nano_sim_esim_aktiv/</t>
  </si>
  <si>
    <t>Беспроводные наушники Apple AirPods Max USB-C, «сияющая звезда»</t>
  </si>
  <si>
    <t>https://mgg.stores-apple.com/catalog/smartfon-apple-iphone-17-pro-256-gb-serebristyj/</t>
  </si>
  <si>
    <t>Смартфон Apple iPhone 17 256 ГБ голубой</t>
  </si>
  <si>
    <t>https://mgg.stores-apple.com/catalog/smartfon_apple_iphone_17_256_gb_goluboy_nano_sim_esim_aktiv/</t>
  </si>
  <si>
    <t>Беспроводные наушники Apple AirPods Max USB-C, оранжевый</t>
  </si>
  <si>
    <t>https://девайс-прайс.рф/product/apple-iphone-17-pro/apple-iphone-17-pro-256gb-simesim-serebristyi-bez-rustore</t>
  </si>
  <si>
    <t>Беспроводные наушники Apple AirPods Max USB-C, фиолетовый</t>
  </si>
  <si>
    <t>https://mgg.stores-apple.com/catalog/smartfon_apple_iphone_17_256_gb_lavandovyy_nano_sim_esim_aktiv/</t>
  </si>
  <si>
    <t>https://cifrocity.com/catalog/apple/iphone_17_pro/apple_iphone_17_pro_512gb_oranzhevyy_bez_rustore/</t>
  </si>
  <si>
    <t>Беспроводные наушники Apple AirPods Max USB-C, синий</t>
  </si>
  <si>
    <t>Смартфон Apple iPhone 17 256 ГБ черный</t>
  </si>
  <si>
    <t>https://mgg.stores-apple.com/catalog/smartfon_apple_iphone_17_256_gb_chernyy_nano_sim_esim_aktiv/</t>
  </si>
  <si>
    <t>Беспроводные наушники Apple AirPods Max USB-C, «полуночный черный»</t>
  </si>
  <si>
    <t>https://mgg.stores-apple.com/catalog/smartfon-apple-iphone-17-pro-512-gb-oranzevyi-esim/</t>
  </si>
  <si>
    <t>Смартфон Apple iPhone 15 Plus 128 ГБ Розовый</t>
  </si>
  <si>
    <t>Смартфон Apple iPhone 15 Plus 128 ГБ Синий</t>
  </si>
  <si>
    <t>Смартфон Apple iPhone 17 256 ГБ белый</t>
  </si>
  <si>
    <t>https://mgg.stores-apple.com/catalog/smartfon_apple_iphone_17_256_gb_belyy_nano_sim_esim_aktiv/</t>
  </si>
  <si>
    <t>Смартфон Apple iPhone 15 Plus 128 ГБ Чёрный</t>
  </si>
  <si>
    <t>Смартфон Apple iPhone 15 Plus 128 ГБ Жёлтый</t>
  </si>
  <si>
    <t>https://девайс-прайс.рф/product/apple-iphone-17-pro/apple-iphone-17-pro-512gb-esim-kosmicheskii-oranzhevyi-bez-rustore</t>
  </si>
  <si>
    <t>Смартфон Apple iPhone 15 Plus 128 ГБ Зелёный</t>
  </si>
  <si>
    <t>Смартфон Apple iPhone 15 Plus 256 ГБ Розовый</t>
  </si>
  <si>
    <t>Смартфон Apple iPhone 15 Plus 256 ГБ Синий</t>
  </si>
  <si>
    <t>Смартфон Apple iPhone 15 Plus 256 ГБ Чёрный</t>
  </si>
  <si>
    <t>Смартфон Apple iPhone 15 Plus 256 ГБ Жёлтый</t>
  </si>
  <si>
    <t>https://cifrocity.com/catalog/apple/iphone_17_pro/apple_iphone_17_pro_128gb_chernyy_titan_/</t>
  </si>
  <si>
    <t>Смартфон Apple iPhone 15 Plus 256 ГБ Зелёный</t>
  </si>
  <si>
    <t>Смартфон Apple iPhone 15 Plus 512 ГБ Розовый</t>
  </si>
  <si>
    <t>Смартфон Apple iPhone 15 Plus 512 ГБ Синий</t>
  </si>
  <si>
    <t>Смартфон Apple iPhone 15 Plus 512 ГБ Чёрный</t>
  </si>
  <si>
    <t>Смартфон Apple iPhone 15 Plus 512 ГБ Жёлтый</t>
  </si>
  <si>
    <t>Смартфон Apple iPhone 15 Plus 512 ГБ Зелёный</t>
  </si>
  <si>
    <t>Смартфон Apple iPhone 14 Plus 128 ГБ Темная ночь</t>
  </si>
  <si>
    <t>Смартфон Apple iPhone 14 Plus 128 ГБ Сияющая звезда</t>
  </si>
  <si>
    <t>Смартфон Apple iPhone 14 Plus 128 ГБ Синий</t>
  </si>
  <si>
    <t>Смартфон Apple iPhone 14 Plus 128 ГБ Фиолетовый</t>
  </si>
  <si>
    <t>Смартфон Apple iPhone 14 Plus 128 ГБ Красный</t>
  </si>
  <si>
    <t>Смартфон Apple iPhone 14 Plus 256 ГБ Темная ночь</t>
  </si>
  <si>
    <t>Смартфон Apple iPhone 14 Plus 256 ГБ Сияющая звезда</t>
  </si>
  <si>
    <t>https://mgg.stores-apple.com/catalog/smartfon-apple-iphone-17-pro-512-gb-sinij-esim/</t>
  </si>
  <si>
    <t>Смартфон Apple iPhone 14 Plus 256 ГБ Синий</t>
  </si>
  <si>
    <t>Смартфон Apple iPhone 14 Plus 256 ГБ Фиолетовый</t>
  </si>
  <si>
    <t>Смартфон Apple iPhone 14 Plus 256 ГБ Красный</t>
  </si>
  <si>
    <t>Смартфон Apple iPhone 14 Plus 512 ГБ Темная ночь</t>
  </si>
  <si>
    <t>Смартфон Apple iPhone 14 Plus 512 ГБ Сияющая звезда</t>
  </si>
  <si>
    <t>Смартфон Apple iPhone 14 Plus 512 ГБ Синий</t>
  </si>
  <si>
    <t>Смартфон Apple iPhone 14 Plus 512 ГБ Фиолетовый</t>
  </si>
  <si>
    <t>Смартфон Apple iPhone 14 Plus 512 ГБ Красный</t>
  </si>
  <si>
    <t>Зарядная станция Sony DualSense для 2-х геймпадов</t>
  </si>
  <si>
    <t>Дисковод для приставки Sony Disc Drive для Playstation 5 Slim/Pro</t>
  </si>
  <si>
    <t>https://девайс-прайс.рф/product/apple-iphone-17-pro/apple-iphone-17-pro-512gb-esim-glubokii-sinii-bez-rustore</t>
  </si>
  <si>
    <t>https://cifrocity.com/catalog/apple/iphone_17_pro/apple_iphone_17_pro_256gb_seryy/</t>
  </si>
  <si>
    <t>Игровая приставка Sony PlayStation 5 Pro 2 ТБ</t>
  </si>
  <si>
    <t>Смарт-часы Apple Watch Series 10 Titanium, 42 мм цвет Gold</t>
  </si>
  <si>
    <t>Смарт-часы Apple Watch Series 10 Titanium, 42 мм цвет Slate</t>
  </si>
  <si>
    <t>Смарт-часы Apple Watch Series 10 Titanium, 42 мм цвет Natural</t>
  </si>
  <si>
    <t>https://mgg.stores-apple.com/catalog/smartfon-apple-iphone-17-pro-512-gb-serebristyj-esim/</t>
  </si>
  <si>
    <t>Смарт-часы Apple Watch Series 10 Titanium, 46 мм цвет Natural</t>
  </si>
  <si>
    <t>Смарт-часы Apple Watch Series 10 Titanium, 46 мм цвет Slate</t>
  </si>
  <si>
    <t>Смарт-часы Apple Watch Series 10 Titanium, 46 мм цвет Gold</t>
  </si>
  <si>
    <t>Смарт-часы Apple Watch Ultra 2 GPS + Cellular 2024, 49 мм, оранжевого цвета</t>
  </si>
  <si>
    <t>Смарт-часы Apple Watch Ultra 2 GPS + Cellular 2024, 49 мм, синего цвета</t>
  </si>
  <si>
    <t>Смарт-часы Apple Watch Ultra 2 GPS + Cellular 2024, 49 мм, белого цвета</t>
  </si>
  <si>
    <t>Смарт-часы Apple Watch Ultra 2 GPS + Cellular 2024, 49 мм, синего/черного цвета</t>
  </si>
  <si>
    <t>Смарт-часы Apple Watch Ultra 2 GPS + Cellular 2024, 49 мм, зеленого/серого цвета</t>
  </si>
  <si>
    <t>https://девайс-прайс.рф/product/apple-iphone-17-pro/apple-iphone-17-pro-512gb-esim-serebristyi-bez-rustore</t>
  </si>
  <si>
    <t>Смартфон Apple iPhone 17 256 ГБ лавандовый eSIM</t>
  </si>
  <si>
    <t>Смарт-часы Apple Watch Ultra 2 GPS + Cellular 2024, 49 мм, оранжевого/бежевого цвета</t>
  </si>
  <si>
    <t>Вертикальный пылесос Dyson V12 SV46 Detect Slim Absolute (Yellow/Nickel)</t>
  </si>
  <si>
    <t>https://cifrocity.com/catalog/apple/iphone_17_pro/apple_iphone_17_pro_512gb_sim_esim_oranzhevyy_bez_rustore/</t>
  </si>
  <si>
    <t>https://mgg.stores-apple.com/catalog/smartfon-apple-iphone-17-pro-512-gb-oranzevyi/</t>
  </si>
  <si>
    <t>Вертикальный пылесос Dyson V15 SV47 Detect Absolute (Yellow/Nickel) Full Complete</t>
  </si>
  <si>
    <t>Смартфон Apple iPhone 17 512 ГБ eSim лавандовый</t>
  </si>
  <si>
    <t>https://mgg.stores-apple.com/catalog/smartfon_apple_iphone_17_512_gb_esim_lavandovyy_/</t>
  </si>
  <si>
    <t>https://девайс-прайс.рф/product/apple-iphone-17-pro/apple-iphone-17-pro-512gb-simesim-kosmicheskii-oranzhevyi-bez-rustore</t>
  </si>
  <si>
    <t>Вертикальный пылесос Dyson V15s SV 47 Detected  Submarine (Yellow/Nickel) Вилка EU</t>
  </si>
  <si>
    <t>https://mgg.stores-apple.com/catalog/smartfon-apple-iphone-17-pro-512-gb-sinij/</t>
  </si>
  <si>
    <t>Смартфон Apple iPhone 17 256 ГБ eSim черный</t>
  </si>
  <si>
    <t>https://mgg.stores-apple.com/catalog/smartfon_apple_iphone_17_256_gb_esim_chernyy_/</t>
  </si>
  <si>
    <t>Ноутбук Apple MacBook Pro 14" (M4, 2024) 16/512 ГБ, серебристый</t>
  </si>
  <si>
    <t>https://девайс-прайс.рф/product/apple-iphone-17-pro/apple-iphone-17-pro-512gb-simesim-glubokii-sinii-bez-rustore</t>
  </si>
  <si>
    <t>https://mgg.stores-apple.com/catalog/smartfon_apple_iphone_17_256_gb_zelenyy_/</t>
  </si>
  <si>
    <t>https://cifrocity.com/catalog/apple/iphone_17_pro/apple_iphone_17_pro_512gb_sim_esim_serebristyy_bez_rustore/</t>
  </si>
  <si>
    <t>Ноутбук Apple MacBook Pro 14" (M4, 2024) 16/512 ГБ, черный космос</t>
  </si>
  <si>
    <t>Ноутбук Apple MacBook Pro 14" (M4, 2024) 24/512 ГБ, серебристый</t>
  </si>
  <si>
    <t>Ноутбук Apple MacBook Pro 14" (M4, 2024) 24/512 ГБ, черный космос</t>
  </si>
  <si>
    <t>https://mgg.stores-apple.com/catalog/smartfon-apple-iphone-17-pro-512-gb-serebristyj/</t>
  </si>
  <si>
    <t>https://mgg.stores-apple.com/catalog/smartfon_apple_iphone_17_256_gb_goluboy_/</t>
  </si>
  <si>
    <t>Ноутбук Apple MacBook Pro 14" (M4, 2024) 16/1 ТБ, серебристый</t>
  </si>
  <si>
    <t>Ноутбук Apple MacBook Pro 14" (M4, 2024) 16/1 ТБ, черный космос</t>
  </si>
  <si>
    <t>Ноутбук Apple MacBook Pro 14" (M4, 2024) 24/1 ТБ, серебристый</t>
  </si>
  <si>
    <t>https://девайс-прайс.рф/product/apple-iphone-17-pro/apple-iphone-17-pro-512gb-simesim-serebristyi-bez-rustore</t>
  </si>
  <si>
    <t>https://mgg.stores-apple.com/catalog/smartfon_apple_iphone_17_256_gb_belyy_/</t>
  </si>
  <si>
    <t>https://mgg.stores-apple.com/catalog/smartfon-apple-iphone-17-pro-1024-gb-oranzevyi-esim/</t>
  </si>
  <si>
    <t>Ноутбук Apple MacBook Pro 14" (M4, 2024) 24/1 ТБ, черный космос</t>
  </si>
  <si>
    <t>Ноутбук Apple MacBook Pro 16" (M4 Pro, 2024) 24/512 ГБ, серебристый</t>
  </si>
  <si>
    <t>https://mgg.stores-apple.com/catalog/smartfon_apple_iphone_17_256_gb_chernyy_/</t>
  </si>
  <si>
    <t>https://девайс-прайс.рф/product/apple-iphone-17-pro/apple-iphone-17-pro-1tb-esim-kosmicheskii-oranzhevyi-bez-rustore</t>
  </si>
  <si>
    <t>https://mgg.stores-apple.com/catalog/smartfon-apple-iphone-17-pro-1024-gb-sinij-esim/</t>
  </si>
  <si>
    <t>Ноутбук Apple MacBook Pro 16" (M4 Pro, 2024) 24/512 ГБ, черный космос</t>
  </si>
  <si>
    <t>Смартфон Apple iPhone 17 256 ГБ eSim голубой</t>
  </si>
  <si>
    <t>https://mgg.stores-apple.com/catalog/smartfon_apple_iphone_17_256_gb_esim_goluboy_/</t>
  </si>
  <si>
    <t>Ноутбук Apple MacBook Pro 16" (M4 Max, 2024) 36/1 ТБ, черный космос</t>
  </si>
  <si>
    <t>https://девайс-прайс.рф/product/apple-iphone-17-pro/apple-iphone-17-pro-1tb-esim-glubokii-sinii-bez-rustore</t>
  </si>
  <si>
    <t>https://cifrocity.com/catalog/apple/iphone_17_pro/apple_iphone_17_pro_1tb_esim_serebristyy_bez_rustore/</t>
  </si>
  <si>
    <t>Ноутбук Apple MacBook Pro 16" (M4 Max, 2024) 36/1 ТБ, серебристый</t>
  </si>
  <si>
    <t>https://mgg.stores-apple.com/catalog/smartfon-apple-iphone-17-pro-1024-gb-serebristyj-esim/</t>
  </si>
  <si>
    <t>Смартфон Apple iPhone 12 Mini 64 ГБ Чёрный</t>
  </si>
  <si>
    <t>Смартфон Apple iPhone 12 Mini 64 ГБ Синий</t>
  </si>
  <si>
    <t>Смартфон Apple iPhone 12 Mini 64 ГБ Зелёный</t>
  </si>
  <si>
    <t>Смартфон Apple iPhone 12 Mini 64 ГБ Красный</t>
  </si>
  <si>
    <t>Смартфон Apple iPhone 17 256 ГБ eSim зеленый</t>
  </si>
  <si>
    <t>https://mgg.stores-apple.com/catalog/smartfon_apple_iphone_17_256_gb_esim_zelenyy_/</t>
  </si>
  <si>
    <t>Смартфон Apple iPhone 12 Mini 64 ГБ Фиолетовый</t>
  </si>
  <si>
    <t>Смартфон Apple iPhone 12 Mini 64 ГБ Белый</t>
  </si>
  <si>
    <t>Смартфон Apple iPhone 12 Mini 128 ГБ Чёрный</t>
  </si>
  <si>
    <t>Смартфон Apple iPhone 12 Mini 128 ГБ Синий</t>
  </si>
  <si>
    <t>https://девайс-прайс.рф/product/apple-iphone-17-pro/apple-iphone-17-pro-1tb-esim-serebristyi-bez-rustore</t>
  </si>
  <si>
    <t>Смартфон Apple iPhone 12 Mini 128 ГБ Зелёный</t>
  </si>
  <si>
    <t>Смартфон Apple iPhone 12 Mini 128 ГБ Красный</t>
  </si>
  <si>
    <t>Смартфон Apple iPhone 12 Mini 128 ГБ Фиолетовый</t>
  </si>
  <si>
    <t>https://mgg.stores-apple.com/catalog/smartfon-apple-iphone-17-pro-1024-gb-oranzevyi/</t>
  </si>
  <si>
    <t>Смартфон Apple iPhone 12 Mini 128 ГБ Белый</t>
  </si>
  <si>
    <t>Смартфон Apple iPhone 12 Mini 256 ГБ Чёрный</t>
  </si>
  <si>
    <t>Смартфон Apple iPhone 17 256 ГБ eSim белый</t>
  </si>
  <si>
    <t>https://mgg.stores-apple.com/catalog/smartfon_apple_iphone_17_256_gb_esim_belyy_/</t>
  </si>
  <si>
    <t>Смартфон Apple iPhone 12 Mini 256 ГБ Синий</t>
  </si>
  <si>
    <t>Смартфон Apple iPhone 12 Mini 256 ГБ Зелёный</t>
  </si>
  <si>
    <t>Смартфон Apple iPhone 12 Mini 256 ГБ Красный</t>
  </si>
  <si>
    <t>Смартфон Apple iPhone 12 Mini 256 ГБ Фиолетовый</t>
  </si>
  <si>
    <t>Смартфон Apple iPhone 12 Mini 256 ГБ Белый</t>
  </si>
  <si>
    <t>Смартфон Apple iPhone 12 Pro 128 ГБ Золотой</t>
  </si>
  <si>
    <t>https://девайс-прайс.рф/product/apple-iphone-17-pro/apple-iphone-17-pro-1tb-simesim-kosmicheskii-oranzhevyi-bez-rustore</t>
  </si>
  <si>
    <t>Смартфон Apple iPhone 12 Pro 128 ГБ Графитовый</t>
  </si>
  <si>
    <t>Смартфон Apple iPhone 12 Pro 128 ГБ Синий</t>
  </si>
  <si>
    <t>https://mgg.stores-apple.com/catalog/smartfon-apple-iphone-17-pro-1024-gb-sinij/</t>
  </si>
  <si>
    <t>Смартфон Apple iPhone 12 Pro 128 ГБ Серебристый</t>
  </si>
  <si>
    <t>Смартфон Apple iPhone 17 256 ГБ eSim лавандовый</t>
  </si>
  <si>
    <t>https://mgg.stores-apple.com/catalog/smartfon_apple_iphone_17_256_gb_esim_lavandovyy_/</t>
  </si>
  <si>
    <t>Смартфон Apple iPhone 12 Pro 256 ГБ Золотой</t>
  </si>
  <si>
    <t>Смартфон Apple iPhone 12 Pro 256 ГБ Графитовый</t>
  </si>
  <si>
    <t>Смартфон Apple iPhone 12 Pro 256 ГБ Синий</t>
  </si>
  <si>
    <t>Смартфон Apple iPhone 12 Pro 256 ГБ Серебристый</t>
  </si>
  <si>
    <t>Смартфон Apple iPhone 12 Pro 512 ГБ Золотой</t>
  </si>
  <si>
    <t>Смартфон Apple iPhone 12 Pro 512 ГБ Графитовый</t>
  </si>
  <si>
    <t>Смартфон Apple iPhone 12 Pro 512 ГБ Синий</t>
  </si>
  <si>
    <t>https://девайс-прайс.рф/product/apple-iphone-17-pro/apple-iphone-17-pro-1tb-simesim-glubokii-sinii-bez-rustore</t>
  </si>
  <si>
    <t>Смартфон Apple iPhone 12 Pro 512 ГБ Серебристый</t>
  </si>
  <si>
    <t>Смартфон Apple iPhone 17 256 ГБ черный eSIM</t>
  </si>
  <si>
    <t>Смартфон Apple iPhone 12 Pro Max 128 ГБ Золотой</t>
  </si>
  <si>
    <t>Смартфон Apple iPhone 12 Pro Max 128 ГБ Графитовый</t>
  </si>
  <si>
    <t>iPhone 17 Pro 1024 Серебристый Sim</t>
  </si>
  <si>
    <t>https://mgg.stores-apple.com/catalog/smartfon-apple-iphone-17-pro-1024-gb-serebristyj/</t>
  </si>
  <si>
    <t>Смартфон Apple iPhone 12 Pro Max 128 ГБ Синий</t>
  </si>
  <si>
    <t>Смартфон Apple iPhone 12 Pro Max 128 ГБ Серебристый</t>
  </si>
  <si>
    <t>Смартфон Apple iPhone 12 Pro Max 256 ГБ Золотой</t>
  </si>
  <si>
    <t>Смартфон Apple iPhone 12 Pro Max 256 ГБ Графитовый</t>
  </si>
  <si>
    <t>Смартфон Apple iPhone 12 Pro Max 256 ГБ Синий</t>
  </si>
  <si>
    <t>Смартфон Apple iPhone 12 Pro Max 256 ГБ Серебристый</t>
  </si>
  <si>
    <t>Смартфон Apple iPhone 12 Pro Max 512 ГБ Золотой</t>
  </si>
  <si>
    <t>Смартфон Apple iPhone 17 256 ГБ белый eSIM</t>
  </si>
  <si>
    <t>https://девайс-прайс.рф/product/apple-iphone-17-pro/apple-iphone-17-pro-1tb-simesim-serebristyi-bez-rustore</t>
  </si>
  <si>
    <t>Смартфон Apple iPhone 12 Pro Max 512 ГБ Графитовый</t>
  </si>
  <si>
    <t>Смартфон Apple iPhone 12 Pro Max 512 ГБ Синий</t>
  </si>
  <si>
    <t>Смартфон Apple iPhone 12 Pro Max 512 ГБ Серебристый</t>
  </si>
  <si>
    <t>https://cifrocity.com/catalog/apple/iphone_17_pro_max/apple_iphone_17_pro_max_256gb_esim_oranzhevyy_bez_rustore/</t>
  </si>
  <si>
    <t>Смартфон Apple iPhone 13 Pro 128 ГБ Зелёный</t>
  </si>
  <si>
    <t>Смартфон Apple iPhone 13 Pro 128 ГБ Золотой</t>
  </si>
  <si>
    <t>Смартфон Apple iPhone 13 Pro 128 ГБ Чёрный</t>
  </si>
  <si>
    <t>Смартфон Apple iPhone 13 Pro 128 ГБ Голубой</t>
  </si>
  <si>
    <t>Смартфон Apple iPhone 13 Pro 128 ГБ Серебристый</t>
  </si>
  <si>
    <t>Смартфон Apple iPhone 13 Pro 256 ГБ Зелёный</t>
  </si>
  <si>
    <t>Смартфон Apple iPhone 17 256 ГБ голубой eSIM</t>
  </si>
  <si>
    <t>Смартфон Apple iPhone 13 Pro 256 ГБ Золотой</t>
  </si>
  <si>
    <t>https://mgg.stores-apple.com/catalog/smartfon-apple-iphone-17-pro-max-256-gb-oranzevyi-esim/</t>
  </si>
  <si>
    <t>Смартфон Apple iPhone 13 Pro 256 ГБ Чёрный</t>
  </si>
  <si>
    <t>Смартфон Apple iPhone 13 Pro 256 ГБ Голубой</t>
  </si>
  <si>
    <t>Смартфон Apple iPhone 13 Pro 256 ГБ Серебристый</t>
  </si>
  <si>
    <t>Смартфон Apple iPhone 13 Pro 512 ГБ Зелёный</t>
  </si>
  <si>
    <t>Смартфон Apple iPhone 13 Pro 512 ГБ Золотой</t>
  </si>
  <si>
    <t>Смартфон Apple iPhone 13 Pro 512 ГБ Чёрный</t>
  </si>
  <si>
    <t>Смартфон Apple iPhone 13 Pro 512 ГБ Голубой</t>
  </si>
  <si>
    <t>Смартфон Apple iPhone 17 256 ГБ зеленый eSIM</t>
  </si>
  <si>
    <t>Смартфон Apple iPhone 13 Pro 512 ГБ Серебристый</t>
  </si>
  <si>
    <t>https://девайс-прайс.рф/product/apple-iphone-17-pro-max/apple-iphone-17-pro-max-256gb-esim-kosmicheskii-oranzhevyi-bez-rustore</t>
  </si>
  <si>
    <t>Смартфон Apple iPhone 13 Pro Max 128 ГБ Зелёный</t>
  </si>
  <si>
    <t>Смартфон Apple iPhone 13 Pro Max 128 ГБ Золотой</t>
  </si>
  <si>
    <t>Смартфон Apple iPhone 13 Pro Max 128 ГБ Чёрный</t>
  </si>
  <si>
    <t>https://cifrocity.com/catalog/apple/iphone_17_pro_max/apple_iphone_17_pro_max_256gb_esim_siniy_bez_rustore/</t>
  </si>
  <si>
    <t>Смартфон Apple iPhone 13 Pro Max 128 ГБ Голубой</t>
  </si>
  <si>
    <t>Смартфон Apple iPhone 13 Pro Max 128 ГБ Серебристый</t>
  </si>
  <si>
    <t>Смартфон Apple iPhone 13 Pro Max 256 ГБ Зелёный</t>
  </si>
  <si>
    <t>Смартфон Apple iPhone 13 Pro Max 256 ГБ Золотой</t>
  </si>
  <si>
    <t>Смартфон Apple iPhone 13 Pro Max 256 ГБ Чёрный</t>
  </si>
  <si>
    <t>Смартфон Apple iPhone 17 512 ГБ eSim черный</t>
  </si>
  <si>
    <t>Смартфон Apple iPhone 13 Pro Max 256 ГБ Голубой</t>
  </si>
  <si>
    <t>https://mgg.stores-apple.com/catalog/smartfon_apple_iphone_17_512_gb_esim_chernyy_/</t>
  </si>
  <si>
    <t>Смартфон Apple iPhone 13 Pro Max 256 ГБ Серебристый</t>
  </si>
  <si>
    <t>Смартфон Apple iPhone 13 Pro Max 512 ГБ Зелёный</t>
  </si>
  <si>
    <t>https://mgg.stores-apple.com/catalog/smartfon-apple-iphone-17-pro-max-256-gb-sinij-esim/</t>
  </si>
  <si>
    <t>Смартфон Apple iPhone 13 Pro Max 512 ГБ Золотой</t>
  </si>
  <si>
    <t>Смартфон Apple iPhone 13 Pro Max 512 ГБ Чёрный</t>
  </si>
  <si>
    <t>Смартфон Apple iPhone 13 Pro Max 512 ГБ Голубой</t>
  </si>
  <si>
    <t>Смартфон Apple iPhone 13 Pro Max 512 ГБ Серебристый</t>
  </si>
  <si>
    <t>Смартфон Apple iPhone 14 Pro 128 ГБ Фиолетовый</t>
  </si>
  <si>
    <t>Смартфон Apple iPhone 14 Pro 128 ГБ Золотой</t>
  </si>
  <si>
    <t>Смартфон Apple iPhone 17 512 ГБ eSim зеленый</t>
  </si>
  <si>
    <t>https://mgg.stores-apple.com/catalog/smartfon_apple_iphone_17_512_gb_esim_zelenyy_/</t>
  </si>
  <si>
    <t>Смартфон Apple iPhone 14 Pro 128 ГБ Серебристый</t>
  </si>
  <si>
    <t>Смартфон Apple iPhone 14 Pro 128 ГБ Чёрный</t>
  </si>
  <si>
    <t>https://девайс-прайс.рф/product/apple-iphone-17-pro-max/apple-iphone-17-pro-max-256gb-esim-glubokii-sinii-bez-rustore</t>
  </si>
  <si>
    <t>Смартфон Apple iPhone 14 Pro 256 ГБ Фиолетовый</t>
  </si>
  <si>
    <t>Смартфон Apple iPhone 14 Pro 256 ГБ Золотой</t>
  </si>
  <si>
    <t>Смартфон Apple iPhone 14 Pro 256 ГБ Серебристый</t>
  </si>
  <si>
    <t>https://cifrocity.com/catalog/apple/iphone_17_pro_max/apple_iphone_17_pro_max_256gb_belyy/</t>
  </si>
  <si>
    <t>Смартфон Apple iPhone 14 Pro 256 ГБ Чёрный</t>
  </si>
  <si>
    <t>Смартфон Apple iPhone 14 Pro 512 ГБ Фиолетовый</t>
  </si>
  <si>
    <t>Смартфон Apple iPhone 14 Pro 512 ГБ Золотой</t>
  </si>
  <si>
    <t>Смартфон Apple iPhone 17 512 ГБ eSim голубой</t>
  </si>
  <si>
    <t>Смартфон Apple iPhone 14 Pro 512 ГБ Серебристый</t>
  </si>
  <si>
    <t>https://mgg.stores-apple.com/catalog/smartfon_apple_iphone_17_512_gb_esim_goluboy_/</t>
  </si>
  <si>
    <t>Смартфон Apple iPhone 14 Pro 512 ГБ Чёрный</t>
  </si>
  <si>
    <t>Смартфон Apple iPhone 14 Pro 1 ТБ Фиолетовый</t>
  </si>
  <si>
    <t>Смартфон Apple iPhone 14 Pro 1 ТБ Золотой</t>
  </si>
  <si>
    <t>https://mgg.stores-apple.com/catalog/smartfon-apple-iphone-17-pro-max-256-gb-serebristyj-esim/</t>
  </si>
  <si>
    <t>Смартфон Apple iPhone 14 Pro 1 ТБ Серебристый</t>
  </si>
  <si>
    <t>Смартфон Apple iPhone 14 Pro 1 ТБ Чёрный</t>
  </si>
  <si>
    <t>Смартфон Apple iPhone 14 Pro Max 128 ГБ Фиолетовый</t>
  </si>
  <si>
    <t>Смартфон Apple iPhone 14 Pro Max 128 ГБ Золотой</t>
  </si>
  <si>
    <t>Смартфон Apple iPhone 14 Pro Max 128 ГБ Серебристый</t>
  </si>
  <si>
    <t>Смартфон Apple iPhone 14 Pro Max 128 ГБ Чёрный</t>
  </si>
  <si>
    <t>Смартфон Apple iPhone 17 512 ГБ eSim белый</t>
  </si>
  <si>
    <t>https://mgg.stores-apple.com/catalog/smartfon_apple_iphone_17_512_gb_esim_belyy_/</t>
  </si>
  <si>
    <t>Смартфон Apple iPhone 14 Pro Max 256 ГБ Фиолетовый</t>
  </si>
  <si>
    <t>Смартфон Apple iPhone 14 Pro Max 256 ГБ Золотой</t>
  </si>
  <si>
    <t>https://девайс-прайс.рф/product/apple-iphone-17-pro-max/apple-iphone-17-pro-max-256gb-esim-serebristyi-bez-rustore</t>
  </si>
  <si>
    <t>Смартфон Apple iPhone 14 Pro Max 256 ГБ Серебристый</t>
  </si>
  <si>
    <t>Смартфон Apple iPhone 14 Pro Max 256 ГБ Чёрный</t>
  </si>
  <si>
    <t>iPhone 17 Pro Max 256 Оранжевый Sim</t>
  </si>
  <si>
    <t>Смартфон Apple iPhone 14 Pro Max 512 ГБ Фиолетовый</t>
  </si>
  <si>
    <t>https://cifrocity.com/catalog/apple/iphone_17_pro_max/apple_iphone_17_pro_max_256gb_oranzhevyy/</t>
  </si>
  <si>
    <t>Смартфон Apple iPhone 14 Pro Max 512 ГБ Золотой</t>
  </si>
  <si>
    <t>Смартфон Apple iPhone 14 Pro Max 512 ГБ Серебристый</t>
  </si>
  <si>
    <t>Смартфон Apple iPhone 14 Pro Max 512 ГБ Чёрный</t>
  </si>
  <si>
    <t>Смартфон Apple iPhone 14 Pro Max 1 ТБ Фиолетовый</t>
  </si>
  <si>
    <t>Смартфон Apple iPhone 17 512 ГБ черный</t>
  </si>
  <si>
    <t>Смартфон Apple iPhone 14 Pro Max 1 ТБ Золотой</t>
  </si>
  <si>
    <t>https://mgg.stores-apple.com/catalog/smartfon_apple_iphone_17_512_gb_chernyy_/</t>
  </si>
  <si>
    <t>Смартфон Apple iPhone 14 Pro Max 1 ТБ Серебристый</t>
  </si>
  <si>
    <t>Смартфон Apple iPhone 14 Pro Max 1 ТБ Чёрный</t>
  </si>
  <si>
    <t>Смартфон Apple iPhone 16e 512 ГБ Белый</t>
  </si>
  <si>
    <t>https://mgg.stores-apple.com/catalog/smartfon-apple-iphone-17-pro-max-256-gb-oranzevyi/</t>
  </si>
  <si>
    <t>Смартфон Apple iPhone 16e 512 ГБ Чёрный</t>
  </si>
  <si>
    <t>Смартфон Apple iPhone 17 512 ГБ зеленый</t>
  </si>
  <si>
    <t>https://mgg.stores-apple.com/catalog/smartfon_apple_iphone_17_512_gb_zelenyy_/</t>
  </si>
  <si>
    <t>https://девайс-прайс.рф/product/apple-iphone-17-pro-max/apple-iphone-17-pro-max-256gb-simesim-kosmicheskii-oranzhevyi-bez-rustore</t>
  </si>
  <si>
    <t>https://cifrocity.com/catalog/apple/iphone_17_pro_max/apple_iphone_17_pro_max_256gb_siniy/</t>
  </si>
  <si>
    <t>Смартфон Apple iPhone 16e 256 ГБ Чёрный</t>
  </si>
  <si>
    <t>Смартфон Apple iPhone 17 512 ГБ голубой</t>
  </si>
  <si>
    <t>https://mgg.stores-apple.com/catalog/smartfon_apple_iphone_17_512_gb_goluboy_/</t>
  </si>
  <si>
    <t>https://mgg.stores-apple.com/catalog/smartfon-apple-iphone-17-pro-max-256-gb-sinij/</t>
  </si>
  <si>
    <t>Смартфон Apple iPhone 16e 128 ГБ Белый</t>
  </si>
  <si>
    <t>Смартфон Apple iPhone 17 512 ГБ белый</t>
  </si>
  <si>
    <t>https://mgg.stores-apple.com/catalog/smartfon_apple_iphone_17_512_gb_belyy_/</t>
  </si>
  <si>
    <t>Смартфон Apple iPhone 16e 128 ГБ Чёрный</t>
  </si>
  <si>
    <t>https://девайс-прайс.рф/product/apple-iphone-17-pro-max/apple-iphone-17-pro-max-256gb-simesim-glubokii-sinii-bez-rustore</t>
  </si>
  <si>
    <t>https://cifrocity.com/catalog/apple/iphone_17_pro_max/apple_iphone_17_pro_max_256gb_sim_esim_serebristyy_bez_rustore/</t>
  </si>
  <si>
    <t>Смартфон Samsung Galaxy A06 4/64 ГБ, чёрный</t>
  </si>
  <si>
    <t>Смартфон Samsung Galaxy A06 4/64 ГБ, золотой</t>
  </si>
  <si>
    <t>Смартфон Apple iPhone 17 512 ГБ лавандовый</t>
  </si>
  <si>
    <t>Смартфон Samsung Galaxy A06 4/64 ГБ, голубой</t>
  </si>
  <si>
    <t>https://mgg.stores-apple.com/catalog/smartfon_apple_iphone_17_512_gb_lavandovyy_/</t>
  </si>
  <si>
    <t>Смартфон Samsung Galaxy A06 4/128 ГБ, чёрный</t>
  </si>
  <si>
    <t>Смартфон Samsung Galaxy A06 6/128 ГБ, чёрный</t>
  </si>
  <si>
    <t>Смартфон Samsung Galaxy A06 6/128 ГБ, золотой</t>
  </si>
  <si>
    <t>https://mgg.stores-apple.com/catalog/smartfon-apple-iphone-17-pro-max-256-gb-serebristyj/</t>
  </si>
  <si>
    <t>Смартфон Samsung Galaxy A06 6/128 ГБ, голубой</t>
  </si>
  <si>
    <t>Смартфон Samsung Galaxy A16 4/128 ГБ, чёрный</t>
  </si>
  <si>
    <t>Смартфон Samsung Galaxy A16 4/128 ГБ, зелёный</t>
  </si>
  <si>
    <t>Смартфон Samsung Galaxy A16 4/128 ГБ, серый</t>
  </si>
  <si>
    <t>Смартфон Samsung Galaxy A16 6/128 ГБ, серый</t>
  </si>
  <si>
    <t>Смартфон Apple iPhone 17 512 ГБ черный eSIM</t>
  </si>
  <si>
    <t>Смартфон Samsung Galaxy A16 6/128 ГБ, чёрный</t>
  </si>
  <si>
    <t>Смартфон Samsung Galaxy A16 8/256 ГБ, серый</t>
  </si>
  <si>
    <t>Смартфон Samsung Galaxy A16 8/256 ГБ, чёрный</t>
  </si>
  <si>
    <t>https://девайс-прайс.рф/product/apple-iphone-17-pro-max/apple-iphone-17-pro-max-256gb-simesim-serebristyi-bez-rustore</t>
  </si>
  <si>
    <t>Смартфон Samsung Galaxy A25 8/128 ГБ, голубой</t>
  </si>
  <si>
    <t>Смартфон Samsung Galaxy A35 8/128 ГБ, голубой</t>
  </si>
  <si>
    <t>Смартфон Samsung Galaxy A35 8/128 ГБ, фиолетовый</t>
  </si>
  <si>
    <t>https://cifrocity.com/catalog/apple/iphone_17_pro_max/apple_iphone_17_pro_max_512gb_esim_oranzhevyy_bez_rustore/</t>
  </si>
  <si>
    <t>Смартфон Samsung Galaxy A35 8/128 ГБ, тёмно-синий</t>
  </si>
  <si>
    <t>Смартфон Samsung Galaxy A35 8/256 ГБ, тёмно-синий</t>
  </si>
  <si>
    <t>Смартфон Samsung Galaxy A55 8/128 ГБ, голубой</t>
  </si>
  <si>
    <t>Смартфон Samsung Galaxy A55 8/128 ГБ, жёлтый</t>
  </si>
  <si>
    <t>Смартфон Samsung Galaxy A55 8/128 ГБ, фиолетовый</t>
  </si>
  <si>
    <t>Смартфон Samsung Galaxy A55 8/128 ГБ, тёмно-синий</t>
  </si>
  <si>
    <t>Смартфон Samsung Galaxy A55 8/256 ГБ, фиолетовый</t>
  </si>
  <si>
    <t>https://mgg.stores-apple.com/catalog/smartfon-apple-iphone-17-pro-max-512-gb-oranzevyi-esim/</t>
  </si>
  <si>
    <t>Смартфон Samsung Galaxy A55 8/256 ГБ, голубой</t>
  </si>
  <si>
    <t>Смартфон Samsung Galaxy A55 8/256 ГБ, тёмно-синий</t>
  </si>
  <si>
    <t>Смартфон Samsung Galaxy S23 FE 8/256 ГБ, фиолетовый</t>
  </si>
  <si>
    <t>Смартфон Samsung Galaxy S23 FE 8/256 ГБ, графитовый</t>
  </si>
  <si>
    <t>Смартфон Samsung Galaxy S24 FE 8/256 ГБ, голубой</t>
  </si>
  <si>
    <t>Смартфон Samsung Galaxy S24 FE 8/256 ГБ, мятный</t>
  </si>
  <si>
    <t>Смартфон Samsung Galaxy S24 FE 8/256 ГБ, серый</t>
  </si>
  <si>
    <t>Смартфон Samsung Galaxy S24 FE 8/512 ГБ, серый</t>
  </si>
  <si>
    <t>https://девайс-прайс.рф/product/apple-iphone-17-pro-max/apple-iphone-17-pro-max-512gb-esim-kosmicheskii-oranzhevyi-bez-rustore</t>
  </si>
  <si>
    <t>Смартфон Samsung Galaxy S24 FE 8/512 ГБ, голубой</t>
  </si>
  <si>
    <t>Смартфон Samsung Galaxy S25 12/256 ГБ, голубой</t>
  </si>
  <si>
    <t>https://mgg.stores-apple.com/catalog/smartfon-apple-iphone-17-pro-max-512-gb-sinij-esim/</t>
  </si>
  <si>
    <t>https://девайс-прайс.рф/product/apple-iphone-17-pro-max/apple-iphone-17-pro-max-512gb-esim-glubokii-sinii-bez-rustore</t>
  </si>
  <si>
    <t>Смартфон Samsung Galaxy S25 12/256 ГБ, зелёный</t>
  </si>
  <si>
    <t>https://cifrocity.com/catalog/apple/iphone_17_pro_max/apple_iphone_17_pro_max_512gb_esim_serebristyy_bez_rustore/</t>
  </si>
  <si>
    <t>https://mgg.stores-apple.com/catalog/smartfon_apple_iphone_17_512_gb_chernyy_nano_sim_esim_aktiv/</t>
  </si>
  <si>
    <t>Смартфон Samsung Galaxy S25 12/256 ГБ, серебристый</t>
  </si>
  <si>
    <t>https://mgg.stores-apple.com/catalog/smartfon-apple-iphone-17-pro-max-512-gb-serebristyj-esim/</t>
  </si>
  <si>
    <t>Смартфон Samsung Galaxy S25 12/256 ГБ, синий</t>
  </si>
  <si>
    <t>https://девайс-прайс.рф/product/apple-iphone-17-pro-max/apple-iphone-17-pro-max-512gb-esim-serebristyi-bez-rustore</t>
  </si>
  <si>
    <t>Смартфон Samsung Galaxy S25 Plus 12/256 ГБ, синий</t>
  </si>
  <si>
    <t>Смартфон Samsung Galaxy S25 Plus 12/256 ГБ, серебристый</t>
  </si>
  <si>
    <t>https://cifrocity.com/catalog/apple/iphone_17_pro_max/apple_iphone_17_pro_max_512gb_oranzhevyy_bez_rustore/</t>
  </si>
  <si>
    <t>https://mgg.stores-apple.com/catalog/smartfon-apple-iphone-17-pro-max-512-gb-oranzevyi/</t>
  </si>
  <si>
    <t>Смартфон Samsung Galaxy S25 Plus 12/256 ГБ, голубой</t>
  </si>
  <si>
    <t>Смартфон Samsung Galaxy S25 Plus 12/512 ГБ, голубой</t>
  </si>
  <si>
    <t>https://девайс-прайс.рф/product/apple-iphone-17-pro-max/apple-iphone-17-pro-max-512gb-simesim-kosmicheskii-oranzhevyi-bez-rustore</t>
  </si>
  <si>
    <t>https://mgg.stores-apple.com/catalog/smartfon_apple_iphone_17_512_gb_belyy_nano_sim_esim_aktiv/</t>
  </si>
  <si>
    <t>iPhone 17 Pro Max 512 Синий Sim</t>
  </si>
  <si>
    <t>https://cifrocity.com/catalog/apple/iphone_17_pro_max/apple_iphone_17_pro_max_256gb_chernyy_titan_/</t>
  </si>
  <si>
    <t>https://mgg.stores-apple.com/catalog/smartfon-apple-iphone-17-pro-max-512-gb-sinij/</t>
  </si>
  <si>
    <t>Смартфон Samsung Galaxy S25 Plus 12/512 ГБ, серебристый</t>
  </si>
  <si>
    <t>https://mgg.stores-apple.com/catalog/smartfon_apple_iphone_17_512_gb_goluboy_nano_sim_esim_aktiv/</t>
  </si>
  <si>
    <t>Смартфон Samsung Galaxy S25 Plus 12/512 ГБ, синий</t>
  </si>
  <si>
    <t>https://девайс-прайс.рф/product/apple-iphone-17-pro-max/apple-iphone-17-pro-max-512gb-simesim-glubokii-sinii-bez-rustore</t>
  </si>
  <si>
    <t>https://mgg.stores-apple.com/catalog/smartfon-apple-iphone-17-pro-max-512-gb-serebristyj/</t>
  </si>
  <si>
    <t>Смартфон Samsung Galaxy S25 Ultra 12/256 ГБ, голубой</t>
  </si>
  <si>
    <t>Смартфон Apple iPhone 17 512 ГБ лавандовый eSIM</t>
  </si>
  <si>
    <t>Смартфон Samsung Galaxy S25 Ultra 12/256 ГБ, серебряный</t>
  </si>
  <si>
    <t>https://девайс-прайс.рф/product/apple-iphone-17-pro-max/apple-iphone-17-pro-max-512gb-simesim-serebristyi-bez-rustore</t>
  </si>
  <si>
    <t>Смартфон Samsung Galaxy S25 Ultra 12/256 ГБ, серый</t>
  </si>
  <si>
    <t>https://mgg.stores-apple.com/catalog/smartfon-apple-iphone-17-pro-max-1024-gb-oranzevyi-esim/</t>
  </si>
  <si>
    <t>Смартфон Apple iPhone 17 512 ГБ голубой eSIM</t>
  </si>
  <si>
    <t>https://девайс-прайс.рф/product/apple-iphone-17-pro-max/apple-iphone-17-pro-max-1tb-esim-kosmicheskii-oranzhevyi-bez-rustore</t>
  </si>
  <si>
    <t>Умная колонка Яндекс Станция Лайт 2 с Алисой голубая</t>
  </si>
  <si>
    <t>Умная колонка Яндекс Станция Лайт 2 с Алисой зелёная</t>
  </si>
  <si>
    <t>Умная колонка Яндекс Станция Лайт 2 с Алисой коралловая</t>
  </si>
  <si>
    <t>Умная колонка Яндекс Станция Лайт 2 с Алисой розовая</t>
  </si>
  <si>
    <t>https://cifrocity.com/catalog/apple/iphone_17_pro_max/apple_iphone_17_pro_max_1tb_esim_siniy_bez_rustore/</t>
  </si>
  <si>
    <t>Умная колонка Яндекс Станция Лайт 2 с Алисой фиолетовая</t>
  </si>
  <si>
    <t>Умная колонка Яндекс Станция Мини 2 с Алисой чёрный оникс</t>
  </si>
  <si>
    <t>https://mgg.stores-apple.com/catalog/smartfon-apple-iphone-17-pro-max-1024-gb-sinij-esim/</t>
  </si>
  <si>
    <t>Смартфон Apple iPhone 17 512 ГБ зеленый eSIM</t>
  </si>
  <si>
    <t>Умная колонка Яндекс Станция Мини 2 с Алисой красный гранат</t>
  </si>
  <si>
    <t>https://девайс-прайс.рф/product/apple-iphone-17-pro-max/apple-iphone-17-pro-max-1tb-esim-glubokii-sinii-bez-rustore</t>
  </si>
  <si>
    <t>https://cifrocity.com/catalog/apple/iphone_17_pro_max/apple_iphone_17_pro_max_1tb_esim_serebristyy_bez_rustore/</t>
  </si>
  <si>
    <t>Умная колонка Яндекс Станция Мини 2 с Алисой серый опал</t>
  </si>
  <si>
    <t>https://mgg.stores-apple.com/catalog/smartfon-apple-iphone-17-pro-max-1024-gb-serebristyj-esim/</t>
  </si>
  <si>
    <t>Умная колонка Яндекс Станция Мини 3 с часами и Алисой чёрная</t>
  </si>
  <si>
    <t>https://девайс-прайс.рф/product/apple-iphone-17-pro-max/apple-iphone-17-pro-max-1tb-esim-serebristyi-bez-rustore</t>
  </si>
  <si>
    <t>Умная колонка Яндекс Станция Мини 3 с часами и Алисой серая</t>
  </si>
  <si>
    <t>https://mgg.stores-apple.com/catalog/smartfon-apple-iphone-17-pro-max-1024-gb-oranzevyi/</t>
  </si>
  <si>
    <t>https://mgg.stores-apple.com/catalog/smartfon_apple_iphone_17_512_gb_zelenyy_nano_sim_esim_aktiv/</t>
  </si>
  <si>
    <t>Умная колонка Яндекс Станция Мини 3 с часами и Алисой лиловая</t>
  </si>
  <si>
    <t>https://девайс-прайс.рф/product/apple-iphone-17-pro-max/apple-iphone-17-pro-max-1tb-simesim-kosmicheskii-oranzhevyi-bez-rustore</t>
  </si>
  <si>
    <t>Фен Dyson Supersonic HD08 Vinca Blue/Rose</t>
  </si>
  <si>
    <t>https://mgg.stores-apple.com/catalog/smartfon-apple-iphone-17-pro-max-1024-gb-sinij/</t>
  </si>
  <si>
    <t>Фен Dyson Supersonic HD08 Prussian Blue/Rich Copper</t>
  </si>
  <si>
    <t>Фен Dyson Supersonic HD08 Blue Blush</t>
  </si>
  <si>
    <t>Смартфон Apple iPhone 17 512 ГБ белый eSIM</t>
  </si>
  <si>
    <t>https://девайс-прайс.рф/product/apple-iphone-17-pro-max/apple-iphone-17-pro-max-1tb-simesim-glubokii-sinii-bez-rustore</t>
  </si>
  <si>
    <t>https://mgg.stores-apple.com/catalog/smartfon-apple-iphone-17-pro-max-1024-gb-serebristyj/</t>
  </si>
  <si>
    <t>Фен Dyson Supersonic HD16 Prussian Blue</t>
  </si>
  <si>
    <t>Фен Dyson Supersonic HD16 Ceramic Patina/Topaz</t>
  </si>
  <si>
    <t>https://девайс-прайс.рф/product/apple-iphone-17-pro-max/apple-iphone-17-pro-max-1tb-simesim-serebristyi-bez-rustore</t>
  </si>
  <si>
    <t>https://mgg.stores-apple.com/catalog/smartfon_apple_iphone_17_512_gb_lavandovyy_nano_sim_esim_aktiv/</t>
  </si>
  <si>
    <t>https://mgg.stores-apple.com/catalog/smartfon-apple-iphone-17-pro-max-2048-gb-oranzevyi-esim/</t>
  </si>
  <si>
    <t>Фен Dyson Supersonic Professional HD18 Vinca Blue/Topaz</t>
  </si>
  <si>
    <t>https://девайс-прайс.рф/product/apple-iphone-17-pro-max/apple-iphone-17-pro-max-2tb-esim-kosmicheskii-oranzhevyi-bez-rustore</t>
  </si>
  <si>
    <t>Стайлер Dyson Airwrap Complete Long HS08 Vinca Blue/Topaz</t>
  </si>
  <si>
    <t>https://mgg.stores-apple.com/catalog/smartfon-apple-iphone-17-pro-max-2048-gb-sinij-esim/</t>
  </si>
  <si>
    <r>
      <rPr>
        <rFont val="Calibri"/>
        <color rgb="FF1155CC"/>
        <u/>
      </rPr>
      <t>Выпрямитель для волос Dyson Corrale HS07 Copper/Nickel</t>
    </r>
  </si>
  <si>
    <t>https://девайс-прайс.рф/product/apple-iphone-17-pro-max/apple-iphone-17-pro-max-2tb-esim-glubokii-sinii-bez-rustore</t>
  </si>
  <si>
    <t>https://mgg.stores-apple.com/catalog/smartfon_apple_iphone_17_512_gb_chernyy_esim_aktiv/</t>
  </si>
  <si>
    <t>https://mgg.stores-apple.com/catalog/smartfon-apple-iphone-17-pro-max-2048-gb-serebristyj-esim/</t>
  </si>
  <si>
    <t>https://девайс-прайс.рф/product/apple-iphone-17-pro-max/apple-iphone-17-pro-max-2tb-esim-serebristyi-bez-rustore</t>
  </si>
  <si>
    <t>https://mgg.stores-apple.com/catalog/smartfon_apple_iphone_17_512_gb_lavandovyy_esim_aktiv/</t>
  </si>
  <si>
    <t>https://mgg.stores-apple.com/catalog/smartfon-apple-iphone-17-pro-max-2048-gb-oranzevyi/</t>
  </si>
  <si>
    <t>https://девайс-прайс.рф/product/apple-iphone-17-pro-max/apple-iphone-17-pro-max-2tb-simesim-kosmicheskii-oranzhevyi-bez-rustore</t>
  </si>
  <si>
    <t>https://mgg.stores-apple.com/catalog/smartfon-apple-iphone-17-pro-max-2048-gb-sinij/</t>
  </si>
  <si>
    <t>https://mgg.stores-apple.com/catalog/smartfon_apple_iphone_17_512_gb_zelenyy_esim_aktiv/</t>
  </si>
  <si>
    <t>Наушники Marshall Major V чёрные</t>
  </si>
  <si>
    <t>https://девайс-прайс.рф/product/apple-iphone-17-pro-max/apple-iphone-17-pro-max-2tb-simesim-glubokii-sinii-bez-rustore</t>
  </si>
  <si>
    <t>https://mgg.stores-apple.com/catalog/smartfon-apple-iphone-17-pro-max-2048-gb-serebristyj/</t>
  </si>
  <si>
    <t>https://mgg.stores-apple.com/catalog/smartfon_apple_iphone_17_512_gb_goluboy_esim_aktiv/</t>
  </si>
  <si>
    <t>Наушники Marshall Major V кремовые</t>
  </si>
  <si>
    <t>https://девайс-прайс.рф/product/apple-iphone-17-pro-max/apple-iphone-17-pro-max-2tb-simesim-serebristyi-bez-rustore</t>
  </si>
  <si>
    <t>Наушники Marshall Major V коричневые</t>
  </si>
  <si>
    <t>https://mgg.stores-apple.com/catalog/smartfon_apple_iphone_17_512_gb_belyy_esim_aktiv/</t>
  </si>
  <si>
    <t>Ноутбук Apple MacBook Air 13" (M4, 2025) 16 ГБ, 256 ГБ SSD, серебристый</t>
  </si>
  <si>
    <t>https://mgg.stores-apple.com/catalog/smartfon_apple_iphone_17_256_gb_chernyy_esim_aktiv/</t>
  </si>
  <si>
    <t>Ноутбук Apple MacBook Air 13" (M4, 2025) 16 ГБ, 256 ГБ SSD, "небесно-голубой"</t>
  </si>
  <si>
    <t>Ноутбук Apple MacBook Air 13" (M4, 2025) 16 ГБ, 256 ГБ SSD, "полуночный черный"</t>
  </si>
  <si>
    <t>https://mgg.stores-apple.com/catalog/smartfon_apple_iphone_17_256_gb_lavandovyy_esim_aktiv/</t>
  </si>
  <si>
    <t>Ноутбук Apple MacBook Air 13" (M4, 2025) 16 ГБ, 256 ГБ SSD, "сияющая звезда"</t>
  </si>
  <si>
    <t>https://mgg.stores-apple.com/catalog/smartfon_apple_iphone_17_256_gb_zelenyy_esim_aktiv/</t>
  </si>
  <si>
    <t>Ноутбук Apple MacBook Air 13" (M4, 2025) 16 ГБ, 512 ГБ SSD, серебристый</t>
  </si>
  <si>
    <t>Ноутбук Apple MacBook Air 13" (M4, 2025) 16 ГБ, 512 ГБ SSD, "небесно-голубой"</t>
  </si>
  <si>
    <t>https://mgg.stores-apple.com/catalog/smartfon_apple_iphone_17_256_gb_goluboy_esim_aktiv/</t>
  </si>
  <si>
    <t>Ноутбук Apple MacBook Air 13" (M4, 2025) 16 ГБ, 512 ГБ SSD, "полуночный черный"</t>
  </si>
  <si>
    <t>Ноутбук Apple MacBook Air 13" (M4, 2025) 16 ГБ, 512 ГБ SSD, "сияющая звезда"</t>
  </si>
  <si>
    <t>https://mgg.stores-apple.com/catalog/smartfon_apple_iphone_17_256_gb_belyy_esim_aktiv/</t>
  </si>
  <si>
    <t>Ноутбук Apple MacBook Air 13" (M4, 2025) 24 ГБ, 512 ГБ SSD, серебристый</t>
  </si>
  <si>
    <t>Смартфон Apple iPhone 17 512 ГБ черный nano eSIM</t>
  </si>
  <si>
    <t>Ноутбук Apple MacBook Air 13" (M4, 2025) 24 ГБ, 512 ГБ SSD, "небесно-голубой"</t>
  </si>
  <si>
    <t>https://mgg.stores-apple.com/catalog/smartfon_apple_iphone_17_512_gb_chernyy_nano_sim_esim/</t>
  </si>
  <si>
    <t>Ноутбук Apple MacBook Air 13" (M4, 2025) 24 ГБ, 512 ГБ SSD, "полуночный черный"</t>
  </si>
  <si>
    <t>Ноутбук Apple MacBook Air 13" (M4, 2025) 24 ГБ, 512 ГБ SSD, "сияющая звезда"</t>
  </si>
  <si>
    <t>https://mgg.stores-apple.com/catalog/smartfon_apple_iphone_17_512_gb_lavandovyy_nano_sim_esim/</t>
  </si>
  <si>
    <t>Ноутбук Apple MacBook Air 15" (M4, 2025) 16 ГБ, 256 ГБ SSD, "сияющая звезда"</t>
  </si>
  <si>
    <t>https://mgg.stores-apple.com/catalog/smartfon_apple_iphone_17_512_gb_zelenyy_nano_sim_esim/</t>
  </si>
  <si>
    <t>Ноутбук Apple MacBook Air 15" (M4, 2025) 16 ГБ, 256 ГБ SSD, "полуночный черный"</t>
  </si>
  <si>
    <t>Ноутбук Apple MacBook Air 15" (M4, 2025) 16 ГБ, 256 ГБ SSD, "небесно-голубой"</t>
  </si>
  <si>
    <t>https://mgg.stores-apple.com/catalog/smartfon_apple_iphone_17_512_gb_goluboy_nano_sim_esim/</t>
  </si>
  <si>
    <t>Ноутбук Apple MacBook Air 15" (M4, 2025) 16 ГБ, 256 ГБ SSD, серебристый</t>
  </si>
  <si>
    <t>Ноутбук Apple MacBook Air 15" (M4, 2025) 16 ГБ, 512 ГБ SSD, "сияющая звезда"</t>
  </si>
  <si>
    <t>https://mgg.stores-apple.com/catalog/smartfon_apple_iphone_17_512_gb_belyy_nano_sim_esim/</t>
  </si>
  <si>
    <t>Ноутбук Apple MacBook Air 15" (M4, 2025) 16 ГБ, 512 ГБ SSD, "полуночный черный"</t>
  </si>
  <si>
    <t>Ноутбук Apple MacBook Air 15" (M4, 2025) 16 ГБ, 512 ГБ SSD, "небесно-голубой"</t>
  </si>
  <si>
    <t>https://mgg.stores-apple.com/catalog/smartfon_apple_iphone_17_256_gb_chernyy_nano_sim_esim/</t>
  </si>
  <si>
    <t>Ноутбук Apple MacBook Air 15" (M4, 2025) 16 ГБ, 512 ГБ SSD, серебристый</t>
  </si>
  <si>
    <t>Ноутбук Apple MacBook Air 15" (M4, 2025) 24 ГБ, 512 ГБ SSD, "сияющая звезда"</t>
  </si>
  <si>
    <t>https://mgg.stores-apple.com/catalog/smartfon_apple_iphone_17_256_gb_lavandovyy_nano_sim_esim/</t>
  </si>
  <si>
    <t>Ноутбук Apple MacBook Air 15" (M4, 2025) 24 ГБ, 512 ГБ SSD, "полуночный черный"</t>
  </si>
  <si>
    <t>Ноутбук Apple MacBook Air 15" (M4, 2025) 24 ГБ, 512 ГБ SSD, "небесно-голубой"</t>
  </si>
  <si>
    <t>https://mgg.stores-apple.com/catalog/smartfon_apple_iphone_17_256_gb_zelenyy_nano_sim_esim/</t>
  </si>
  <si>
    <t>Ноутбук Apple MacBook Air 15" (M4, 2025) 24 ГБ, 512 ГБ SSD, серебристый</t>
  </si>
  <si>
    <t>Планшет Apple iPad Air (2025, M3) 11"Wi-Fi 128 ГБ фиолетовый</t>
  </si>
  <si>
    <t>https://mgg.stores-apple.com/catalog/smartfon_apple_iphone_17_256_gb_goluboy_nano_sim_esim/</t>
  </si>
  <si>
    <t>Планшет Apple iPad Air (2025, M3) 11"Wi-Fi 128 ГБ сияющая звезда</t>
  </si>
  <si>
    <t>Планшет Apple iPad Air (2025, M3) 11"Wi-Fi 128 ГБ синий</t>
  </si>
  <si>
    <t>https://mgg.stores-apple.com/catalog/smartfon_apple_iphone_18_pro_max_256_gb_glacier_ledyanoy_esim/</t>
  </si>
  <si>
    <t>https://mgg.stores-apple.com/catalog/smartfon_apple_iphone_17_256_gb_belyy_nano_sim_esim/</t>
  </si>
  <si>
    <t>Планшет Apple iPad Air (2025, M3) 11"Wi-Fi 128 ГБ серый космос</t>
  </si>
  <si>
    <t>Планшет Apple iPad Air (2025, M3) 11"Wi-Fi 256 ГБ фиолетовый</t>
  </si>
  <si>
    <t>Планшет Apple iPad Air (2025, M3) 11"Wi-Fi 256 ГБ сияющая звезда</t>
  </si>
  <si>
    <t>iPhone Air</t>
  </si>
  <si>
    <t>Планшет Apple iPad Air (2025, M3) 11"Wi-Fi 256 ГБ синий</t>
  </si>
  <si>
    <t>Смартфон Apple iPhone Air 256 ГБ черный</t>
  </si>
  <si>
    <t>Планшет Apple iPad Air (2025, M3) 11"Wi-Fi 256 ГБ серый космос</t>
  </si>
  <si>
    <t>Планшет Apple iPad Air (2025, M3) 13"Wi-Fi 128 ГБ фиолетовый</t>
  </si>
  <si>
    <t>Планшет Apple iPad Air (2025, M3) 13"Wi-Fi 128 ГБ сияющая звезда</t>
  </si>
  <si>
    <t>Смартфон Apple iPhone Air 256 ГБ золотой</t>
  </si>
  <si>
    <t>https://mgg.stores-apple.com/catalog/smartfon_apple_iphone_air_256_gb_zolotoy_/</t>
  </si>
  <si>
    <t>Планшет Apple iPad Air (2025, M3) 13"Wi-Fi 128 ГБ синий</t>
  </si>
  <si>
    <t>https://mgg.stores-apple.com/catalog/smartfon_apple_iphone_18_pro_max_512_gb_burgundy_burgundi_esim/</t>
  </si>
  <si>
    <t>Смартфон Apple iPhone Air 256 ГБ голубой</t>
  </si>
  <si>
    <t>https://mgg.stores-apple.com/catalog/smartfon_apple_iphone_air_256_gb_goluboy_/</t>
  </si>
  <si>
    <t>Планшет Apple iPad Air (2025, M3) 13"Wi-Fi 128 ГБ серый космос</t>
  </si>
  <si>
    <t>Планшет Apple iPad Air (2025, M3) 13"Wi-Fi 256 ГБ фиолетовый</t>
  </si>
  <si>
    <t>https://mgg.stores-apple.com/catalog/smartfon_apple_iphone_18_pro_max_512_gb_glacier_ledyanoy_esim/</t>
  </si>
  <si>
    <t>Смартфон Apple iPhone Air 256 ГБ белый</t>
  </si>
  <si>
    <t>https://mgg.stores-apple.com/catalog/smartfon_apple_iphone_air_256_gb_belyy_/</t>
  </si>
  <si>
    <t>Планшет Apple iPad Air (2025, M3) 13"Wi-Fi 256 ГБ сияющая звезда</t>
  </si>
  <si>
    <t>https://mgg.stores-apple.com/catalog/smartfon_apple_iphone_18_pro_max_512_gb_silver_serebro_esim/</t>
  </si>
  <si>
    <t>Планшет Apple iPad Air (2025, M3) 13"Wi-Fi 256 ГБ синий</t>
  </si>
  <si>
    <t>https://mgg.stores-apple.com/catalog/smartfon_apple_iphone_air_256_gb_chernyy_/</t>
  </si>
  <si>
    <t>Планшет Apple iPad Air (2025, M3) 13"Wi-Fi 256 ГБ серый космос</t>
  </si>
  <si>
    <t>https://mgg.stores-apple.com/catalog/smartfon_apple_iphone_18_pro_max_512_gb_black_chyernyy_esim/</t>
  </si>
  <si>
    <t>Смартфон Apple iPhone 16 Pro (eSIM) 128 ГБ белый титан</t>
  </si>
  <si>
    <t>Смартфон Apple iPhone 16 Pro (eSIM) 128 ГБ пустынный титан</t>
  </si>
  <si>
    <t>Смартфон Apple iPhone 16 Pro (eSIM) 128 ГБ натуральный титан</t>
  </si>
  <si>
    <t>Смартфон Apple iPhone 16 Pro (eSIM) 128 ГБ черный титан</t>
  </si>
  <si>
    <t>Смартфон Apple iPhone 16 Pro (eSIM) 256 ГБ белый титан</t>
  </si>
  <si>
    <t>https://mgg.stores-apple.com/catalog/smartfon_apple_iphone_18_pro_max_1024_gb_black_chyernyy_esim/</t>
  </si>
  <si>
    <t>Смартфон Apple iPhone 16 Pro (eSIM) 256 ГБ пустынный титан</t>
  </si>
  <si>
    <t>Смартфон Apple iPhone 16 Pro (eSIM) 256 ГБ натуральный титан</t>
  </si>
  <si>
    <t>Смартфон Apple iPhone 16 Pro (eSIM) 256 ГБ черный титан</t>
  </si>
  <si>
    <t>Смартфон Apple iPhone 16 Pro (eSIM) 512 ГБ белый титан</t>
  </si>
  <si>
    <t>Смартфон Apple iPhone 16 Pro (eSIM) 512 ГБ пустынный титан</t>
  </si>
  <si>
    <t>Смартфон Apple iPhone 16 Pro (eSIM) 512 ГБ натуральный титан</t>
  </si>
  <si>
    <t>Смартфон Apple iPhone 16 Pro (eSIM) 512 ГБ черный титан</t>
  </si>
  <si>
    <t>Смартфон Apple iPhone 16 Pro (eSIM) 1 ТБ белый титан</t>
  </si>
  <si>
    <t>Смартфон Apple iPhone 16 Pro (eSIM) 1 ТБ пустынный титан</t>
  </si>
  <si>
    <t>Смартфон Apple iPhone 16 Pro (eSIM) 1 ТБ натуральный титан</t>
  </si>
  <si>
    <t>Смартфон Apple iPhone 16 Pro (eSIM) 1 ТБ черный титан</t>
  </si>
  <si>
    <t>https://mgg.stores-apple.com/catalog/smartfon_apple_iphone_18_pro_max_1024_gb_glacier_ledyanoy_esim/</t>
  </si>
  <si>
    <t>Смартфон Apple iPhone 16 Pro Max (eSIM) 256 ГБ белый титан</t>
  </si>
  <si>
    <t>Смартфон Apple iPhone 16 Pro Max (eSIM) 256 ГБ пустынный титан</t>
  </si>
  <si>
    <t>Смартфон Apple iPhone 16 Pro Max (eSIM) 256 ГБ натуральный титан</t>
  </si>
  <si>
    <t>Смартфон Apple iPhone 16 Pro Max (eSIM) 256 ГБ черный титан</t>
  </si>
  <si>
    <t>Смартфон Apple iPhone 16 Pro Max (eSIM) 512 ГБ белый титан</t>
  </si>
  <si>
    <t>Смартфон Apple iPhone Air 512 ГБ голубой</t>
  </si>
  <si>
    <t>https://mgg.stores-apple.com/catalog/smartfon_apple_iphone_air_512_gb_goluboy_/</t>
  </si>
  <si>
    <t>Смартфон Apple iPhone 16 Pro Max (eSIM) 512 ГБ пустынный титан</t>
  </si>
  <si>
    <t>Смартфон Apple iPhone 16 Pro Max (eSIM) 512 ГБ натуральный титан</t>
  </si>
  <si>
    <t>Смартфон Apple iPhone 16 Pro Max (eSIM) 512 ГБ черный титан</t>
  </si>
  <si>
    <t>https://mgg.stores-apple.com/catalog/smartfon_apple_iphone_18_pro_max_1024_gb_silver_serebro_esim/</t>
  </si>
  <si>
    <t>Смартфон Apple iPhone 16 Pro Max (eSIM) 1 ТБ белый титан</t>
  </si>
  <si>
    <t>Смартфон Apple iPhone 16 Pro Max (eSIM) 1 ТБ пустынный титан</t>
  </si>
  <si>
    <t>Смартфон Apple iPhone 16 Pro Max (eSIM) 1 ТБ натуральный титан</t>
  </si>
  <si>
    <t>Смартфон Apple iPhone 16 Pro Max (eSIM) 1 ТБ черный титан</t>
  </si>
  <si>
    <t>Смартфон Apple iPhone Air 512 ГБ золотой</t>
  </si>
  <si>
    <t>https://mgg.stores-apple.com/catalog/smartfon_apple_iphone_air_512_gb_zolotoy_/</t>
  </si>
  <si>
    <t>https://mgg.stores-apple.com/catalog/smartfon_apple_iphone_18_pro_max_2048_gb_burgundy_burgundi_esim/</t>
  </si>
  <si>
    <t>https://mgg.stores-apple.com/catalog/smartfon_apple_iphone_18_pro_max_2048_gb_glacier_ledyanoy_esim/</t>
  </si>
  <si>
    <t>https://mgg.stores-apple.com/catalog/smartfon_apple_iphone_18_pro_max_2048_gb_silver_serebro_esim/</t>
  </si>
  <si>
    <t>Смартфон Apple iPhone Air 512 ГБ черный</t>
  </si>
  <si>
    <t>https://mgg.stores-apple.com/catalog/smartfon_apple_iphone_air_512_gb_chernyy_/</t>
  </si>
  <si>
    <t>https://mgg.stores-apple.com/catalog/smartfon_apple_iphone_18_pro_max_2048_gb_black_chyernyy_esim/</t>
  </si>
  <si>
    <t>Смартфон Apple iPhone Air 512 ГБ белый</t>
  </si>
  <si>
    <t>https://mgg.stores-apple.com/catalog/smartfon_apple_iphone_air_512_gb_belyy_/</t>
  </si>
  <si>
    <t>Смартфон Apple iPhone Air 1024 ГБ голубой</t>
  </si>
  <si>
    <t>https://mgg.stores-apple.com/catalog/smartfon_apple_iphone_air_1024_gb_goluboy_/</t>
  </si>
  <si>
    <t>Смартфон Apple iPhone Air 1024 ГБ золотой</t>
  </si>
  <si>
    <t>https://mgg.stores-apple.com/catalog/smartfon_apple_iphone_air_1024_gb_zolotoy_/</t>
  </si>
  <si>
    <t>Смартфон Apple iPhone Air 1024 ГБ черный</t>
  </si>
  <si>
    <t>https://mgg.stores-apple.com/catalog/smartfon_apple_iphone_air_1024_gb_chernyy_/</t>
  </si>
  <si>
    <t>Смартфон Apple iPhone Air 1024 ГБ белый</t>
  </si>
  <si>
    <t>https://mgg.stores-apple.com/catalog/smartfon_apple_iphone_air_1024_gb_belyy_/</t>
  </si>
  <si>
    <t>iPhone 17 Pro</t>
  </si>
  <si>
    <t>Смартфон Apple iPhone 17 Pro 256 ГБ синий eSIM</t>
  </si>
  <si>
    <t>Смартфон Apple iPhone 17 Pro 256 ГБ оранжевый eSIM</t>
  </si>
  <si>
    <t>Смартфон Apple iPhone 17 Pro 256 ГБ серебристый eSIM</t>
  </si>
  <si>
    <t>Смартфон Apple iPhone 17 Pro 256 ГБ оранжевый</t>
  </si>
  <si>
    <t>Смартфон Apple iPhone 17 Pro 256 ГБ серебристый</t>
  </si>
  <si>
    <t>Смартфон Apple iPhone 17 Pro 256 ГБ синий</t>
  </si>
  <si>
    <t>Смартфон Apple iPhone 17 Pro 512 ГБ оранжевый eSIM</t>
  </si>
  <si>
    <t>Смартфон Apple iPhone 17 Pro 512 ГБ серебристый eSIM</t>
  </si>
  <si>
    <t>Смартфон Apple iPhone 17 Pro 512 ГБ синий eSIM</t>
  </si>
  <si>
    <t>Смартфон Apple iPhone 17 Pro 512 ГБ оранжевый</t>
  </si>
  <si>
    <t>Смартфон Apple iPhone Duo (eSim) 256 ГБ Белый</t>
  </si>
  <si>
    <t>https://mgg.stores-apple.com/catalog/smartfon_apple_iphone_17_pro_256_gb_oranzhevyy_esim_/</t>
  </si>
  <si>
    <t>https://mgg.stores-apple.com/catalog/smartfon_apple_iphone_17_pro_256_gb_siniy_esim_/</t>
  </si>
  <si>
    <t>Смартфон Apple iPhone Duo (eSim) 256 ГБ Ночное небо</t>
  </si>
  <si>
    <t>https://mgg.stores-apple.com/catalog/smartfon_apple_iphone_17_pro_256_gb_serebristyy_esim_/</t>
  </si>
  <si>
    <t>https://mgg.stores-apple.com/catalog/smartfon_apple_iphone_17_pro_256_gb_oranzhevyy_/</t>
  </si>
  <si>
    <t>Смартфон Apple iPhone Duo (eSim) 512 ГБ Белый</t>
  </si>
  <si>
    <t>https://mgg.stores-apple.com/catalog/smartfon_apple_iphone_17_pro_256_gb_siniy/</t>
  </si>
  <si>
    <t>https://mgg.stores-apple.com/catalog/smartfon_apple_iphone_17_pro_256_gb_serebristyy_/</t>
  </si>
  <si>
    <t>Смартфон Apple iPhone Duo (eSim) 512 ГБ Ночное небо</t>
  </si>
  <si>
    <t>https://mgg.stores-apple.com/catalog/smartfon_apple_iphone_17_pro_512_gb_oranzhevyy_esim_/</t>
  </si>
  <si>
    <t>Смартфон Apple iPhone Duo (eSim) 1 ТБ Белый</t>
  </si>
  <si>
    <t>https://mgg.stores-apple.com/catalog/smartfon_apple_iphone_17_pro_512_gb_serebristyy_esim_/</t>
  </si>
  <si>
    <t>Смартфон Apple iPhone Duo (eSim) 1 ТБ Ночное небо</t>
  </si>
  <si>
    <t>https://mgg.stores-apple.com/catalog/smartfon_apple_iphone_17_pro_512_gb_siniy_esim_/</t>
  </si>
  <si>
    <t>Смартфон Apple iPhone Duo (eSim) 2 ТБ Белый</t>
  </si>
  <si>
    <t>https://mgg.stores-apple.com/catalog/smartfon_apple_iphone_17_pro_512_gb_oranzhevyy_/</t>
  </si>
  <si>
    <t>Смартфон Apple iPhone Duo (eSim) 2 ТБ Ночное небо</t>
  </si>
  <si>
    <t>Смартфон Apple iPhone 17 Pro 1024 ГБ оранжевый eSIM</t>
  </si>
  <si>
    <t>https://mgg.stores-apple.com/catalog/smartfon_apple_iphone_17_pro_1024_gb_oranzhevyy_esim_/</t>
  </si>
  <si>
    <t>SAMSUNG</t>
  </si>
  <si>
    <t>Смартфон Samsung Galaxy A57 8/128 ГБ серый</t>
  </si>
  <si>
    <t>https://mgg.stores-apple.com/catalog/smartfon_samsung_galaxy_a57_8_128_gb_seryy/</t>
  </si>
  <si>
    <t>Смартфон Apple iPhone 17 Pro 1024 ГБ синий eSIM</t>
  </si>
  <si>
    <t>https://mgg.stores-apple.com/catalog/smartfon_apple_iphone_17_pro_1024_gb_siniy_esim_/</t>
  </si>
  <si>
    <t>Смартфон Apple iPhone 17 Pro 512 ГБ серебристый</t>
  </si>
  <si>
    <t>https://mgg.stores-apple.com/catalog/smartfon_apple_iphone_17_pro_512_gb_serebristyy_/</t>
  </si>
  <si>
    <t>Смартфон Samsung Galaxy A37 12/256 ГБ серо-зеленый</t>
  </si>
  <si>
    <t>https://mgg.stores-apple.com/catalog/smartfon_samsung_galaxy_a37_12_256_gb_sero_zelenyy/</t>
  </si>
  <si>
    <t>Смартфон Apple iPhone 17 Pro 512 ГБ синий</t>
  </si>
  <si>
    <t>https://mgg.stores-apple.com/catalog/smartfon_apple_iphone_17_pro_512_gb_siniy_/</t>
  </si>
  <si>
    <t>Смартфон Samsung Galaxy A56 8/256 ГБ серый</t>
  </si>
  <si>
    <t>https://mgg.stores-apple.com/catalog/smartfon-samsung-galaxy-a56-8-256-gb-belyy/</t>
  </si>
  <si>
    <t>Смартфон Samsung Galaxy A57 8/256 ГБ серый</t>
  </si>
  <si>
    <t>https://mgg.stores-apple.com/catalog/smartfon_samsung_galaxy_a57_8_256_gb_seryy/</t>
  </si>
  <si>
    <t>Смартфон Samsung Galaxy A57 8/256 ГБ синий</t>
  </si>
  <si>
    <t>https://mgg.stores-apple.com/catalog/smartfon_samsung_galaxy_a57_8_256_gb_siniy/</t>
  </si>
  <si>
    <t>Смартфон Apple iPhone 17 Pro 1024 ГБ серебристый eSIM</t>
  </si>
  <si>
    <t>https://mgg.stores-apple.com/catalog/smartfon_apple_iphone_17_pro_1024_gb_serebristyy_esim_/</t>
  </si>
  <si>
    <t>Смартфон Samsung Galaxy A56 12/256 ГБ зеленый</t>
  </si>
  <si>
    <t>https://mgg.stores-apple.com/catalog/smartfon-samsung-galaxy-a56-12-256-gb-zelenyy/</t>
  </si>
  <si>
    <t>Смартфон Samsung Galaxy A57 8/256 ГБ голубой</t>
  </si>
  <si>
    <t>https://mgg.stores-apple.com/catalog/smartfon_samsung_galaxy_a57_8_256_gb_goluboy/</t>
  </si>
  <si>
    <t>Смартфон Apple iPhone 17 Pro 1024 ГБ оранжевый</t>
  </si>
  <si>
    <t>https://mgg.stores-apple.com/catalog/smartfon_apple_iphone_17_pro_1024_gb_oranzhevyy_/</t>
  </si>
  <si>
    <t>Смартфон Samsung Galaxy A57 12/256 ГБ синий</t>
  </si>
  <si>
    <t>https://mgg.stores-apple.com/catalog/smartfon_samsung_galaxy_a57_12_256_gb_siniy/</t>
  </si>
  <si>
    <t>Смартфон Apple iPhone 17 Pro 1024 ГБ синий</t>
  </si>
  <si>
    <t>https://mgg.stores-apple.com/catalog/smartfon_apple_iphone_17_pro_1024_gb_siniy_/</t>
  </si>
  <si>
    <t>Смартфон Samsung Galaxy A57 12/256 ГБ голубой</t>
  </si>
  <si>
    <t>https://mgg.stores-apple.com/catalog/smartfon_samsung_galaxy_a57_12_256_gb_goluboy/</t>
  </si>
  <si>
    <t>Смартфон Samsung Galaxy A57 12/256 ГБ серый</t>
  </si>
  <si>
    <t>https://mgg.stores-apple.com/catalog/smartfon_samsung_galaxy_a57_12_256_gb_seryy/</t>
  </si>
  <si>
    <t>Смартфон Apple iPhone 17 Pro 1024 ГБ серебристый</t>
  </si>
  <si>
    <t>https://mgg.stores-apple.com/catalog/smartfon_apple_iphone_17_pro_1024_gb_serebristyy_/</t>
  </si>
  <si>
    <t>Смартфон Samsung Galaxy A17 4/128 ГБ Светло-голубой/Light Blue</t>
  </si>
  <si>
    <t>https://mgg.stores-apple.com/catalog/smartfon_samsung_galaxy_a17_4_128_gb_svetlo_goluboy_light_blue/</t>
  </si>
  <si>
    <t>Смартфон Samsung Galaxy A17 4/128 ГБ Черный/Black</t>
  </si>
  <si>
    <t>https://mgg.stores-apple.com/catalog/smartfon_samsung_galaxy_a17_4_128_gb_chernyy_black/</t>
  </si>
  <si>
    <t>iPhone 17 Pro Max</t>
  </si>
  <si>
    <t>Смартфон Apple iPhone 17 Pro Max 256 ГБ синий eSIM</t>
  </si>
  <si>
    <t>Смартфон Samsung Galaxy A17 4/128 ГБ Серый/Grey</t>
  </si>
  <si>
    <t>https://mgg.stores-apple.com/catalog/smartfon_samsung_galaxy_a17_4_128_gb_seryy_grey/</t>
  </si>
  <si>
    <t>Смартфон Apple iPhone 17 Pro Max 256 ГБ серебристый eSIM</t>
  </si>
  <si>
    <t>Смартфон Samsung Galaxy A17 6/128 ГБ Серый/Grey</t>
  </si>
  <si>
    <t>https://mgg.stores-apple.com/catalog/smartfon_samsung_galaxy_a17_6_128_gb_seryy_grey/</t>
  </si>
  <si>
    <t>Смартфон Apple iPhone 17 Pro Max 256 ГБ оранжевый eSIM</t>
  </si>
  <si>
    <t>Смартфон Samsung Galaxy A17 6/128 ГБ Светло-голубой/Light Blue</t>
  </si>
  <si>
    <t>https://mgg.stores-apple.com/catalog/smartfon_samsung_galaxy_a17_6_128_gb_svetlo_goluboy_light_blue/</t>
  </si>
  <si>
    <t>Смартфон Samsung Galaxy A17 6/128 ГБ Черный/Black</t>
  </si>
  <si>
    <t>https://mgg.stores-apple.com/catalog/smartfon_samsung_galaxy_a17_6_128_gb_chernyy_black/</t>
  </si>
  <si>
    <t>Смартфон Apple iPhone 17 Pro Max 256 ГБ оранжевый</t>
  </si>
  <si>
    <t>Смартфон Samsung Galaxy A36 6/128 ГБ зеленый</t>
  </si>
  <si>
    <t>https://mgg.stores-apple.com/catalog/smartfon-samsung-galaxy-a36-6-128-gb-zelenyy/</t>
  </si>
  <si>
    <t>Смартфон Apple iPhone 17 Pro Max 256 ГБ синий</t>
  </si>
  <si>
    <t>Смартфон Samsung Galaxy A26 6/128 ГБ Персиково-розовый/Peach Pink</t>
  </si>
  <si>
    <t>https://mgg.stores-apple.com/catalog/smartfon_samsung_galaxy_a26_6_128_gb_persikovo_rozovyy_peach_pink/</t>
  </si>
  <si>
    <t>Смартфон Samsung Galaxy A26 6/128 ГБ Мятный/Mint</t>
  </si>
  <si>
    <t>https://mgg.stores-apple.com/catalog/smartfon_samsung_galaxy_a26_6_128_gb_myatnyy_mint/</t>
  </si>
  <si>
    <t>Смартфон Apple iPhone 17 Pro Max 256 ГБ серебристый</t>
  </si>
  <si>
    <t>Смартфон Samsung Galaxy A26 6/128 ГБ Белый/White</t>
  </si>
  <si>
    <t>https://mgg.stores-apple.com/catalog/smartfon_samsung_galaxy_a26_6_128_gb_belyy_white/</t>
  </si>
  <si>
    <t>Смартфон Apple iPhone 17 Pro Max 512 ГБ оранжевый eSIM</t>
  </si>
  <si>
    <t>Смартфон Samsung Galaxy A26 6/128 ГБ Черный/Black</t>
  </si>
  <si>
    <t>https://mgg.stores-apple.com/catalog/smartfon_samsung_galaxy_a26_6_128_gb_chernyy_black/</t>
  </si>
  <si>
    <t>Смартфон Apple iPhone 17 Pro Max 512 ГБ серебристый eSIM</t>
  </si>
  <si>
    <t>Смартфон Samsung Galaxy A36 6/128 ГБ белый</t>
  </si>
  <si>
    <t>https://mgg.stores-apple.com/catalog/smartfon-samsung-galaxy-a36-6-128-gb-belyy/</t>
  </si>
  <si>
    <t>Смартфон Samsung Galaxy A36 6/128 ГБ лавандовый</t>
  </si>
  <si>
    <t>https://mgg.stores-apple.com/catalog/smartfon-samsung-galaxy-a36-6-128-gb-lavandovyy/</t>
  </si>
  <si>
    <t>Смартфон Apple iPhone 17 Pro Max 512 ГБ синий eSIM</t>
  </si>
  <si>
    <t>Смартфон Samsung Galaxy A36 6/128 ГБ черный</t>
  </si>
  <si>
    <t>https://mgg.stores-apple.com/catalog/smartfon-samsung-galaxy-a36-6-128-gb-chernyy/</t>
  </si>
  <si>
    <t>Смартфон Apple iPhone 17 Pro Max 512 ГБ оранжевый</t>
  </si>
  <si>
    <t>Смартфон Samsung Galaxy A17 8/256 ГБ Черный/Black</t>
  </si>
  <si>
    <t>https://mgg.stores-apple.com/catalog/smartfon_samsung_galaxy_a17_8_256_gb_chernyy_black/</t>
  </si>
  <si>
    <t>Смартфон Apple iPhone 17 Pro Max 512 ГБ синий</t>
  </si>
  <si>
    <t>Смартфон Samsung Galaxy A17 8/256 ГБ Светло-голубой/Light Blue</t>
  </si>
  <si>
    <t>https://mgg.stores-apple.com/catalog/smartfon_samsung_galaxy_a17_8_256_gb_svetlo_goluboy_light_blue/</t>
  </si>
  <si>
    <t>Смартфон Apple iPhone 17 Pro Max 1024 ГБ синий eSIM</t>
  </si>
  <si>
    <t>Смартфон Samsung Galaxy A17 8/256 ГБ Серый/Grey</t>
  </si>
  <si>
    <t>https://mgg.stores-apple.com/catalog/smartfon_samsung_galaxy_a17_8_256_gb_seryy_grey/</t>
  </si>
  <si>
    <t>Смарт-часы Apple Watch Series 11, цвет Rose Gold 42 мм</t>
  </si>
  <si>
    <t>Смартфон Apple iPhone 17 Pro Max 512 ГБ серебристый</t>
  </si>
  <si>
    <t>Смартфон Samsung Galaxy A26 8/256 ГБ Персиково-розовый/Peach Pink</t>
  </si>
  <si>
    <t>https://mgg.stores-apple.com/catalog/smartfon_samsung_galaxy_a26_8_256_gb_persikovo_rozovyy_peach_pink/</t>
  </si>
  <si>
    <t>Смарт-часы Apple Watch Series 11, цвет Space Gray 42 мм</t>
  </si>
  <si>
    <t>https://mgg.stores-apple.com/catalog/smartfon_apple_iphone_17_pro_max_256_gb_oranzhevyy_esim_/</t>
  </si>
  <si>
    <t>Смартфон Samsung Galaxy A26 8/256 ГБ Белый/White</t>
  </si>
  <si>
    <t>https://mgg.stores-apple.com/catalog/smartfon_samsung_galaxy_a26_8_256_gb_belyy_white/</t>
  </si>
  <si>
    <t>Смарт-часы Apple Watch Series 11, цвет Silver 42 мм</t>
  </si>
  <si>
    <t>Смартфон Samsung Galaxy A26 8/256 ГБ Мятный/Mint</t>
  </si>
  <si>
    <t>https://mgg.stores-apple.com/catalog/smartfon_samsung_galaxy_a26_8_256_gb_myatnyy_mint/</t>
  </si>
  <si>
    <t>Смарт-часы Apple Watch Series 11, цвет Jet Black 42 мм</t>
  </si>
  <si>
    <t>https://mgg.stores-apple.com/catalog/smartfon_apple_iphone_17_pro_max_256_gb_siniy_esim_/</t>
  </si>
  <si>
    <t>Смартфон Samsung Galaxy A26 8/256 ГБ Черный/Black</t>
  </si>
  <si>
    <t>https://mgg.stores-apple.com/catalog/smartfon_samsung_galaxy_a26_8_256_gb_chernyy_black/</t>
  </si>
  <si>
    <t>Смарт-часы Apple Watch Series 11, цвет Rose Gold 46 мм</t>
  </si>
  <si>
    <t>https://mgg.stores-apple.com/catalog/smartfon_apple_iphone_17_pro_max_256_gb_serebristyy_esim_/</t>
  </si>
  <si>
    <t>Смартфон Samsung Galaxy A36 8/128 ГБ зеленый</t>
  </si>
  <si>
    <t>https://mgg.stores-apple.com/catalog/smartfon-samsung-galaxy-a36-8-128-gb-zelenyy/</t>
  </si>
  <si>
    <t>Смарт-часы Apple Watch Series 11, цвет Space Gray 46 мм</t>
  </si>
  <si>
    <t>Смартфон Samsung Galaxy A36 8/128 ГБ лавандовый</t>
  </si>
  <si>
    <t>https://mgg.stores-apple.com/catalog/smartfon_apple_iphone_17_pro_max_256_gb_oranzhevyy_/</t>
  </si>
  <si>
    <t>https://mgg.stores-apple.com/catalog/smartfon-samsung-galaxy-a36-8-128-gb-lavandovyy/</t>
  </si>
  <si>
    <t>Смарт-часы Apple Watch Series 11, цвет Silver 46 мм</t>
  </si>
  <si>
    <t>Смартфон Samsung Galaxy A36 8/128 ГБ белый</t>
  </si>
  <si>
    <t>https://mgg.stores-apple.com/catalog/smartfon-samsung-galaxy-a36-8-128-gb-belyy/</t>
  </si>
  <si>
    <t>Смарт-часы Apple Watch Series 11, цвет Jet Black 46 мм</t>
  </si>
  <si>
    <t>https://mgg.stores-apple.com/catalog/smartfon_apple_iphone_17_pro_max_256_gb_siniy_/</t>
  </si>
  <si>
    <t>Смартфон Samsung Galaxy A36 8/128 ГБ черный</t>
  </si>
  <si>
    <t>https://mgg.stores-apple.com/catalog/smartfon-samsung-galaxy-a36-8-128-gb-chernyy/</t>
  </si>
  <si>
    <t>https://mgg.stores-apple.com/catalog/smartfon_apple_iphone_17_pro_max_256_gb_serebristyy_/</t>
  </si>
  <si>
    <t>Смарт-часы Apple Watch Series 11, Gold Titanium 42 мм</t>
  </si>
  <si>
    <t>Смарт-часы Apple Watch Series 11, Natural Titanium 42 мм</t>
  </si>
  <si>
    <t>Смарт-часы Apple Watch Series 11, Slate Titanium 42 мм</t>
  </si>
  <si>
    <t>Смартфон Samsung Galaxy A36 8/256 ГБ зеленый</t>
  </si>
  <si>
    <t>https://mgg.stores-apple.com/catalog/smartfon-samsung-galaxy-a36-8-256-gb-zelenyy/</t>
  </si>
  <si>
    <t>Смарт-часы Apple Watch Series 11, Gold Titanium 46 мм</t>
  </si>
  <si>
    <t>https://mgg.stores-apple.com/catalog/smartfon_apple_iphone_17_pro_max_512_gb_siniy_esim_/</t>
  </si>
  <si>
    <t>Смарт-часы Apple Watch Series 11, Natural Titanium 46 мм</t>
  </si>
  <si>
    <t>Смарт-часы Apple Watch Series 11, Slate Titanium 46 мм</t>
  </si>
  <si>
    <t>Смарт-часы Apple Watch Ultra 3 GPS + Cellular, 49 мм, черный титан, ремешок Alpine Loop Terra Cotta</t>
  </si>
  <si>
    <t>Смартфон Samsung Galaxy A36 8/256 ГБ лавандовый</t>
  </si>
  <si>
    <t>https://mgg.stores-apple.com/catalog/smartfon-samsung-galaxy-a36-8-256-gb-lavandovyy/</t>
  </si>
  <si>
    <t>Смарт-часы Apple Watch Ultra 3 GPS + Cellular, 49 мм, черный титан, ремешок Alpine Loop Light Blue</t>
  </si>
  <si>
    <t>https://mgg.stores-apple.com/catalog/smartfon_apple_iphone_17_pro_max_512_gb_oranzhevyy_esim_/</t>
  </si>
  <si>
    <t>Смартфон Samsung Galaxy A36 8/256 ГБ белый</t>
  </si>
  <si>
    <t>https://mgg.stores-apple.com/catalog/smartfon-samsung-galaxy-a36-8-256-gb-belyy/</t>
  </si>
  <si>
    <t>Смарт-часы Apple Watch Ultra 3, 49 мм, Black Titanium Black Alpine Loop M 5G</t>
  </si>
  <si>
    <t>https://mgg.stores-apple.com/catalog/smartfon_apple_iphone_17_pro_max_512_gb_serebristyy_esim_/</t>
  </si>
  <si>
    <t>Смартфон Samsung Galaxy A36 8/256 ГБ черный</t>
  </si>
  <si>
    <t>https://mgg.stores-apple.com/catalog/smartfon-samsung-galaxy-a36-8-256-gb-chernyy/</t>
  </si>
  <si>
    <t>https://mgg.stores-apple.com/catalog/smartfon_apple_iphone_17_pro_max_512_gb_oranzhevyy_/</t>
  </si>
  <si>
    <t>Смартфон Samsung Galaxy A37 8/128 ГБ серо-зеленый</t>
  </si>
  <si>
    <t>https://mgg.stores-apple.com/catalog/smartfon_samsung_galaxy_a37_8_128_gb_sero_zelenyy/</t>
  </si>
  <si>
    <t>Смарт-часы Apple Watch SE 3 40 мм, тёмная ночь</t>
  </si>
  <si>
    <t>https://mgg.stores-apple.com/catalog/smartfon_apple_iphone_17_pro_max_512_gb_siniy_/</t>
  </si>
  <si>
    <t>Смартфон Samsung Galaxy A37 8/128 ГБ белый</t>
  </si>
  <si>
    <t>https://mgg.stores-apple.com/catalog/smartfon_samsung_galaxy_a37_8_128_gb_belyy/</t>
  </si>
  <si>
    <t>https://mgg.stores-apple.com/catalog/smartfon_apple_iphone_17_pro_max_1024_gb_siniy_esim_/</t>
  </si>
  <si>
    <t>Смартфон Samsung Galaxy A37 8/128 ГБ лавандовый</t>
  </si>
  <si>
    <t>https://mgg.stores-apple.com/catalog/smartfon_samsung_galaxy_a37_8_128_gb_lavandovyy/</t>
  </si>
  <si>
    <t>Смартфон Apple iPhone 17 Pro Max 1024 ГБ оранжевый eSIM</t>
  </si>
  <si>
    <t>https://mgg.stores-apple.com/catalog/smartfon_apple_iphone_17_pro_max_1024_gb_oranzhevyy_esim_/</t>
  </si>
  <si>
    <t>Выпрямитель для волос Xiaomi SenCiciMen X10 Blue</t>
  </si>
  <si>
    <t>Смартфон Samsung Galaxy A37 8/128 ГБ черный</t>
  </si>
  <si>
    <t>https://mgg.stores-apple.com/catalog/smartfon_samsung_galaxy_a37_8_128_gb_chernyy/</t>
  </si>
  <si>
    <t>Выпрямитель для волос Xiaomi SenCiciMen X10 Gray</t>
  </si>
  <si>
    <t>Маникюрный набор Mijia Stainless Steel Nail Clippers (MJZJD002QW)</t>
  </si>
  <si>
    <t>Машинка для удаления катышков Mijia Home Hair Ball Trimmer (MQXJQ01KL)</t>
  </si>
  <si>
    <t>Пылесос портативный Xiaomi Mijia Portable Handhed Vacuum Cleaner</t>
  </si>
  <si>
    <t>https://mgg.stores-apple.com/catalog/smartfon_apple_iphone_17_pro_max_512_gb_serebristyy_/</t>
  </si>
  <si>
    <t>Стайлер SenCiciMen X9 4 в 1 голубой</t>
  </si>
  <si>
    <t>Смартфон Samsung Galaxy A36 12/256 ГБ зеленый</t>
  </si>
  <si>
    <t>https://mgg.stores-apple.com/catalog/smartfon-samsung-galaxy-a36-12-256-gb-zelenyy/</t>
  </si>
  <si>
    <t>Стайлер SenCiciMen X9 4 в 1 розовый</t>
  </si>
  <si>
    <t>Стайлер SenCiciMen X9 4 в 1 серый</t>
  </si>
  <si>
    <t>Стайлер SenCiciMen X9 4 в 1 синий</t>
  </si>
  <si>
    <t>Умный электрический насос Xiaomi Mijia Electric Pump 2</t>
  </si>
  <si>
    <t>Смартфон Apple iPhone 17 Pro Max 1024 ГБ серебристый eSIM</t>
  </si>
  <si>
    <t>Cейф Xiaomi Mijia Smart Safe Deposit Box Dark Grey</t>
  </si>
  <si>
    <t>https://mgg.stores-apple.com/catalog/smartfon_apple_iphone_17_pro_max_1024_gb_serebristyy_esim_/</t>
  </si>
  <si>
    <t>Автоматическая помпа Xiaomi Mijia Sothing Water</t>
  </si>
  <si>
    <t>Смартфон Samsung Galaxy A36 12/256 ГБ белый</t>
  </si>
  <si>
    <t>Блендер для смузи Mijia Portable Juice Cup</t>
  </si>
  <si>
    <t>https://mgg.stores-apple.com/catalog/smartfon-samsung-galaxy-a36-12-256-gb-belyy/</t>
  </si>
  <si>
    <t>Монопод трипод Xiaomi Zoom Selfie Stick 2 (XMBJZPG02YM) белый</t>
  </si>
  <si>
    <t>Фен SenCiciMen Hair Dryer HD15 Blue</t>
  </si>
  <si>
    <t>Фен SenCiciMen Hair Dryer HD15 Green</t>
  </si>
  <si>
    <t>Фен SenCiciMen Hair Dryer HD15 Purple</t>
  </si>
  <si>
    <t>Фен SenCiciMen Hair Dryer HD15 Red</t>
  </si>
  <si>
    <t>Смартфон Samsung Galaxy A36 12/256 ГБ лавандовый</t>
  </si>
  <si>
    <t>https://mgg.stores-apple.com/catalog/smartfon-samsung-galaxy-a36-12-256-gb-lavandovyy/</t>
  </si>
  <si>
    <t>Фен SenCiciMen Hair Dryer HD15 White</t>
  </si>
  <si>
    <t>Планшет для рисования Xiaomi Wicue 12 WNB412 Red</t>
  </si>
  <si>
    <t>Умная скакалка Xiaomi Mijia Smart Skipping Rope Dark Blue</t>
  </si>
  <si>
    <t>Очиститель воздуха Mijia Air Purifier 5</t>
  </si>
  <si>
    <t>Напольный вентилятор Xiaomi Inverter Tower Fan 2</t>
  </si>
  <si>
    <t>Напольный вентилятор Xiaomi Mijia DC Inverter Fan 1X White</t>
  </si>
  <si>
    <t>Смартфон Samsung Galaxy A36 12/256 ГБ черный</t>
  </si>
  <si>
    <t>https://mgg.stores-apple.com/catalog/smartfon-samsung-galaxy-a36-12-256-gb-chernyy/</t>
  </si>
  <si>
    <t>Увлажнитель воздуха Xiaomi Deerma DEM-F628S EU</t>
  </si>
  <si>
    <t>Проектор Xiaomi Lingbo Play 03 White EU</t>
  </si>
  <si>
    <t>Робот-пылесос Xiaomi Robot Vacuum S10+</t>
  </si>
  <si>
    <t>Смартфон Apple iPhone 17 Pro Max 2048 ГБ оранжевый eSIM</t>
  </si>
  <si>
    <t>https://mgg.stores-apple.com/catalog/smartfon_apple_iphone_17_pro_max_2048_gb_oranzhevyy_esim_/</t>
  </si>
  <si>
    <t>Роутер Wi-Fi Xiaomi Router BE6500 WiFi 7</t>
  </si>
  <si>
    <t>Прикроватная лампа Xiaomi Mijia Bedside Lamp 2 White</t>
  </si>
  <si>
    <t>Смартфон Samsung Galaxy A56 8/128 ГБ черный</t>
  </si>
  <si>
    <t>Мультифункциональная лопата NexTool Shovel</t>
  </si>
  <si>
    <t>https://mgg.stores-apple.com/catalog/smartfon-samsung-galaxy-a56-8-128-gb-chernyy/</t>
  </si>
  <si>
    <t>Светодиодный фонарь NexTool 2000 LM Flashlight</t>
  </si>
  <si>
    <t>Умная ушная палочка Xiaomi Bebird Smart Visual</t>
  </si>
  <si>
    <t>Умный корректор осанки Xiaomi Youpin Hipee Smart</t>
  </si>
  <si>
    <t>Смартфон Apple iPhone 17 Pro Max 2048 ГБ синий eSIM</t>
  </si>
  <si>
    <t>https://mgg.stores-apple.com/catalog/smartfon_apple_iphone_17_pro_max_2048_gb_siniy_esim_/</t>
  </si>
  <si>
    <t>Электрическая мухобойка Xiaomi Qualitell Powerful Electric Mosquito Swatte C3</t>
  </si>
  <si>
    <t>Автомобильный держатель Xiaomi Wireless Car Charger 30W</t>
  </si>
  <si>
    <t>Смартфон Samsung Galaxy A56 8/128 ГБ зеленый</t>
  </si>
  <si>
    <t>https://mgg.stores-apple.com/catalog/smartfon-samsung-galaxy-a56-8-128-gb-zelenyy/</t>
  </si>
  <si>
    <t>Парковочная карта Tita Temporary Parking card (черный)</t>
  </si>
  <si>
    <t>Пусковое зарядное устройство 70mai Jump Starter</t>
  </si>
  <si>
    <t>Алкотестер Lydstro Breath Alcohol Tester T1</t>
  </si>
  <si>
    <t>Смартфон Apple iPhone 17 Pro Max 1024 ГБ синий</t>
  </si>
  <si>
    <t>Винный набор Circle Joy The Future Sommelier rechargeable TFS-003</t>
  </si>
  <si>
    <t>https://mgg.stores-apple.com/catalog/smartfon_apple_iphone_17_pro_max_1024_gb_siniy_/</t>
  </si>
  <si>
    <t>Детская камера Hoco DV200</t>
  </si>
  <si>
    <t>Наушники TWS Deppa Air Nova белый</t>
  </si>
  <si>
    <t>Смартфон Samsung Galaxy A37 8/256 ГБ серо-зеленый</t>
  </si>
  <si>
    <t>https://mgg.stores-apple.com/catalog/smartfon_samsung_galaxy_a37_8_256_gb_sero_zelenyy/</t>
  </si>
  <si>
    <t>Наушники TWS Deppa Air Nova 2 белый</t>
  </si>
  <si>
    <t>Наушники TWS Deppa Air Pro 3 ANC белый</t>
  </si>
  <si>
    <t>Наушники TWS Deppa Air Pro 3 ANC чёрный</t>
  </si>
  <si>
    <t>Наушники Deppa Stereo Life серебристый</t>
  </si>
  <si>
    <t>Наушники Deppa Stereo Life серый космос</t>
  </si>
  <si>
    <t>Беспроводная зарядная станция Deppa 3 в 1 MagSafe Mini Fold Travel QI 20.5w складная черная</t>
  </si>
  <si>
    <t>Смартфон Samsung Galaxy A56 8/128 ГБ серый</t>
  </si>
  <si>
    <t>Беспроводная зарядная станция Deppa 3 в 1 Neo 20W</t>
  </si>
  <si>
    <t>https://mgg.stores-apple.com/catalog/smartfon-samsung-galaxy-a56-8-128-gb-belyy/</t>
  </si>
  <si>
    <t>Беспроводное зарядное устройство Deppa QI Fast Charge 18W 2в1</t>
  </si>
  <si>
    <t>Беспроводное зарядное устройство VLP M-Charger 3 в 1</t>
  </si>
  <si>
    <t>Внешний аккумулятор VLP B-Energy 10000mah 30W</t>
  </si>
  <si>
    <t>Портативный внешний SSD диск Netac ZX20 USB 3.2 512GB</t>
  </si>
  <si>
    <t>Смартфон Apple iPhone 17 Pro Max 1024 ГБ оранжевый</t>
  </si>
  <si>
    <t>https://mgg.stores-apple.com/catalog/smartfon_apple_iphone_17_pro_max_1024_gb_oranzhevyy_/</t>
  </si>
  <si>
    <t>Флеш-карта Remax РХ-817 USB-AUSB-C Silver 128GB</t>
  </si>
  <si>
    <t>Флеш-карта Remax РХ-817 USB-AUSB-C Silver 64GB</t>
  </si>
  <si>
    <t>Смартфон Samsung Galaxy A37 8/256 ГБ белый</t>
  </si>
  <si>
    <t>https://mgg.stores-apple.com/catalog/smartfon_samsung_galaxy_a37_8_256_gb_belyy/</t>
  </si>
  <si>
    <t>Флеш-карта Remax РХ-817 USB-AUSB-C Silver 256GB</t>
  </si>
  <si>
    <t>Планшет Apple iPad 11" 2025 Wi‑Fi 512 ГБ голубой</t>
  </si>
  <si>
    <t>Смартфон Samsung Galaxy A56 8/128 ГБ розовый</t>
  </si>
  <si>
    <t>https://mgg.stores-apple.com/catalog/smartfon-samsung-galaxy-a56-8-128-gb-lavandovyy/</t>
  </si>
  <si>
    <t>Планшет Apple iPad 11" 2025 Wi‑Fi 512 ГБ желтый</t>
  </si>
  <si>
    <t>Планшет Apple iPad 11" 2025 Wi‑Fi 512 ГБ розовый</t>
  </si>
  <si>
    <t>Смартфон Samsung Galaxy A37 8/256 ГБ черный</t>
  </si>
  <si>
    <t>https://mgg.stores-apple.com/catalog/smartfon_samsung_galaxy_a37_8_256_gb_chernyy/</t>
  </si>
  <si>
    <t>Планшет Apple iPad 11" 2025 Wi‑Fi 512 ГБ серебристый</t>
  </si>
  <si>
    <t>Смартфон Apple iPhone 17 Pro Max 2048 ГБ серебристый eSIM</t>
  </si>
  <si>
    <t>https://mgg.stores-apple.com/catalog/smartfon_apple_iphone_17_pro_max_2048_gb_serebristyy_esim_/</t>
  </si>
  <si>
    <t>Планшет Apple iPad 11" 2025 LTE 512 ГБ голубой</t>
  </si>
  <si>
    <t>Смартфон Samsung Galaxy A37 8/256 ГБ лавандовый</t>
  </si>
  <si>
    <t>https://mgg.stores-apple.com/catalog/smartfon_samsung_galaxy_a37_8_256_gb_lavandovyy/</t>
  </si>
  <si>
    <t>Планшет Apple iPad 11" 2025 LTE 512 ГБ желтый</t>
  </si>
  <si>
    <t>Смартфон Samsung Galaxy A57 8/128 ГБ синий</t>
  </si>
  <si>
    <t>https://mgg.stores-apple.com/catalog/smartfon_samsung_galaxy_a57_8_128_gb_siniy/</t>
  </si>
  <si>
    <t>Планшет Apple iPad 11" 2025 LTE 512 ГБ розовый</t>
  </si>
  <si>
    <t>Смартфон Apple iPhone 17 Pro Max 1024 ГБ серебристый</t>
  </si>
  <si>
    <t>https://mgg.stores-apple.com/catalog/smartfon_apple_iphone_17_pro_max_1024_gb_serebristyy_/</t>
  </si>
  <si>
    <t>Планшет Apple iPad 11" 2025 LTE 512 ГБ серебристый</t>
  </si>
  <si>
    <t>Смартфон Samsung Galaxy A57 8/128 ГБ сиреневый</t>
  </si>
  <si>
    <t>https://mgg.stores-apple.com/catalog/smartfon_samsung_galaxy_a57_8_128_gb_sirenevyy/</t>
  </si>
  <si>
    <t>Планшет Apple iPad 11" 2025 Wi‑Fi 128 ГБ серебристый</t>
  </si>
  <si>
    <t>Смартфон Samsung Galaxy A57 8/128 ГБ голубой</t>
  </si>
  <si>
    <t>https://mgg.stores-apple.com/catalog/smartfon_samsung_galaxy_a57_8_128_gb_goluboy/</t>
  </si>
  <si>
    <t>Планшет Apple iPad 11" 2025 Wi‑Fi 128 ГБ розовый</t>
  </si>
  <si>
    <t>Смартфон Apple iPhone 17 Pro Max 2048 ГБ оранжевый</t>
  </si>
  <si>
    <t>https://mgg.stores-apple.com/catalog/smartfon_apple_iphone_17_pro_max_2048_gb_oranzhevyy_/</t>
  </si>
  <si>
    <t>Смартфон Samsung Galaxy A56 8/256 ГБ зеленый</t>
  </si>
  <si>
    <t>https://mgg.stores-apple.com/catalog/smartfon-samsung-galaxy-a56-8-256-gb-zelenyy/</t>
  </si>
  <si>
    <t>Планшет Apple iPad 11" 2025 Wi‑Fi 128 ГБ желтый</t>
  </si>
  <si>
    <t>Смартфон Apple iPhone 17 Pro Max 2048 ГБ синий</t>
  </si>
  <si>
    <t>https://mgg.stores-apple.com/catalog/smartfon_apple_iphone_17_pro_max_2048_gb_siniy_/</t>
  </si>
  <si>
    <t>Смартфон Samsung Galaxy A56 12/256 ГБ черный</t>
  </si>
  <si>
    <t>https://mgg.stores-apple.com/catalog/smartfon-samsung-galaxy-a56-12-256-gb-chernyy/</t>
  </si>
  <si>
    <t>Смартфон Apple iPhone 17 Pro Max 2048 ГБ серебристый</t>
  </si>
  <si>
    <t>https://mgg.stores-apple.com/catalog/smartfon_apple_iphone_17_pro_max_2048_gb_serebristyy_/</t>
  </si>
  <si>
    <t>Планшет Apple iPad 11" 2025 Wi‑Fi 256 ГБ серебристый</t>
  </si>
  <si>
    <t>Смартфон Samsung Galaxy A56 8/256 ГБ черный</t>
  </si>
  <si>
    <t>https://mgg.stores-apple.com/catalog/smartfon-samsung-galaxy-a56-8-256-gb-chernyy/</t>
  </si>
  <si>
    <t>Планшет Apple iPad 11" 2025 Wi‑Fi 256 ГБ розовый</t>
  </si>
  <si>
    <t>Смартфон Samsung Galaxy A56 8/256 ГБ розовый</t>
  </si>
  <si>
    <t>https://mgg.stores-apple.com/catalog/smartfon-samsung-galaxy-a56-8-256-gb-lavandovyy/</t>
  </si>
  <si>
    <t>Планшет Apple iPad 11" 2025 Wi‑Fi 256 ГБ желтый</t>
  </si>
  <si>
    <t>Планшет Apple iPad 11" 2025 Wi‑Fi 256 ГБ голубой</t>
  </si>
  <si>
    <t>Смартфон Samsung Galaxy A57 8/256 ГБ сиреневый</t>
  </si>
  <si>
    <t>https://mgg.stores-apple.com/catalog/smartfon_samsung_galaxy_a57_8_256_gb_sirenevyy/</t>
  </si>
  <si>
    <t>Планшет Apple iPad 11" 2025 LTE 128 ГБ серебристый</t>
  </si>
  <si>
    <t>Смартфон Samsung Galaxy A56 12/256 ГБ серый</t>
  </si>
  <si>
    <t>https://mgg.stores-apple.com/catalog/smartfon-samsung-galaxy-a56-12-256-gb-belyy/</t>
  </si>
  <si>
    <t>Планшет Apple iPad 11" 2025 LTE 128 ГБ розовый</t>
  </si>
  <si>
    <t>Планшет Apple iPad 11" 2025 LTE 128 ГБ желтый</t>
  </si>
  <si>
    <t>Смартфон Samsung Galaxy A56 12/256 ГБ розовый</t>
  </si>
  <si>
    <t>https://mgg.stores-apple.com/catalog/smartfon-samsung-galaxy-a56-12-256-gb-lavandovyy/</t>
  </si>
  <si>
    <t>Планшет Apple iPad 11" 2025 LTE 128 ГБ голубой</t>
  </si>
  <si>
    <t>iPhone 16 Pro Max</t>
  </si>
  <si>
    <t>Смартфон Samsung Galaxy A57 12/256 ГБ сиреневый</t>
  </si>
  <si>
    <t>https://mgg.stores-apple.com/catalog/smartfon_samsung_galaxy_a57_12_256_gb_sirenevyy/</t>
  </si>
  <si>
    <t>Планшет Apple iPad 11" 2025 LTE 256 ГБ голубой</t>
  </si>
  <si>
    <t>Смартфон Apple iPhone 16 Pro Max 256 ГБ пустынный титан eSIM</t>
  </si>
  <si>
    <t>https://mgg.stores-apple.com/catalog/smartfon-apple-iphone-16-pro-max-256-gb-pustynnyj-titan-esim-obmenka/</t>
  </si>
  <si>
    <t>Смартфон Samsung Galaxy A57 12/512 ГБ серый</t>
  </si>
  <si>
    <t>Планшет Apple iPad 11" 2025 LTE 256 ГБ желтый</t>
  </si>
  <si>
    <t>https://mgg.stores-apple.com/catalog/smartfon_samsung_galaxy_a57_12_512_gb_seryy/</t>
  </si>
  <si>
    <t>Планшет Apple iPad 11" 2025 LTE 256 ГБ розовый</t>
  </si>
  <si>
    <t>Смартфон Apple iPhone 16 Pro Max 256 ГБ белый титан eSIM</t>
  </si>
  <si>
    <t>https://mgg.stores-apple.com/catalog/smartfon-apple-iphone-16-pro-max-256-gb-belyj-titan-esim-obmenka/</t>
  </si>
  <si>
    <t>Смартфон Samsung Galaxy A57 12/512 ГБ сиреневый</t>
  </si>
  <si>
    <t>Планшет Apple iPad 11" 2025 LTE 256 ГБ серебристый</t>
  </si>
  <si>
    <t>https://mgg.stores-apple.com/catalog/smartfon_samsung_galaxy_a57_12_512_gb_sirenevyy/</t>
  </si>
  <si>
    <t>Смартфон Apple iPhone 16 Pro Max 256 ГБ натуральный титан eSIM</t>
  </si>
  <si>
    <t>https://mgg.stores-apple.com/catalog/smartfon-apple-iphone-16-pro-max-256-gb-naturalnyj-titan-esim-obmenka/</t>
  </si>
  <si>
    <t>Планшет Apple iPad Air (2025, M3) 11"LTE 128 ГБ фиолетовый</t>
  </si>
  <si>
    <t>Смартфон Samsung Galaxy A37 12/256 ГБ лавандовый</t>
  </si>
  <si>
    <t>https://mgg.stores-apple.com/catalog/smartfon_samsung_galaxy_a37_12_256_gb_lavandovyy/</t>
  </si>
  <si>
    <t>Смартфон Apple iPhone 16 Pro Max 256 ГБ черный титан eSIM</t>
  </si>
  <si>
    <t>https://mgg.stores-apple.com/catalog/smartfon-apple-iphone-16-pro-max-256-gb-chernyj-titan-esim-obmenka/</t>
  </si>
  <si>
    <t>Планшет Apple iPad Air (2025, M3) 11"LTE 128 ГБ сияющая звезда</t>
  </si>
  <si>
    <t>Смартфон Samsung Galaxy A37 12/256 ГБ белый</t>
  </si>
  <si>
    <t>https://mgg.stores-apple.com/catalog/smartfon_samsung_galaxy_a37_12_256_gb_belyy/</t>
  </si>
  <si>
    <t>Планшет Apple iPad Air (2025, M3) 11"LTE 128 ГБ синий</t>
  </si>
  <si>
    <t>https://mgg.stores-apple.com/catalog/smartfon-apple-iphone-16-pro-max-256-gb-pustynnyj-titan-obmen/</t>
  </si>
  <si>
    <t>Планшет Apple iPad Air (2025, M3) 11"LTE 128 ГБ серый космос</t>
  </si>
  <si>
    <t>Смартфон Samsung Galaxy A37 12/256 ГБ черный</t>
  </si>
  <si>
    <t>https://mgg.stores-apple.com/catalog/smartfon_samsung_galaxy_a37_12_256_gb_chernyy/</t>
  </si>
  <si>
    <t>Планшет Apple iPad Air (2025, M3) 11"LTE 256 ГБ серый космос</t>
  </si>
  <si>
    <t>Смартфон Samsung Galaxy S25 FE 8/128 синий</t>
  </si>
  <si>
    <t>https://mgg.stores-apple.com/catalog/smartfon-samsung-galaxy-s25-fe-8-128-sinii/</t>
  </si>
  <si>
    <t>Планшет Apple iPad Air (2025, M3) 11"LTE 256 ГБ синий</t>
  </si>
  <si>
    <t>Смартфон Samsung Galaxy S25 FE 8/256 синий</t>
  </si>
  <si>
    <t>https://mgg.stores-apple.com/catalog/smartfon-samsung-galaxy-s25-fe-8-256-sinii/</t>
  </si>
  <si>
    <t>Планшет Apple iPad Air (2025, M3) 11"LTE 256 ГБ сияющая звезда</t>
  </si>
  <si>
    <t>https://mgg.stores-apple.com/catalog/smartfon-samsung-galaxy-s25-fe-8-256-chernyi/</t>
  </si>
  <si>
    <t>Планшет Apple iPad Air (2025, M3) 11"LTE 256 ГБ фиолетовый</t>
  </si>
  <si>
    <t>Смартфон Samsung Galaxy S25 12/128 ГБ синий</t>
  </si>
  <si>
    <t>Смартфон Apple iPhone 16 Pro Max 512 ГБ натуральный титан eSIM</t>
  </si>
  <si>
    <t>https://mgg.stores-apple.com/catalog/smartfon-samsung-galaxy-s25-128-gb-siniy/</t>
  </si>
  <si>
    <t>Планшет Apple iPad Air (2025, M3) 13"LTE 128 ГБ фиолетовый</t>
  </si>
  <si>
    <t>https://mgg.stores-apple.com/catalog/smartfon-apple-iphone-16-pro-max-512-gb-naturalnyj-titan-esim-obmenka/</t>
  </si>
  <si>
    <t>Планшет Apple iPad Air (2025, M3) 13"LTE 128 ГБ сияющая звезда</t>
  </si>
  <si>
    <t>https://mgg.stores-apple.com/catalog/smartfon-samsung-galaxy-s25-256-gb-goluboy/</t>
  </si>
  <si>
    <t>Смартфон Apple iPhone 16 Pro Max 512 ГБ белый титан eSIM</t>
  </si>
  <si>
    <t>https://mgg.stores-apple.com/catalog/smartfon-apple-iphone-16-pro-max-512-gb-belyj-titan-esim-obmenka/</t>
  </si>
  <si>
    <t>Планшет Apple iPad Air (2025, M3) 13"LTE 128 ГБ синий</t>
  </si>
  <si>
    <t>Смартфон Apple iPhone 16 Pro Max 512 ГБ пустынный титан eSIM</t>
  </si>
  <si>
    <t>https://mgg.stores-apple.com/catalog/smartfon-samsung-galaxy-s25-256-gb-siniy/</t>
  </si>
  <si>
    <t>https://mgg.stores-apple.com/catalog/smartfon-apple-iphone-16-pro-max-512-gb-pustynnyj-titan-esim-obmenka/</t>
  </si>
  <si>
    <t>Планшет Apple iPad Air (2025, M3) 13"LTE 128 ГБ серый космос</t>
  </si>
  <si>
    <t>Планшет Apple iPad Air (2025, M3) 13"LTE 256 ГБ фиолетовый</t>
  </si>
  <si>
    <t>Смартфон Apple iPhone 16 Pro Max 512 ГБ черный титан eSIM</t>
  </si>
  <si>
    <t>https://mgg.stores-apple.com/catalog/smartfon-apple-iphone-16-pro-max-512-gb-chernyj-titan-esim-obmenka/</t>
  </si>
  <si>
    <t>https://mgg.stores-apple.com/catalog/smartfon-samsung-galaxy-s25-256-gb-seryy/</t>
  </si>
  <si>
    <t>Планшет Apple iPad Air (2025, M3) 13"LTE 256 ГБ сияющая звезда</t>
  </si>
  <si>
    <t>Смартфон Samsung Galaxy S26 256 ГБ лавандовый</t>
  </si>
  <si>
    <t>https://mgg.stores-apple.com/catalog/smartfon_samsung_galaxy_s26_256_gb_violet_fioletovyy/</t>
  </si>
  <si>
    <t>https://mgg.stores-apple.com/catalog/smartfon-apple-iphone-16-pro-max-512-gb-pustynnyj-titan-obmen/</t>
  </si>
  <si>
    <t>Планшет Apple iPad Air (2025, M3) 13"LTE 256 ГБ синий</t>
  </si>
  <si>
    <t>Планшет Apple iPad Air (2025, M3) 13"LTE 256 ГБ серый космос</t>
  </si>
  <si>
    <t>Смартфон Samsung Galaxy S26 256 ГБ черный</t>
  </si>
  <si>
    <t>https://mgg.stores-apple.com/catalog/smartfon_samsung_galaxy_s26_256_gb_black_chernyy/</t>
  </si>
  <si>
    <t>https://mgg.stores-apple.com/catalog/smartfon-apple-iphone-16-pro-max-512-gb-belyj-titan-obmen/</t>
  </si>
  <si>
    <t>Ноутбук Apple MacBook Air 13" (M4, 2025) 16 ГБ, 1 ТБ SSD, серебристый</t>
  </si>
  <si>
    <t>Ноутбук Apple MacBook Air 13" (M4, 2025) 16 ГБ, 1 ТБ SSD, "небесно-голубой"</t>
  </si>
  <si>
    <t>Смартфон Samsung Galaxy S25 Ultra 12/256 ГБ, черный</t>
  </si>
  <si>
    <t>Ноутбук Apple MacBook Air 13" (M4, 2025) 16 ГБ, 1 ТБ SSD, "полуночный черный"</t>
  </si>
  <si>
    <t>https://mgg.stores-apple.com/catalog/smartfon-apple-iphone-16-pro-max-512-gb-naturalnyj-titan-obmen/</t>
  </si>
  <si>
    <t>Ноутбук Apple MacBook Air 13" (M4, 2025) 16 ГБ, 1 ТБ SSD, "сияющая звезда"</t>
  </si>
  <si>
    <t>Ноутбук Apple MacBook Air 13" (M4, 2025) 24 ГБ, 1 ТБ SSD, "сияющая звезда"</t>
  </si>
  <si>
    <t>https://mgg.stores-apple.com/catalog/smartfon-samsung-galaxy-s25-ultra-256-gb-seryy-titan/</t>
  </si>
  <si>
    <t>Ноутбук Apple MacBook Air 13" (M4, 2025) 24 ГБ, 1 ТБ SSD, "полуночный черный"</t>
  </si>
  <si>
    <t>Ноутбук Apple MacBook Air 13" (M4, 2025) 24 ГБ, 1 ТБ SSD, "небесно-голубой"</t>
  </si>
  <si>
    <t>Ноутбук Apple MacBook Air 13" (M4, 2025) 24 ГБ, 1 ТБ SSD, серебристый</t>
  </si>
  <si>
    <t>Ноутбук Apple MacBook Air 15" (M4, 2025) 16 ГБ, 1 ТБ SSD, "сияющая звезда"</t>
  </si>
  <si>
    <t>Ноутбук Apple MacBook Air 15" (M4, 2025) 16 ГБ, 1 ТБ SSD, серебристый</t>
  </si>
  <si>
    <t>Ноутбук Apple MacBook Air 15" (M4, 2025) 16 ГБ, 1 ТБ SSD, "небесно-голубой"</t>
  </si>
  <si>
    <t>Ноутбук Apple MacBook Air 15" (M4, 2025) 16 ГБ, 1 ТБ SSD, "полуночный черный"</t>
  </si>
  <si>
    <t>https://mgg.stores-apple.com/catalog/smartfon-apple-iphone-16-pro-max-512-gb-chernyj-titan-obmen/</t>
  </si>
  <si>
    <t>Ноутбук Apple MacBook Air 15" (M4, 2025) 24 ГБ, 1 ТБ SSD, "полуночный черный"</t>
  </si>
  <si>
    <t>Смартфон Samsung Galaxy S25 Ultra 12/512 ГБ, серебряный</t>
  </si>
  <si>
    <t>Ноутбук Apple MacBook Air 15" (M4, 2025) 24 ГБ, 1 ТБ SSD, "небесно-голубой"</t>
  </si>
  <si>
    <t>https://mgg.stores-apple.com/catalog/smartfon-samsung-galaxy-s25-ultra-512-gb-seryy-titan/</t>
  </si>
  <si>
    <t>Ноутбук Apple MacBook Air 15" (M4, 2025) 24 ГБ, 1 ТБ SSD, серебристый</t>
  </si>
  <si>
    <t>Ноутбук Apple MacBook Air 15" (M4, 2025) 24 ГБ, 1 ТБ SSD, "сияющая звезда"</t>
  </si>
  <si>
    <t>Фен-Стайлер Dyson Airwrap HS09 Co-anda Jusper Plum</t>
  </si>
  <si>
    <t>https://mgg.stores-apple.com/catalog/smartfon-apple-iphone-16-pro-max-256-gb-chernyj-titan/</t>
  </si>
  <si>
    <t>Смартфон Samsung Galaxy S25 Ultra 12/512 ГБ, черный</t>
  </si>
  <si>
    <t>https://mgg.stores-apple.com/catalog/smartfon-samsung-galaxy-s25-ultra-512-gb-chernyy-titan/</t>
  </si>
  <si>
    <t>Фен-Стайлер Dyson Airwrap HS09 Co-anda Amber Silk</t>
  </si>
  <si>
    <t>https://mgg.stores-apple.com/catalog/smartfon-apple-iphone-16-pro-max-256-gb-naturalnyj-titan/</t>
  </si>
  <si>
    <t>Смартфон Samsung Galaxy S26 Ultra 256 ГБ лавандовый</t>
  </si>
  <si>
    <t>https://mgg.stores-apple.com/catalog/smartfon_samsung_galaxy_s26_ultra_12_256_gb_cobalt_violet/</t>
  </si>
  <si>
    <t>Фен-Стайлер Dyson Airwrap HS09 Co-anda Ceramic Pink/Rose Gold</t>
  </si>
  <si>
    <t>https://mgg.stores-apple.com/catalog/smartfon-apple-iphone-16-pro-max-256-gb-belyj-titan/</t>
  </si>
  <si>
    <t>Смартфон Samsung Galaxy S26 Ultra 512 ГБ черный</t>
  </si>
  <si>
    <t>Планшет Apple iPad Pro (2025, M5) 11" Wi-Fi 1 ТБ серебристый</t>
  </si>
  <si>
    <t>https://mgg.stores-apple.com/catalog/smartfon_samsung_galaxy_s26_ultra_512_gb_black_shadow/</t>
  </si>
  <si>
    <t>Планшет Apple iPad Pro (2025, M5) 11" Wi-Fi 1 ТБ чёрный космос</t>
  </si>
  <si>
    <t>https://mgg.stores-apple.com/catalog/smartfon-apple-iphone-16-pro-max-512-gb-chernyj-titan/</t>
  </si>
  <si>
    <t>Смартфон Samsung Galaxy S26 Ultra 512 ГБ лавандовый</t>
  </si>
  <si>
    <t>https://mgg.stores-apple.com/catalog/smartfon_samsung_galaxy_s26_ultra_512_gb_cobalt_violet/</t>
  </si>
  <si>
    <t>Планшет Apple iPad Pro (2025, M5) 11" Wi-Fi 2 ТБ чёрный космос</t>
  </si>
  <si>
    <t>https://mgg.stores-apple.com/catalog/smartfon-apple-iphone-16-pro-max-512-gb-belyj-titan/</t>
  </si>
  <si>
    <t>Смартфон Samsung Galaxy S25 FE 8/128 голубой</t>
  </si>
  <si>
    <t>Планшет Apple iPad Pro (2025, M5) 11" Wi-Fi 2 ТБ серебристый</t>
  </si>
  <si>
    <t>https://mgg.stores-apple.com/catalog/smartfon-samsung-galaxy-s25-fe-8-128-goluboi/</t>
  </si>
  <si>
    <t>https://mgg.stores-apple.com/catalog/smartfon-apple-iphone-16-pro-max-512-gb-naturalnyj-titan/</t>
  </si>
  <si>
    <t>Планшет Apple iPad Pro (2025, M5) 11" LTE 2 ТБ серебристый</t>
  </si>
  <si>
    <t>Смартфон Samsung Galaxy S25 FE 8/128 белый</t>
  </si>
  <si>
    <t>https://mgg.stores-apple.com/catalog/smartfon-samsung-galaxy-s25-fe-8-128-belyi/</t>
  </si>
  <si>
    <t>Планшет Apple iPad Pro (2025, M5) 11" LTE 2 ТБ чёрный космос</t>
  </si>
  <si>
    <t>https://mgg.stores-apple.com/catalog/smartfon-apple-iphone-16-pro-max-512-gb-pustynnyj-titan/</t>
  </si>
  <si>
    <t>Смартфон Samsung Galaxy S25 FE 8/128 черный</t>
  </si>
  <si>
    <t>https://mgg.stores-apple.com/catalog/smartfon-samsung-galaxy-s25-fe-8-128-chernyi/</t>
  </si>
  <si>
    <t>Планшет Apple iPad Pro (2025, M5) 11" LTE 1 ТБ чёрный космос</t>
  </si>
  <si>
    <t>Смартфон Apple iPhone 16 Pro Max 1024 ГБ белый титан</t>
  </si>
  <si>
    <t>https://mgg.stores-apple.com/catalog/smartfon-apple-iphone-16-pro-max-1024-gb-belyj-titan/</t>
  </si>
  <si>
    <t>Смартфон Samsung Galaxy S25 12/128 ГБ мятный</t>
  </si>
  <si>
    <t>https://mgg.stores-apple.com/catalog/smartfon-samsung-galaxy-s25-128-gb-myatnyy/</t>
  </si>
  <si>
    <t>Планшет Apple iPad Pro (2025, M5) 11" LTE 1 ТБ серебристый</t>
  </si>
  <si>
    <t>Смартфон Apple iPhone 16 Pro Max 1024 ГБ пустынный титан</t>
  </si>
  <si>
    <t>https://mgg.stores-apple.com/catalog/smartfon-apple-iphone-16-pro-max-1024-gb-pustynnyj-titan/</t>
  </si>
  <si>
    <t>Планшет Apple iPad Pro (2025, M5) 11" Wi-Fi 256 ГБ серебристый</t>
  </si>
  <si>
    <t>Смартфон Samsung Galaxy S25 FE 8/256 голубой</t>
  </si>
  <si>
    <t>https://mgg.stores-apple.com/catalog/smartfon-samsung-galaxy-s25-fe-8-256-goluboi/</t>
  </si>
  <si>
    <t>Планшет Apple iPad Pro (2025, M5) 11" Wi-Fi 256 ГБ чёрный космос</t>
  </si>
  <si>
    <t>Смартфон Apple iPhone 16 Pro Max 1024 ГБ натуральный титан</t>
  </si>
  <si>
    <t>https://mgg.stores-apple.com/catalog/smartfon-apple-iphone-16-pro-max-1024-gb-naturalnyj-titan/</t>
  </si>
  <si>
    <t>Смартфон Samsung Galaxy S24 12/256 ГБ оранжевый</t>
  </si>
  <si>
    <t>https://mgg.stores-apple.com/catalog/smartfon-samsung-galaxy-s24-12256-gb-oranzhevyy/</t>
  </si>
  <si>
    <t>Планшет Apple iPad Pro (2025, M5) 11" Wi-Fi 512 ГБ чёрный космос</t>
  </si>
  <si>
    <t>Смартфон Apple iPhone 16 Pro Max 1024 ГБ черный титан</t>
  </si>
  <si>
    <t>https://mgg.stores-apple.com/catalog/smartfon-apple-iphone-16-pro-max-1024-gb-chernyj-titan/</t>
  </si>
  <si>
    <t>Планшет Apple iPad Pro (2025, M5) 11" Wi-Fi 512 ГБ серебристый</t>
  </si>
  <si>
    <t>Смартфон Samsung Galaxy S24 12/256 ГБ зеленый</t>
  </si>
  <si>
    <t>https://mgg.stores-apple.com/catalog/smartfon-samsung-galaxy-s24-12256-gb-zelenyy/</t>
  </si>
  <si>
    <t>Планшет Apple iPad Pro (2025, M5) 11" LTE 256 ГБ чёрный космос</t>
  </si>
  <si>
    <t>Смартфон Apple iPhone 16 Pro Max 1024 ГБ натуральный титан eSIM</t>
  </si>
  <si>
    <t>https://mgg.stores-apple.com/catalog/smartfon-apple-iphone-16-pro-max-1024-gb-naturalnyj-titan-esim-obmenka/</t>
  </si>
  <si>
    <t>Смартфон Samsung Galaxy S24 12/256 ГБ желтый</t>
  </si>
  <si>
    <t>https://mgg.stores-apple.com/catalog/smartfon-samsung-galaxy-s24-12256-gb-zheltyy/</t>
  </si>
  <si>
    <t>Планшет Apple iPad Pro (2025, M5) 11" LTE 256 ГБ серебристый</t>
  </si>
  <si>
    <t>Смартфон Samsung Galaxy S24 12/256 ГБ голубой</t>
  </si>
  <si>
    <t>https://mgg.stores-apple.com/catalog/smartfon-samsung-galaxy-s24-12256-gb-goluboy/</t>
  </si>
  <si>
    <t>Смартфон Apple iPhone 16 Pro Max 1024 ГБ белый титан eSIM</t>
  </si>
  <si>
    <t>Планшет Apple iPad Pro (2025, M5) 11" LTE 512 ГБ серебристый</t>
  </si>
  <si>
    <t>https://mgg.stores-apple.com/catalog/smartfon-apple-iphone-16-pro-max-1024-gb-belyj-titan-esim-obmenka/</t>
  </si>
  <si>
    <t>Планшет Apple iPad Pro (2025, M5) 11" LTE 512 ГБ чёрный космос</t>
  </si>
  <si>
    <t>Смартфон Samsung Galaxy S24 12/256 ГБ фиолетовый</t>
  </si>
  <si>
    <t>https://mgg.stores-apple.com/catalog/smartfon-samsung-galaxy-s24-12256-gb-fioletovyy/</t>
  </si>
  <si>
    <t>Смартфон Apple iPhone 16 Pro Max 1024 ГБ черный титан eSIM</t>
  </si>
  <si>
    <t>https://mgg.stores-apple.com/catalog/smartfon-apple-iphone-16-pro-max-1024-gb-chernyj-titan-esim-obmenka/</t>
  </si>
  <si>
    <t>Планшет Apple iPad Pro (2025, M5) 13" Wi-Fi 1 ТБ серебристый</t>
  </si>
  <si>
    <t>Смартфон Samsung Galaxy S24 12/256 ГБ серый</t>
  </si>
  <si>
    <t>https://mgg.stores-apple.com/catalog/smartfon-samsung-galaxy-s24-12256-gb-seryy/</t>
  </si>
  <si>
    <t>Смартфон Apple iPhone 16 Pro Max 1024 ГБ пустынный титан eSIM</t>
  </si>
  <si>
    <t>https://mgg.stores-apple.com/catalog/smartfon-apple-iphone-16-pro-max-1024-gb-pustynnyj-titan-esim-obmenka/</t>
  </si>
  <si>
    <t>Планшет Apple iPad Pro (2025, M5) 13" Wi-Fi 1 ТБ чёрный космос</t>
  </si>
  <si>
    <t>Планшет Apple iPad Pro (2025, M5) 13" Wi-Fi 2 ТБ чёрный космос</t>
  </si>
  <si>
    <t>Смартфон Samsung Galaxy S24 12/256 ГБ черный</t>
  </si>
  <si>
    <t>https://mgg.stores-apple.com/catalog/smartfon-samsung-galaxy-s24-12256-gb-chernyy/</t>
  </si>
  <si>
    <t>https://mgg.stores-apple.com/catalog/smartfon-apple-iphone-16-pro-max-1024-gb-pustynnyj-titan-obmen/</t>
  </si>
  <si>
    <t>Планшет Apple iPad Pro (2025, M5) 13" Wi-Fi 2 ТБ серебристый</t>
  </si>
  <si>
    <t>Смартфон Samsung Galaxy S25 12/128 ГБ голубой</t>
  </si>
  <si>
    <t>https://mgg.stores-apple.com/catalog/smartfon-samsung-galaxy-s25-128-gb-goluboy/</t>
  </si>
  <si>
    <t>https://mgg.stores-apple.com/catalog/smartfon-apple-iphone-16-pro-max-1024-gb-naturalnyj-titan-obmen/</t>
  </si>
  <si>
    <t>Планшет Apple iPad Pro (2025, M5) 13" LTE 2 ТБ серебристый</t>
  </si>
  <si>
    <t>Смартфон Samsung Galaxy S25 12/128 ГБ розовый</t>
  </si>
  <si>
    <t>https://mgg.stores-apple.com/catalog/smartfon-samsung-galaxy-s25-128-gb-rozovyy/</t>
  </si>
  <si>
    <t>Планшет Apple iPad Pro (2025, M5) 13" LTE 2 ТБ чёрный космос</t>
  </si>
  <si>
    <t>https://mgg.stores-apple.com/catalog/smartfon-apple-iphone-16-pro-max-1024-gb-chernyj-titan-obmen/</t>
  </si>
  <si>
    <t>Планшет Apple iPad Pro (2025, M5) 13" LTE 1 ТБ чёрный космос</t>
  </si>
  <si>
    <t>Смартфон Samsung Galaxy S25 12/128 ГБ коралловый</t>
  </si>
  <si>
    <t>https://mgg.stores-apple.com/catalog/smartfon-samsung-galaxy-s25-128-gb-korallovyy/</t>
  </si>
  <si>
    <t>https://mgg.stores-apple.com/catalog/smartfon-apple-iphone-16-pro-max-1024-gb-belyj-titan-obmen/</t>
  </si>
  <si>
    <t>Планшет Apple iPad Pro (2025, M5) 13" LTE 1 ТБ серебристый</t>
  </si>
  <si>
    <t>Смартфон Samsung Galaxy S26 FE 128 ГБ черный</t>
  </si>
  <si>
    <t>https://mgg.stores-apple.com/catalog/smartfon_samsung_galaxy_s26_fe_128_gb_chernyy/</t>
  </si>
  <si>
    <t>iPhone 16 Pro</t>
  </si>
  <si>
    <t>https://mgg.stores-apple.com/catalog/smartfon-apple-iphone-16-pro-256-gb-pustynnyj-titan-obmen/</t>
  </si>
  <si>
    <t>Планшет Apple iPad Pro (2025, M5) 13" Wi-Fi 256 ГБ серебристый</t>
  </si>
  <si>
    <t>Планшет Apple iPad Pro (2025, M5) 13" Wi-Fi 256 ГБ чёрный космос</t>
  </si>
  <si>
    <t>Смартфон Samsung Galaxy S26 FE 128 ГБ зеленый</t>
  </si>
  <si>
    <t>https://mgg.stores-apple.com/catalog/smartfon_samsung_galaxy_s26_fe_128_gb_zelenyy/</t>
  </si>
  <si>
    <t>https://mgg.stores-apple.com/catalog/smartfon-apple-iphone-16-pro-512-gb-pustynnyj-titan-obmen/</t>
  </si>
  <si>
    <t>Планшет Apple iPad Pro (2025, M5) 13" LTE 256 ГБ чёрный космос</t>
  </si>
  <si>
    <t>Смартфон Samsung Galaxy S26 FE 128 ГБ фиолетовый</t>
  </si>
  <si>
    <t>https://mgg.stores-apple.com/catalog/smartfon_samsung_galaxy_s26_fe_128_gb_fioletovyy/</t>
  </si>
  <si>
    <t>Смартфон Apple iPhone 16 Pro 128 ГБ пустынный титан eSIM</t>
  </si>
  <si>
    <t>Планшет Apple iPad Pro (2025, M5) 13" LTE 256 ГБ серебристый</t>
  </si>
  <si>
    <t>https://mgg.stores-apple.com/catalog/smartfon-apple-iphone-16-pro-128-gb-pustynnyj-titan-esim-obmenka/</t>
  </si>
  <si>
    <t>Планшет Apple iPad Pro (2025, M5) 13" Wi-Fi 512 ГБ чёрный космос</t>
  </si>
  <si>
    <t>https://mgg.stores-apple.com/catalog/smartfon-samsung-galaxy-s25-fe-8-512-sinii/</t>
  </si>
  <si>
    <t>Смартфон Apple iPhone 16 Pro 128 ГБ белый титан eSIM</t>
  </si>
  <si>
    <t>https://mgg.stores-apple.com/catalog/smartfon-apple-iphone-16-pro-128-gb-belyj-titan-esim-obmenka/</t>
  </si>
  <si>
    <t>Планшет Apple iPad Pro (2025, M5) 13" Wi-Fi 512 ГБ серебристый</t>
  </si>
  <si>
    <t>Смартфон Apple iPhone 16 Pro 128 ГБ натуральный титан eSIM</t>
  </si>
  <si>
    <t>https://mgg.stores-apple.com/catalog/smartfon-apple-iphone-16-pro-128-gb-naturalnyj-titan-esim-obmenka/</t>
  </si>
  <si>
    <t>Смартфон Samsung Galaxy S25 12/256 ГБ темно-серый</t>
  </si>
  <si>
    <t>https://mgg.stores-apple.com/catalog/smartfon-samsung-galaxy-s25-256-gb-temno-seryy/</t>
  </si>
  <si>
    <t>Планшет Apple iPad Pro (2025, M5) 13" LTE 512 ГБ серебристый</t>
  </si>
  <si>
    <t>Планшет Apple iPad Pro (2025, M5) 13" LTE 512 ГБ чёрный космос</t>
  </si>
  <si>
    <t>Смартфон Apple iPhone 16 Pro 128 ГБ черный титан eSIM</t>
  </si>
  <si>
    <t>https://mgg.stores-apple.com/catalog/smartfon-apple-iphone-16-pro-128-gb-chernyj-titan-esim-obmenka/</t>
  </si>
  <si>
    <t>Смартфон Samsung Galaxy S25 12/256 ГБ коралловый</t>
  </si>
  <si>
    <t>https://mgg.stores-apple.com/catalog/smartfon-samsung-galaxy-s25-256-gb-korallovyy/</t>
  </si>
  <si>
    <t>Ноутбук Apple MacBook Pro 14" (M5 10C CPU, 10C GPU, 2025) 16/512 ГБ, серебристый</t>
  </si>
  <si>
    <t>Ноутбук Apple MacBook Pro 14" (M5 10C CPU, 10C GPU, 2025) 16/512 ГБ, черный космос</t>
  </si>
  <si>
    <t>Смартфон Apple iPhone 16 Pro 256 ГБ пустынный титан eSIM</t>
  </si>
  <si>
    <t>https://mgg.stores-apple.com/catalog/smartfon-apple-iphone-16-pro-256-gb-pustynnyj-titan-esim-obmenka/</t>
  </si>
  <si>
    <t>https://mgg.stores-apple.com/catalog/smartfon-samsung-galaxy-s25-256-gb-rozovyy/</t>
  </si>
  <si>
    <t>Ноутбук Apple MacBook Pro 14" (M5 10C CPU, 10C GPU, 2025) 16/1 ТБ, черный космос</t>
  </si>
  <si>
    <t>Смартфон Apple iPhone 16 Pro 256 ГБ натуральный титан eSIM</t>
  </si>
  <si>
    <t>https://mgg.stores-apple.com/catalog/smartfon-apple-iphone-16-pro-256-gb-naturalnyj-titan-esim-obmenka/</t>
  </si>
  <si>
    <t>Смартфон Samsung Galaxy S26 FE 256 ГБ фиолетовый</t>
  </si>
  <si>
    <t>https://mgg.stores-apple.com/catalog/smartfon_samsung_galaxy_s26_fe_256_gb_fioletovyy/</t>
  </si>
  <si>
    <t>Ноутбук Apple MacBook Pro 14" (M5 10C CPU, 10C GPU, 2025) 16/1 ТБ, серебристый</t>
  </si>
  <si>
    <t>Смартфон Apple iPhone 16 Pro 256 ГБ белый титан eSIM</t>
  </si>
  <si>
    <t>https://mgg.stores-apple.com/catalog/smartfon-apple-iphone-16-pro-256-gb-belyj-titan-esim-obmenka/</t>
  </si>
  <si>
    <t>Ноутбук Apple MacBook Pro 14" (M5 10C CPU, 10C GPU, 2025 24/1 ТБ, серебристый</t>
  </si>
  <si>
    <t>Смартфон Samsung Galaxy S26 FE 256 ГБ зеленый</t>
  </si>
  <si>
    <t>https://mgg.stores-apple.com/catalog/smartfon_samsung_galaxy_s26_fe_256_gb_zelenyy/</t>
  </si>
  <si>
    <t>Смартфон Apple iPhone 16 Pro 256 ГБ черный титан eSIM</t>
  </si>
  <si>
    <t>https://mgg.stores-apple.com/catalog/smartfon-apple-iphone-16-pro-256-gb-chernyj-titan-esim-obmenka/</t>
  </si>
  <si>
    <t>Ноутбук Apple MacBook Pro 14" (M5 10C CPU, 10C GPU, 2025) 24/1 ТБ, черный космос</t>
  </si>
  <si>
    <t>Смартфон Samsung Galaxy S26 FE 256 ГБ черный</t>
  </si>
  <si>
    <t>https://mgg.stores-apple.com/catalog/smartfon_samsung_galaxy_s26_fe_256_gb_chernyy/</t>
  </si>
  <si>
    <t>Клавиатура Apple Magic Keyboard для iPad Pro 11 белая</t>
  </si>
  <si>
    <t>Клавиатура Apple Magic Keyboard для iPad Pro 11 черная</t>
  </si>
  <si>
    <t>https://mgg.stores-apple.com/catalog/smartfon-apple-iphone-16-pro-128-gb-belyj-titan-obmen/</t>
  </si>
  <si>
    <t>Клавиатура Apple Magic Keyboard для iPad Pro 13 белая</t>
  </si>
  <si>
    <t>Клавиатура Apple Magic Keyboard для iPad Pro 13 черная</t>
  </si>
  <si>
    <t>Смартфон Samsung Galaxy S25 12/512 ГБ коралловый</t>
  </si>
  <si>
    <t>https://mgg.stores-apple.com/catalog/smartfon-samsung-galaxy-s25-512-gb-korallovyy/</t>
  </si>
  <si>
    <t>Apple Magic Mouse 3 черная</t>
  </si>
  <si>
    <t>Фен Dyson Supersonic HD17 Ceramic Pink, розовый</t>
  </si>
  <si>
    <t>Фен Dyson Supersonic HD17 Jasper Plum, фиолетовый</t>
  </si>
  <si>
    <t>Умная колонка Яндекс Станция Стрит с Алисой зелёный</t>
  </si>
  <si>
    <t>Умная колонка Яндекс Станция Стрит с Алисой черный</t>
  </si>
  <si>
    <t>https://mgg.stores-apple.com/catalog/smartfon-apple-iphone-16-pro-128-gb-naturalnyj-titan-obmen/</t>
  </si>
  <si>
    <t>Портативная колонка JBL GO 4, белый</t>
  </si>
  <si>
    <t>Портативная колонка JBL GO 4, розовый</t>
  </si>
  <si>
    <t>Портативная колонка JBL GO 4, черный</t>
  </si>
  <si>
    <t>Портативная колонка JBL CLIP 4, белый</t>
  </si>
  <si>
    <t>https://mgg.stores-apple.com/catalog/smartfon-samsung-galaxy-s25-512-gb-rozovyy/</t>
  </si>
  <si>
    <t>Портативная колонка JBL CLIP 4, розовый</t>
  </si>
  <si>
    <t>Портативная колонка JBL CLIP 4, черный</t>
  </si>
  <si>
    <t>Портативная колонка JBL CLIP 5, черный</t>
  </si>
  <si>
    <t>Портативная колонка JBL CLIP 5, белый</t>
  </si>
  <si>
    <t>Портативная колонка JBL CLIP 5, розовый</t>
  </si>
  <si>
    <t>https://mgg.stores-apple.com/catalog/smartfon-apple-iphone-16-pro-128-gb-pustynnyj-titan-obmen/</t>
  </si>
  <si>
    <t>Портативная колонка JBL Flip 6, розовый</t>
  </si>
  <si>
    <t>Портативная колонка JBL Flip 6, белый</t>
  </si>
  <si>
    <t>Портативная колонка JBL Flip 6, черный</t>
  </si>
  <si>
    <t>Портативная колонка JBL Charge 6, белый</t>
  </si>
  <si>
    <t>Смартфон Samsung Galaxy S25 12/512 ГБ мятный</t>
  </si>
  <si>
    <t>Портативная колонка JBL Charge 6, розовый</t>
  </si>
  <si>
    <t>https://mgg.stores-apple.com/catalog/smartfon-samsung-galaxy-s25-512-gb-myatnyy/</t>
  </si>
  <si>
    <t>Портативная колонка JBL Charge 6, черный</t>
  </si>
  <si>
    <t>https://mgg.stores-apple.com/catalog/smartfon-apple-iphone-16-pro-128-gb-chernyj-titan-obmen/</t>
  </si>
  <si>
    <t>Смартфон Samsung Galaxy S25 Edge 12/256 ГБ голубой</t>
  </si>
  <si>
    <t>https://mgg.stores-apple.com/catalog/smartfon-samsung-galaxy-s25-edge-12-256gb-goluboi/</t>
  </si>
  <si>
    <t>Смартфон Apple iPhone 16 Pro 512 ГБ пустынный титан eSIM</t>
  </si>
  <si>
    <t>https://mgg.stores-apple.com/catalog/smartfon-apple-iphone-16-pro-512-gb-pustynnyj-titan-esim-obmenka/</t>
  </si>
  <si>
    <t>Смартфон Samsung Galaxy Z Flip 6 512 ГБ, голубой</t>
  </si>
  <si>
    <t>Смартфон Samsung Galaxy Z Flip 6 512 ГБ, зеленый</t>
  </si>
  <si>
    <t>Смартфон Samsung Galaxy Z Flip 6 512ГБ, желтый</t>
  </si>
  <si>
    <t>Смартфон Samsung Galaxy Z Flip 6 512 ГБ, серебристый</t>
  </si>
  <si>
    <t>Смартфон Samsung Galaxy Z Flip 6 256 ГБ, голубой</t>
  </si>
  <si>
    <t>Смартфон Samsung Galaxy Z Flip 6 256 ГБ, зеленый</t>
  </si>
  <si>
    <t>https://mgg.stores-apple.com/catalog/smartfon-samsung-galaxy-s25-edge-12-256gb-chernyi/</t>
  </si>
  <si>
    <t>Смартфон Samsung Galaxy Z Flip 6 256 ГБ, желтый</t>
  </si>
  <si>
    <t>Смартфон Samsung Galaxy Z Flip 6 256 ГБ, серебристый</t>
  </si>
  <si>
    <t>https://mgg.stores-apple.com/catalog/smartfon-apple-iphone-16-pro-256-gb-naturalnyj-titan-obmen/</t>
  </si>
  <si>
    <t>Смартфон Samsung Galaxy Z Flip 7 256 ГБ, коралловый</t>
  </si>
  <si>
    <t>Смартфон Samsung Galaxy S25 Edge 12/256 ГБ серебристый</t>
  </si>
  <si>
    <t>https://mgg.stores-apple.com/catalog/smartfon-samsung-galaxy-s25-edge-12-256gb-serebristyi/</t>
  </si>
  <si>
    <t>https://mgg.stores-apple.com/catalog/smartfon-apple-iphone-16-pro-256-gb-belyj-titan-obmen/</t>
  </si>
  <si>
    <t>Смартфон Samsung Galaxy Z Flip 7 256 ГБ, синий</t>
  </si>
  <si>
    <t>Смартфон Samsung Galaxy S25 Plus 256 ГБ коралловый</t>
  </si>
  <si>
    <t>https://mgg.stores-apple.com/catalog/smartfon-samsung-galaxy-s25-plus-256-gb-korallovyy/</t>
  </si>
  <si>
    <t>Смартфон Samsung Galaxy Z Flip 7 256 ГБ, черный</t>
  </si>
  <si>
    <t>https://mgg.stores-apple.com/catalog/smartfon-apple-iphone-16-pro-256-gb-chernyj-titan-obmen/</t>
  </si>
  <si>
    <t>Смартфон Samsung Galaxy Z Flip 7 512 ГБ, черный</t>
  </si>
  <si>
    <t>https://mgg.stores-apple.com/catalog/smartfon-samsung-galaxy-s25-plus-256-gb-myatnyy/</t>
  </si>
  <si>
    <t>Смартфон Apple iPhone 16 Pro 512 ГБ белый титан eSIM</t>
  </si>
  <si>
    <t>https://mgg.stores-apple.com/catalog/smartfon-apple-iphone-16-pro-512-gb-belyj-titan-esim-obmenka/</t>
  </si>
  <si>
    <t>Смартфон Samsung Galaxy Z Flip 7 512 ГБ, синий</t>
  </si>
  <si>
    <t>https://mgg.stores-apple.com/catalog/smartfon-samsung-galaxy-s25-plus-256-gb-seryy/</t>
  </si>
  <si>
    <t>Смартфон Apple iPhone 16 Pro 512 ГБ черный титан eSIM</t>
  </si>
  <si>
    <t>https://mgg.stores-apple.com/catalog/smartfon-apple-iphone-16-pro-512-gb-chernyj-titan-esim-obmenka/</t>
  </si>
  <si>
    <t>Смартфон Samsung Galaxy Z Flip 7 512 ГБ, коралловый</t>
  </si>
  <si>
    <t>Смартфон Samsung Galaxy S25 Plus 256 ГБ розовый</t>
  </si>
  <si>
    <t>Смартфон Samsung Galaxy Z Flip FE 128 ГБ, белый</t>
  </si>
  <si>
    <t>https://mgg.stores-apple.com/catalog/smartfon-samsung-galaxy-s25-plus-256-gb-rozovyy/</t>
  </si>
  <si>
    <t>Смартфон Apple iPhone 16 Pro 512 ГБ натуральный титан eSIM</t>
  </si>
  <si>
    <t>https://mgg.stores-apple.com/catalog/smartfon-apple-iphone-16-pro-512-gb-naturalnyj-titan-esim-obmenka/</t>
  </si>
  <si>
    <t>Смартфон Samsung Galaxy Z Flip FE 128 ГБ, черный</t>
  </si>
  <si>
    <t>https://mgg.stores-apple.com/catalog/smartfon-samsung-galaxy-s25-plus-256-gb-goluboy/</t>
  </si>
  <si>
    <t>Смартфон Samsung Galaxy Z Flip FE 256 ГБ, белый</t>
  </si>
  <si>
    <t>https://mgg.stores-apple.com/catalog/smartfon-samsung-galaxy-s25-plus-256-gb-siniy/</t>
  </si>
  <si>
    <t>Смартфон Samsung Galaxy Z Flip FE 256 ГБ, черный</t>
  </si>
  <si>
    <t>Смартфон Samsung Galaxy Z Fold 6 256ГБ, розовый</t>
  </si>
  <si>
    <t>Смартфон Samsung Galaxy Z Fold 6 256ГБ, синий</t>
  </si>
  <si>
    <t>Смартфон Samsung Galaxy S25 Edge 12/512 ГБ голубой</t>
  </si>
  <si>
    <t>https://mgg.stores-apple.com/catalog/smartfon-samsung-galaxy-s25-edge-12-512gb-goluboi/</t>
  </si>
  <si>
    <t>Смартфон Samsung Galaxy Z Fold 6 256ГБ, серебристый</t>
  </si>
  <si>
    <t>Смартфон Samsung Galaxy Z Fold 7 256 ГБ, черный</t>
  </si>
  <si>
    <t>Смартфон Samsung Galaxy S25 Edge 12/512 ГБ серебристый</t>
  </si>
  <si>
    <t>https://mgg.stores-apple.com/catalog/smartfon-samsung-galaxy-s25-edge-12-512gb-serebristyi/</t>
  </si>
  <si>
    <t>Смартфон Samsung Galaxy Z Fold 7 256 ГБ, синий</t>
  </si>
  <si>
    <t>Смартфон Samsung Galaxy Z Fold 7 256 ГБ, серый</t>
  </si>
  <si>
    <t>https://mgg.stores-apple.com/catalog/smartfon-samsung-galaxy-s25-edge-12-512gb-chernyi/</t>
  </si>
  <si>
    <t>https://mgg.stores-apple.com/catalog/smartfon-apple-iphone-16-pro-512-gb-naturalnyj-titan-obmen/</t>
  </si>
  <si>
    <t>Смартфон Samsung Galaxy Z Fold 7 512 ГБ, серый</t>
  </si>
  <si>
    <t>Смартфон Samsung Galaxy S26 256 ГБ голубой</t>
  </si>
  <si>
    <t>https://mgg.stores-apple.com/catalog/smartfon_samsung_galaxy_s26_256_gb_blue_goluboy/</t>
  </si>
  <si>
    <t>https://mgg.stores-apple.com/catalog/smartfon-apple-iphone-16-pro-512-gb-chernyj-titan-obmen/</t>
  </si>
  <si>
    <t>Смартфон Samsung Galaxy Z Fold 7 512 ГБ, синий</t>
  </si>
  <si>
    <t>Смартфон Samsung Galaxy Z Fold 7 512 ГБ, черный</t>
  </si>
  <si>
    <t>https://mgg.stores-apple.com/catalog/smartfon_samsung_galaxy_s26_256_gb_white_belyy/</t>
  </si>
  <si>
    <t>https://mgg.stores-apple.com/catalog/smartfon-apple-iphone-16-pro-512-gb-belyj-titan-obmen/</t>
  </si>
  <si>
    <t>Смартфон Samsung Galaxy Z Fold 7 1 ТБ, черный</t>
  </si>
  <si>
    <t>Смартфон Samsung Galaxy S26 FE 512 ГБ черный</t>
  </si>
  <si>
    <t>https://mgg.stores-apple.com/catalog/smartfon_samsung_galaxy_s26_fe_512_gb_chernyy/</t>
  </si>
  <si>
    <t>Смартфон Apple iPhone 16 Pro 1024 ГБ белый титан eSIM</t>
  </si>
  <si>
    <t>https://mgg.stores-apple.com/catalog/smartfon-apple-iphone-16-pro-1024-gb-belyj-titan-esim-obmenka/</t>
  </si>
  <si>
    <t>Смартфон Samsung Galaxy Z Fold 7 1 ТБ, синий</t>
  </si>
  <si>
    <t>Смартфон Samsung Galaxy S26 FE 512 ГБ зеленый</t>
  </si>
  <si>
    <t>https://mgg.stores-apple.com/catalog/smartfon_samsung_galaxy_s26_fe_512_gb_zelenyy/</t>
  </si>
  <si>
    <t>Смартфон Samsung Galaxy Z Fold 7 1 ТБ, серый</t>
  </si>
  <si>
    <t>Смартфон Apple iPhone 16 Pro 1024 ГБ пустынный титан eSIM</t>
  </si>
  <si>
    <t>https://mgg.stores-apple.com/catalog/smartfon-apple-iphone-16-pro-1024-gb-pustynnyj-titan-esim-obmenka/</t>
  </si>
  <si>
    <t>Смартфон Samsung Galaxy S26 FE 512 ГБ фиолетовый</t>
  </si>
  <si>
    <t>https://mgg.stores-apple.com/catalog/smartfon_samsung_galaxy_s26_fe_512_gb_fioletovyy/</t>
  </si>
  <si>
    <t>Смартфон Apple iPhone 16 Pro 1024 ГБ черный титан eSIM</t>
  </si>
  <si>
    <t>https://mgg.stores-apple.com/catalog/smartfon-apple-iphone-16-pro-1024-gb-chernyj-titan-esim-obmenka/</t>
  </si>
  <si>
    <t>https://mgg.stores-apple.com/catalog/smartfon-samsung-galaxy-s25-ultra-256-gb-rozovyy-titan/</t>
  </si>
  <si>
    <t>Смартфон Apple iPhone 16 Pro 1024 ГБ натуральный титан eSIM</t>
  </si>
  <si>
    <t>https://mgg.stores-apple.com/catalog/smartfon-apple-iphone-16-pro-1024-gb-naturalnyj-titan-esim-obmenka/</t>
  </si>
  <si>
    <t>Смартфон Samsung Galaxy S25 Ultra 12/512 ГБ, голубой</t>
  </si>
  <si>
    <t>Смартфон Samsung Galaxy S26 256 ГБ серебристый</t>
  </si>
  <si>
    <t>https://mgg.stores-apple.com/catalog/smartfon_samsung_galaxy_s26_12_256_gb_silver_shadow_serebryanaya_ten/</t>
  </si>
  <si>
    <t>Смартфон Samsung Galaxy S25 Ultra 12/1 ТБ, черный</t>
  </si>
  <si>
    <t>https://mgg.stores-apple.com/catalog/smartfon-apple-iphone-16-pro-256-gb-naturalnyj-titan/</t>
  </si>
  <si>
    <t>Смартфон Samsung Galaxy S25 Ultra 12/1 ТБ, серебряный</t>
  </si>
  <si>
    <t>Смартфон Samsung Galaxy S26 512 ГБ голубой</t>
  </si>
  <si>
    <t>https://mgg.stores-apple.com/catalog/smartfon-apple-iphone-16-pro-256-gb-belyj-titan/</t>
  </si>
  <si>
    <t>https://mgg.stores-apple.com/catalog/smartfon_samsung_galaxy_s26_512_gb_blue_goluboy/</t>
  </si>
  <si>
    <t>https://mgg.stores-apple.com/catalog/smartfon-apple-iphone-16-pro-256-gb-chernyj-titan/</t>
  </si>
  <si>
    <t>Смартфон Samsung Galaxy S26 Plus 256 ГБ голубой</t>
  </si>
  <si>
    <t>https://mgg.stores-apple.com/catalog/smartfon_samsung_galaxy_s26_256_gb_blue_goluboy_1/</t>
  </si>
  <si>
    <t>Смартфон Samsung Galaxy S25 Ultra 12/1 ТБ, голубой</t>
  </si>
  <si>
    <t>https://mgg.stores-apple.com/catalog/smartfon-apple-iphone-16-pro-256-gb-pustynnyj-titan/</t>
  </si>
  <si>
    <t>Смартфон Samsung Galaxy S26 Plus 256 ГБ белый</t>
  </si>
  <si>
    <t>https://mgg.stores-apple.com/catalog/smartfon_samsung_galaxy_s26_256_gb_white_belyy_1/</t>
  </si>
  <si>
    <t>Смартфон Samsung Galaxy S25 Ultra 12/1 ТБ, серый</t>
  </si>
  <si>
    <t>https://mgg.stores-apple.com/catalog/smartfon-apple-iphone-16-pro-512-gb-naturalnyj-titan/</t>
  </si>
  <si>
    <t>Смартфон Samsung Galaxy S25 Plus 512 ГБ коралловый</t>
  </si>
  <si>
    <t>https://mgg.stores-apple.com/catalog/smartfon-samsung-galaxy-s25-plus-512-gb-korallovyy/</t>
  </si>
  <si>
    <t>https://mgg.stores-apple.com/catalog/smartfon-apple-iphone-16-pro-512-gb-pustynnyj-titan/</t>
  </si>
  <si>
    <t>Смартфон Samsung Galaxy S26 256 ГБ розовое золото</t>
  </si>
  <si>
    <t>https://mgg.stores-apple.com/catalog/smartfon-samsung-galaxy-s25-plus-512-gb-myatnyy/</t>
  </si>
  <si>
    <t>https://mgg.stores-apple.com/catalog/smartfon-apple-iphone-16-pro-512-gb-belyj-titan/</t>
  </si>
  <si>
    <t>https://mgg.stores-apple.com/catalog/smartfon-samsung-galaxy-s25-plus-512-gb-goluboy/</t>
  </si>
  <si>
    <t>https://mgg.stores-apple.com/catalog/smartfon-apple-iphone-16-pro-512-gb-chernyj-titan/</t>
  </si>
  <si>
    <t>Смартфон Samsung Galaxy S25 Plus 512 ГБ розовый</t>
  </si>
  <si>
    <t>https://mgg.stores-apple.com/catalog/smartfon-samsung-galaxy-s25-plus-512-gb-rozovyy/</t>
  </si>
  <si>
    <t>Смартфон Apple iPhone 16 Pro 1024 ГБ белый титан</t>
  </si>
  <si>
    <t>https://mgg.stores-apple.com/catalog/smartfon-apple-iphone-16-pro-1024-gb-belyj-titan/</t>
  </si>
  <si>
    <t>https://mgg.stores-apple.com/catalog/smartfon-samsung-galaxy-s25-plus-512-gb-seryy/</t>
  </si>
  <si>
    <t>Смартфон Apple iPhone 16 Pro 1024 ГБ натуральный титан</t>
  </si>
  <si>
    <t>https://mgg.stores-apple.com/catalog/smartfon-apple-iphone-16-pro-1024-gb-naturalnyj-titan/</t>
  </si>
  <si>
    <t>Смартфон Samsung Galaxy S25 Plus 512 ГБ темно-серый</t>
  </si>
  <si>
    <t>https://mgg.stores-apple.com/catalog/smartfon-samsung-galaxy-s25-plus-512-gb-temno-seryy/</t>
  </si>
  <si>
    <t>Смартфон Apple iPhone 16 Pro 1024 ГБ черный титан</t>
  </si>
  <si>
    <t>https://mgg.stores-apple.com/catalog/smartfon-apple-iphone-16-pro-1024-gb-chernyj-titan/</t>
  </si>
  <si>
    <t>Смартфон Samsung Galaxy S26 512 ГБ черный</t>
  </si>
  <si>
    <t>https://mgg.stores-apple.com/catalog/smartfon-samsung-galaxy-s25-plus-512-gb-siniy/</t>
  </si>
  <si>
    <t>Смартфон Samsung Galaxy S26 512 ГБ лавандовый</t>
  </si>
  <si>
    <t>Смартфон Apple iPhone 16 Pro 1024 ГБ пустынный титан</t>
  </si>
  <si>
    <t>https://mgg.stores-apple.com/catalog/smartfon-apple-iphone-16-pro-1024-gb-pustynnyj-titan/</t>
  </si>
  <si>
    <t>Смартфон Samsung Galaxy S26 512 ГБ розовое золото</t>
  </si>
  <si>
    <t>Смартфон Samsung Galaxy S26 Plus 256 ГБ лавандовый</t>
  </si>
  <si>
    <t>https://mgg.stores-apple.com/catalog/smartfon_samsung_galaxy_s26_256_gb_violet_fioletovyy_1/</t>
  </si>
  <si>
    <t>Смартфон Samsung Galaxy S26 512 ГБ серебристый</t>
  </si>
  <si>
    <t>https://mgg.stores-apple.com/catalog/smartfon-apple-iphone-16-pro-1024-gb-belyj-titan-obmen/</t>
  </si>
  <si>
    <t>https://mgg.stores-apple.com/catalog/smartfon_samsung_galaxy_s26_512_gb_white_belyy_1/</t>
  </si>
  <si>
    <t>https://mgg.stores-apple.com/catalog/smartfon-apple-iphone-16-pro-1024-gb-pustynnyj-titan-obmen/</t>
  </si>
  <si>
    <t>https://mgg.stores-apple.com/catalog/smartfon_samsung_galaxy_s26_12_512_gb_silver_shadow_serebryanaya_ten/</t>
  </si>
  <si>
    <t>https://mgg.stores-apple.com/catalog/smartfon-apple-iphone-16-pro-1024-gb-naturalnyj-titan-obmen/</t>
  </si>
  <si>
    <t>Смартфон Samsung Galaxy S26 Plus 256 ГБ черный</t>
  </si>
  <si>
    <t>https://mgg.stores-apple.com/catalog/smartfon_samsung_galaxy_s26_12_512_gb_pink_gold_rozovoe_zoloto/</t>
  </si>
  <si>
    <t>https://mgg.stores-apple.com/catalog/smartfon-apple-iphone-16-pro-1024-gb-chernyj-titan-obmen/</t>
  </si>
  <si>
    <t>Смартфон Samsung Galaxy S26 Plus 256 ГБ розовое золото</t>
  </si>
  <si>
    <t>https://mgg.stores-apple.com/catalog/smartfon_samsung_galaxy_s26_256_gb_black_chernyy_1/</t>
  </si>
  <si>
    <t>iPhone 16 Plus</t>
  </si>
  <si>
    <t>Смартфон Samsung Galaxy S26 Plus 256 ГБ серебристый</t>
  </si>
  <si>
    <t>Смартфон Apple iPhone 16 Plus 128 ГБ черный</t>
  </si>
  <si>
    <t>https://mgg.stores-apple.com/catalog/smartfon-apple-iphone-16-plus-128-gb-chernyj-obmen/</t>
  </si>
  <si>
    <t>https://mgg.stores-apple.com/catalog/smartfon_samsung_galaxy_s26_12_256_gb_pink_gold_rozovoe_zoloto_1/</t>
  </si>
  <si>
    <t>Смартфон Samsung Galaxy S26 Plus 512 ГБ голубой</t>
  </si>
  <si>
    <t>https://mgg.stores-apple.com/catalog/smartfon-apple-iphone-16-plus-128-gb-ultramarin-obmen/</t>
  </si>
  <si>
    <t>Смартфон Samsung Galaxy S26 Plus 512 ГБ белый</t>
  </si>
  <si>
    <t>https://mgg.stores-apple.com/catalog/smartfon_samsung_galaxy_s26_12_256_gb_silver_shadow_serebryanaya_ten_1/</t>
  </si>
  <si>
    <t>https://mgg.stores-apple.com/catalog/smartfon-apple-iphone-16-plus-128-gb-rozovyj-obmen/</t>
  </si>
  <si>
    <t>Смартфон Samsung Galaxy S26 Plus 512 ГБ черный</t>
  </si>
  <si>
    <t>Смартфон Samsung Galaxy S26 Plus 512 ГБ лавандовый</t>
  </si>
  <si>
    <t>https://mgg.stores-apple.com/catalog/smartfon-samsung-galaxy-s25-ultra-256-gb-zelenyy-titan/</t>
  </si>
  <si>
    <t>https://mgg.stores-apple.com/catalog/smartfon-apple-iphone-16-plus-128-gb-biryuzovyj-obmen/</t>
  </si>
  <si>
    <t>Смартфон Samsung Galaxy S26 Plus 512 ГБ розовое золото</t>
  </si>
  <si>
    <t>Смартфон Samsung Galaxy S25 Ultra 12/512 ГБ зеленый титан</t>
  </si>
  <si>
    <t>https://mgg.stores-apple.com/catalog/smartfon-samsung-galaxy-s25-ultra-512-gb-zelenyy-titan/</t>
  </si>
  <si>
    <t>https://mgg.stores-apple.com/catalog/smartfon-apple-iphone-16-plus-256-gb-belyj-obmen/</t>
  </si>
  <si>
    <t>Смартфон Samsung Galaxy S26 Ultra 256 ГБ серебристый</t>
  </si>
  <si>
    <t>https://mgg.stores-apple.com/catalog/smartfon-samsung-galaxy-s25-ultra-512-gb-serebryanyy-titan/</t>
  </si>
  <si>
    <t>Смартфон Samsung Galaxy S26 Ultra 256 ГБ розовое золото</t>
  </si>
  <si>
    <t>Смартфон Apple iPhone 16 Plus 256 ГБ черный</t>
  </si>
  <si>
    <t>https://mgg.stores-apple.com/catalog/smartfon-apple-iphone-16-plus-256-gb-chernyj-obmen/</t>
  </si>
  <si>
    <t>https://mgg.stores-apple.com/catalog/smartfon-samsung-galaxy-s25-ultra-512-gb-siniy-titan/</t>
  </si>
  <si>
    <t>https://mgg.stores-apple.com/catalog/smartfon-apple-iphone-16-plus-256-gb-rozovyj-obmen/</t>
  </si>
  <si>
    <t>Смартфон Samsung Galaxy S26 Ultra 256 ГБ белый</t>
  </si>
  <si>
    <t>https://mgg.stores-apple.com/catalog/smartfon-apple-iphone-16-plus-256-gb-biryuzovyj-obmen/</t>
  </si>
  <si>
    <t>Смартфон Samsung Galaxy S26 Ultra 256 ГБ голубой</t>
  </si>
  <si>
    <t>Смартфон Samsung Galaxy S25 Ultra 12/512 ГБ угольно-черный титан</t>
  </si>
  <si>
    <t>https://mgg.stores-apple.com/catalog/smartfon-apple-iphone-16-plus-256-gb-ultramarin-obmen/</t>
  </si>
  <si>
    <t>https://mgg.stores-apple.com/catalog/smartfon-samsung-galaxy-s25-ultra-512-gb-ugolno-chernyy-titan/</t>
  </si>
  <si>
    <t>Смартфон Samsung Galaxy S26 Ultra 512 ГБ розовое золото</t>
  </si>
  <si>
    <t>https://mgg.stores-apple.com/catalog/smartfon-apple-iphone-16-plus-128-gb-belyj-obmen/</t>
  </si>
  <si>
    <t>https://mgg.stores-apple.com/catalog/smartfon_samsung_galaxy_s26_12_512_gb_pink_gold_rozovoe_zoloto_1/</t>
  </si>
  <si>
    <t>https://mgg.stores-apple.com/catalog/smartfon_samsung_galaxy_s26_12_512_gb_silver_shadow_serebryanaya_ten_1/</t>
  </si>
  <si>
    <t>Смартфон Samsung Galaxy S26 Ultra 512 ГБ белый</t>
  </si>
  <si>
    <t>Смартфон Samsung Galaxy S26 Ultra 512 ГБ голубой</t>
  </si>
  <si>
    <t>https://mgg.stores-apple.com/catalog/smartfon_samsung_galaxy_s26_512_gb_blue_goluboy_1/</t>
  </si>
  <si>
    <t>Смартфон Samsung Galaxy S26 Ultra 1 ТБ голубой</t>
  </si>
  <si>
    <t>https://mgg.stores-apple.com/catalog/smartfon-apple-iphone-16-plus-128-gb-chernyj/</t>
  </si>
  <si>
    <t>https://mgg.stores-apple.com/catalog/smartfon_samsung_galaxy_s26_512_gb_white_belyy/</t>
  </si>
  <si>
    <t>Смартфон Samsung Galaxy S26 Ultra 1 ТБ белый</t>
  </si>
  <si>
    <t>Смартфон Samsung Galaxy S26 Ultra 1 ТБ черный</t>
  </si>
  <si>
    <t>Смартфон Samsung Galaxy S25 Ultra 12/1024 ГБ зеленый титан</t>
  </si>
  <si>
    <t>https://mgg.stores-apple.com/catalog/smartfon-samsung-galaxy-s25-ultra-1024-gb-zelenyy-titan/</t>
  </si>
  <si>
    <t>Смартфон Samsung Galaxy S26 Ultra 1 ТБ лавандовый</t>
  </si>
  <si>
    <t>Смартфон Samsung Galaxy S26 Ultra 1 ТБ розовое золото</t>
  </si>
  <si>
    <t>https://mgg.stores-apple.com/catalog/smartfon-samsung-galaxy-s25-ultra-1024-gb-seryy-titan/</t>
  </si>
  <si>
    <t>Смартфон Samsung Galaxy S26 Ultra 1 ТБ серебристый</t>
  </si>
  <si>
    <t>https://mgg.stores-apple.com/catalog/smartfon_samsung_galaxy_s26_512_gb_violet_fioletovyy_1/</t>
  </si>
  <si>
    <t>Смартфон Samsung Galaxy S25 Ultra 12/1024 ГБ розовый титан</t>
  </si>
  <si>
    <t>https://mgg.stores-apple.com/catalog/smartfon-samsung-galaxy-s25-ultra-1024-gb-rozovyy-titan/</t>
  </si>
  <si>
    <t>https://mgg.stores-apple.com/catalog/smartfon-samsung-galaxy-s25-ultra-1024-gb-siniy-titan/</t>
  </si>
  <si>
    <t>https://mgg.stores-apple.com/catalog/smartfon_samsung_galaxy_s26_ultra_512_gb_sky_blue/</t>
  </si>
  <si>
    <t>https://mgg.stores-apple.com/catalog/smartfon_samsung_galaxy_s26_ultra_12_512_gb_silver_shadow_serebryanaya_ten/</t>
  </si>
  <si>
    <t>Планшет Apple iPad Air (2026, M4) 11"LTE 128 ГБ серый космос</t>
  </si>
  <si>
    <t>https://mgg.stores-apple.com/catalog/smartfon-apple-iphone-16-plus-512-gb-biryuzovyj-obmen/</t>
  </si>
  <si>
    <t>Планшет Apple iPad Air (2026, M4) 11"LTE 128 ГБ синий</t>
  </si>
  <si>
    <t>https://mgg.stores-apple.com/catalog/smartfon_samsung_galaxy_s26_ultra_1024_gb_sky_blue/</t>
  </si>
  <si>
    <t>https://mgg.stores-apple.com/catalog/smartfon-apple-iphone-16-plus-512-gb-rozovyj-obmen/</t>
  </si>
  <si>
    <t>https://mgg.stores-apple.com/catalog/smartfon_samsung_galaxy_s26_ultra_16_1024_gb_silver_shadow_serebryanaya_ten/</t>
  </si>
  <si>
    <t>Смартфон Apple iPhone 16 Plus 512 ГБ черный</t>
  </si>
  <si>
    <t>Планшет Apple iPad Air (2026, M4) 11"LTE 128 ГБ сияющая звезда</t>
  </si>
  <si>
    <t>https://mgg.stores-apple.com/catalog/smartfon-apple-iphone-16-plus-512-gb-chernyj-obmen/</t>
  </si>
  <si>
    <t>Планшет Apple iPad Air (2026, M4) 11"LTE 128 ГБ фиолетовый</t>
  </si>
  <si>
    <t>https://mgg.stores-apple.com/catalog/smartfon_samsung_galaxy_s26_ultra_16_1024_gb_pink_gold_rozovoe_zoloto/</t>
  </si>
  <si>
    <t>Планшет Apple iPad Air (2026, M4) 11"LTE 256 ГБ серый космос</t>
  </si>
  <si>
    <t>https://mgg.stores-apple.com/catalog/smartfon-apple-iphone-16-plus-512-gb-ultramarin-obmen/</t>
  </si>
  <si>
    <t>Планшет Apple iPad Air (2026, M4) 11"LTE 256 ГБ синий</t>
  </si>
  <si>
    <t>https://mgg.stores-apple.com/catalog/smartfon_samsung_galaxy_s26_ultra_1024_gb_white_shadow/</t>
  </si>
  <si>
    <t>https://mgg.stores-apple.com/catalog/smartfon-apple-iphone-16-plus-512-gb-belyj-obmen/</t>
  </si>
  <si>
    <t>Планшет Apple iPad Air (2026, M4) 11"LTE 256 ГБ сияющая звезда</t>
  </si>
  <si>
    <t>https://mgg.stores-apple.com/catalog/smartfon_samsung_galaxy_s26_ultra_12_256_gb_black_shadow/</t>
  </si>
  <si>
    <t>Планшет Apple iPad Air (2026, M4) 11"LTE 256 ГБ фиолетовый</t>
  </si>
  <si>
    <t>https://mgg.stores-apple.com/catalog/smartfon-apple-iphone-16-plus-512-gb-chernyj/</t>
  </si>
  <si>
    <t>https://mgg.stores-apple.com/catalog/smartfon-samsung-galaxy-z-flip7-fe-8-128-gb-belyj/</t>
  </si>
  <si>
    <t>https://mgg.stores-apple.com/catalog/smartfon-apple-iphone-16-plus-512-gb-ultramarin/</t>
  </si>
  <si>
    <t>Планшет Apple iPad Air (2026, M4) 11"Wi-Fi 128 ГБ серый космос</t>
  </si>
  <si>
    <t>https://mgg.stores-apple.com/catalog/smartfon-samsung-galaxy-z-flip7-fe-8-128-gb-miatnyj/</t>
  </si>
  <si>
    <t>https://mgg.stores-apple.com/catalog/smartfon-apple-iphone-16-plus-512-gb-biryuzovyj/</t>
  </si>
  <si>
    <t>Планшет Apple iPad Air (2026, M4) 11"Wi-Fi 128 ГБ синий</t>
  </si>
  <si>
    <t>Планшет Apple iPad Air (2026, M4) 11"Wi-Fi 128 ГБ сияющая звезда</t>
  </si>
  <si>
    <t>https://mgg.stores-apple.com/catalog/smartfon-apple-iphone-16-plus-512-gb-belyj/</t>
  </si>
  <si>
    <t>https://mgg.stores-apple.com/catalog/smartfon-samsung-galaxy-z-flip7-fe-8-256-gb-miatnyj/</t>
  </si>
  <si>
    <t>Планшет Apple iPad Air (2026, M4) 11"Wi-Fi 128 ГБ фиолетовый</t>
  </si>
  <si>
    <t>Планшет Apple iPad Air (2026, M4) 11"Wi-Fi 256 ГБ серый космос</t>
  </si>
  <si>
    <t>https://mgg.stores-apple.com/catalog/smartfon-samsung-galaxy-z-flip7-fe-8-256-gb-belyj/</t>
  </si>
  <si>
    <t>https://mgg.stores-apple.com/catalog/smartfon-apple-iphone-16-plus-512-gb-rozovyj/</t>
  </si>
  <si>
    <t>Планшет Apple iPad Air (2026, M4) 11"Wi-Fi 256 ГБ синий</t>
  </si>
  <si>
    <t>Смартфон Samsung Galaxy Z Flip 8 12/256 ГБ бежевый</t>
  </si>
  <si>
    <t>iPhone 16</t>
  </si>
  <si>
    <t>https://mgg.stores-apple.com/catalog/smartfon_samsung_galaxy_z_flip_8_12_256_gb_bezhevyy/</t>
  </si>
  <si>
    <t>Планшет Apple iPad Air (2026, M4) 11"Wi-Fi 256 ГБ сияющая звезда</t>
  </si>
  <si>
    <t>Планшет Apple iPad Air (2026, M4) 11"Wi-Fi 256 ГБ фиолетовый</t>
  </si>
  <si>
    <t>Смартфон Samsung Galaxy Z Flip 8 12/256 ГБ серый</t>
  </si>
  <si>
    <t>https://mgg.stores-apple.com/catalog/smartfon_samsung_galaxy_z_flip_8_12_256_gb_seryy/</t>
  </si>
  <si>
    <t>Планшет Apple iPad Air (2026, M4) 13"LTE 128 ГБ серый космос</t>
  </si>
  <si>
    <t>Планшет Apple iPad Air (2026, M4) 13"LTE 128 ГБ синий</t>
  </si>
  <si>
    <t>https://mgg.stores-apple.com/catalog/smartfon-samsung-galaxy-z-flip7-12-256-gb-cernyj/</t>
  </si>
  <si>
    <t>Планшет Apple iPad Air (2026, M4) 13"LTE 128 ГБ сияющая звезда</t>
  </si>
  <si>
    <t>Смартфон Apple iPhone 16 128 ГБ черный</t>
  </si>
  <si>
    <t>https://mgg.stores-apple.com/catalog/smartfon-samsung-galaxy-z-flip7-12-256-gb-sinij/</t>
  </si>
  <si>
    <t>Планшет Apple iPad Air (2026, M4) 13"LTE 128 ГБ фиолетовый</t>
  </si>
  <si>
    <t>Смартфон Apple iPhone 16 256 ГБ черный</t>
  </si>
  <si>
    <t>Планшет Apple iPad Air (2026, M4) 13"LTE 256 ГБ серый космос</t>
  </si>
  <si>
    <t>https://mgg.stores-apple.com/catalog/smartfon-samsung-galaxy-z-flip7-12-256-gb-oranzevyj/</t>
  </si>
  <si>
    <t>Планшет Apple iPad Air (2026, M4) 13"LTE 256 ГБ синий</t>
  </si>
  <si>
    <t>Смартфон Samsung Galaxy Z Flip 8 12/256 ГБ розовый</t>
  </si>
  <si>
    <t>https://mgg.stores-apple.com/catalog/smartfon_samsung_galaxy_z_flip_8_12_256_gb_rozovyy/</t>
  </si>
  <si>
    <t>Планшет Apple iPad Air (2026, M4) 13"LTE 256 ГБ сияющая звезда</t>
  </si>
  <si>
    <t>Планшет Apple iPad Air (2026, M4) 13"LTE 256 ГБ фиолетовый</t>
  </si>
  <si>
    <t>https://mgg.stores-apple.com/catalog/smartfon-samsung-galaxy-z-flip7-12-512-gb-oranzevyj/</t>
  </si>
  <si>
    <t>Планшет Apple iPad Air (2026, M4) 13"Wi-Fi 128 ГБ серый космос</t>
  </si>
  <si>
    <t>Планшет Apple iPad Air (2026, M4) 13"Wi-Fi 128 ГБ синий</t>
  </si>
  <si>
    <t>https://mgg.stores-apple.com/catalog/smartfon-samsung-galaxy-z-flip7-12-512-gb-sinij/</t>
  </si>
  <si>
    <t>Планшет Apple iPad Air (2026, M4) 13"Wi-Fi 128 ГБ сияющая звезда</t>
  </si>
  <si>
    <t>https://mgg.stores-apple.com/catalog/smartfon-samsung-galaxy-z-flip7-12-512-gb-cernyj/</t>
  </si>
  <si>
    <t>Планшет Apple iPad Air (2026, M4) 13"Wi-Fi 128 ГБ фиолетовый</t>
  </si>
  <si>
    <t>Планшет Apple iPad Air (2026, M4) 13"Wi-Fi 256 ГБ серый космос</t>
  </si>
  <si>
    <t>https://mgg.stores-apple.com/catalog/smartfon-apple-iphone-16-256-gb-biryuzovyj/</t>
  </si>
  <si>
    <t>Смартфон Samsung Galaxy Z Flip 8 12/512 ГБ бежевый</t>
  </si>
  <si>
    <t>Планшет Apple iPad Air (2026, M4) 13"Wi-Fi 256 ГБ синий</t>
  </si>
  <si>
    <t>https://mgg.stores-apple.com/catalog/smartfon_samsung_galaxy_z_flip_8_12_512_gb_bezhevyy/</t>
  </si>
  <si>
    <t>Планшет Apple iPad Air (2026, M4) 13"Wi-Fi 256 ГБ сияющая звезда</t>
  </si>
  <si>
    <t>https://mgg.stores-apple.com/catalog/smartfon-apple-iphone-16-256-gb-ultramarin/</t>
  </si>
  <si>
    <t>Планшет Apple iPad Air (2026, M4) 13"Wi-Fi 256 ГБ фиолетовый</t>
  </si>
  <si>
    <t>Смартфон Samsung Galaxy Z Flip 8 12/512 ГБ серый</t>
  </si>
  <si>
    <t>https://mgg.stores-apple.com/catalog/smartfon_samsung_galaxy_z_flip_8_12_512_gb_seryy/</t>
  </si>
  <si>
    <t>https://mgg.stores-apple.com/catalog/smartfon-apple-iphone-16-256-gb-belyj/</t>
  </si>
  <si>
    <t>Ноутбук Apple MacBook Neo 13 A18 Pro 8/256ГБ Желтый</t>
  </si>
  <si>
    <t>Ноутбук Apple MacBook Neo 13 A18 Pro 8/256ГБ Розовый</t>
  </si>
  <si>
    <t>https://mgg.stores-apple.com/catalog/smartfon-apple-iphone-16-256-gb-chernyj/</t>
  </si>
  <si>
    <t>Смартфон Samsung Galaxy Z Flip 8 12/512 ГБ розовый</t>
  </si>
  <si>
    <t>https://mgg.stores-apple.com/catalog/smartfon_samsung_galaxy_z_flip_8_12_512_gb_rozovyy/</t>
  </si>
  <si>
    <t>Ноутбук Apple MacBook Neo 13 A18 Pro 8/256ГБ Серебристый</t>
  </si>
  <si>
    <t>https://mgg.stores-apple.com/catalog/smartfon-apple-iphone-16-256-gb-rozovyj/</t>
  </si>
  <si>
    <t>Ноутбук Apple MacBook Neo 13 A18 Pro 8/256ГБ Синий</t>
  </si>
  <si>
    <t>https://mgg.stores-apple.com/catalog/smartfon-samsung-galaxy-z-fold7-12-256-gb-seryj/</t>
  </si>
  <si>
    <t>Ноутбук Apple MacBook Neo 13 A18 Pro 8/512 ГБ Желтый</t>
  </si>
  <si>
    <t>https://mgg.stores-apple.com/catalog/smartfon-apple-iphone-16-512-gb-biryuzovyj-obmen/</t>
  </si>
  <si>
    <t>Ноутбук Apple MacBook Neo 13 A18 Pro 8/512 ГБ Розовый</t>
  </si>
  <si>
    <t>https://mgg.stores-apple.com/catalog/smartfon-samsung-galaxy-z-fold7-12-256-gb-sinij/</t>
  </si>
  <si>
    <t>Смартфон Apple iPhone 16 512 ГБ черный</t>
  </si>
  <si>
    <t>https://mgg.stores-apple.com/catalog/smartfon-apple-iphone-16-512-gb-chernyj-obmen/</t>
  </si>
  <si>
    <t>Ноутбук Apple MacBook Neo 13 A18 Pro 8/512 ГБ Серебристый</t>
  </si>
  <si>
    <t>https://mgg.stores-apple.com/catalog/smartfon-samsung-galaxy-z-fold7-12-256-gb-cernyj/</t>
  </si>
  <si>
    <t>Ноутбук Apple MacBook Neo 13 A18 Pro 8/512 ГБ Синий</t>
  </si>
  <si>
    <t>Ноутбук Apple MacBook Air 13" (M5, 2026) 16 ГБ, 1 ТБ SSD, небесно-голубой</t>
  </si>
  <si>
    <t>https://mgg.stores-apple.com/catalog/smartfon-apple-iphone-16-512-gb-ultramarin-obmen/</t>
  </si>
  <si>
    <t>Смартфон Samsung Galaxy Z Fold 7 12/256 ГБ мятный</t>
  </si>
  <si>
    <t>https://mgg.stores-apple.com/catalog/smartfon-samsung-galaxy-z-fold7-12-256-gb-miatnyj/</t>
  </si>
  <si>
    <t>Ноутбук Apple MacBook Air 13" (M5, 2026) 16 ГБ, 1 ТБ SSD, полуночный черный</t>
  </si>
  <si>
    <t>https://mgg.stores-apple.com/catalog/smartfon-apple-iphone-16-512-gb-belyj-obmen/</t>
  </si>
  <si>
    <t>Ноутбук Apple MacBook Air 13" (M5, 2026) 16 ГБ, 1 ТБ SSD, серебристый</t>
  </si>
  <si>
    <t>Смартфон Samsung Galaxy Z Fold 8 12/256 ГБ фиолетовый</t>
  </si>
  <si>
    <t>https://mgg.stores-apple.com/catalog/smartfon_samsung_galaxy_z_fold_8_12_256_gb_fioletovyy/</t>
  </si>
  <si>
    <t>https://mgg.stores-apple.com/catalog/smartfon-apple-iphone-16-512-gb-rozovyj-obmen/</t>
  </si>
  <si>
    <t>Смартфон Samsung Galaxy Z Fold 8 12/256 ГБ серый</t>
  </si>
  <si>
    <t>https://mgg.stores-apple.com/catalog/smartfon_samsung_galaxy_z_fold_8_12_256_gb_seryy/</t>
  </si>
  <si>
    <t>Ноутбук Apple MacBook Air 13" (M5, 2026) 16 ГБ, 1 ТБ SSD, сияющая звезда</t>
  </si>
  <si>
    <t>https://mgg.stores-apple.com/catalog/smartfon-apple-iphone-16-512-gb-belyj/</t>
  </si>
  <si>
    <t>Ноутбук Apple MacBook Air 13" (M5, 2026) 16 ГБ, 512 ГБ SSD, небесно-голубой</t>
  </si>
  <si>
    <t>Смартфон Samsung Galaxy Z Fold 8 12/256 ГБ бежевый</t>
  </si>
  <si>
    <t>https://mgg.stores-apple.com/catalog/smartfon_samsung_galaxy_z_fold_8_12_256_gb_bezhevyy/</t>
  </si>
  <si>
    <t>https://mgg.stores-apple.com/catalog/smartfon-apple-iphone-16-512-gb-rozovyj/</t>
  </si>
  <si>
    <t>Ноутбук Apple MacBook Air 13" (M5, 2026) 16 ГБ, 512 ГБ SSD, полуночный черный</t>
  </si>
  <si>
    <t>https://mgg.stores-apple.com/catalog/smartfon-samsung-galaxy-z-fold7-12-512-gb-seryj/</t>
  </si>
  <si>
    <t>https://mgg.stores-apple.com/catalog/smartfon-apple-iphone-16-512-gb-chernyj/</t>
  </si>
  <si>
    <t>Ноутбук Apple MacBook Air 13" (M5, 2026) 16 ГБ, 512 ГБ SSD, серебристый</t>
  </si>
  <si>
    <t>Ноутбук Apple MacBook Air 13" (M5, 2026) 16 ГБ, 512 ГБ SSD, сияющая звезда</t>
  </si>
  <si>
    <t>https://mgg.stores-apple.com/catalog/smartfon-samsung-galaxy-z-fold7-12-512-gb-sinij/</t>
  </si>
  <si>
    <t>https://mgg.stores-apple.com/catalog/smartfon-apple-iphone-16-512-gb-ultramarin/</t>
  </si>
  <si>
    <t>Ноутбук Apple MacBook Air 13" (M5, 2026) 24 ГБ, 1 ТБ SSD, небесно-голубой</t>
  </si>
  <si>
    <t>Смартфон Samsung Galaxy Z Fold 7 12/512 ГБ мятный</t>
  </si>
  <si>
    <t>https://mgg.stores-apple.com/catalog/smartfon-samsung-galaxy-z-fold7-12-512-gb-miatnyj/</t>
  </si>
  <si>
    <t>https://mgg.stores-apple.com/catalog/smartfon-apple-iphone-16-512-gb-biryuzovyj/</t>
  </si>
  <si>
    <t>Ноутбук Apple MacBook Air 13" (M5, 2026) 24 ГБ, 1 ТБ SSD, полуночный черный</t>
  </si>
  <si>
    <t>Ноутбук Apple MacBook Air 13" (M5, 2026) 24 ГБ, 1 ТБ SSD, серебристый</t>
  </si>
  <si>
    <t>iPhone 16e</t>
  </si>
  <si>
    <t>Смартфон Apple iPhone 16e 128 ГБ белый</t>
  </si>
  <si>
    <t>https://mgg.stores-apple.com/catalog/smartfon-apple-iphone-16e-128-gb-belyy-obmen/</t>
  </si>
  <si>
    <t>https://mgg.stores-apple.com/catalog/smartfon-samsung-galaxy-z-fold7-12-512-gb-cernyj/</t>
  </si>
  <si>
    <t>Ноутбук Apple MacBook Air 13" (M5, 2026) 24 ГБ, 1 ТБ SSD, сияющая звезда</t>
  </si>
  <si>
    <t>Смартфон Apple iPhone 16e 128 ГБ черный</t>
  </si>
  <si>
    <t>https://mgg.stores-apple.com/catalog/smartfon-apple-iphone-16e-128-gb-chernyj-obmen/</t>
  </si>
  <si>
    <t>Смартфон Samsung Galaxy Z Fold 8 12/512 ГБ фиолетовый</t>
  </si>
  <si>
    <t>Ноутбук Apple MacBook Air 15" (M5, 2026) 16 ГБ, 1 ТБ SSD, небесно-голубой</t>
  </si>
  <si>
    <t>https://mgg.stores-apple.com/catalog/smartfon_samsung_galaxy_z_fold_8_12_512_gb_fioletovyy/</t>
  </si>
  <si>
    <t>Ноутбук Apple MacBook Air 15" (M5, 2026) 16 ГБ, 1 ТБ SSD, полуночный черный</t>
  </si>
  <si>
    <t>Смартфон Samsung Galaxy Z Fold 8 Ultra 12/256 ГБ серый</t>
  </si>
  <si>
    <t>https://mgg.stores-apple.com/catalog/smartfon_samsung_galaxy_z_fold_8_ultra_12_256_gb_seryy/</t>
  </si>
  <si>
    <t>Ноутбук Apple MacBook Air 15" (M5, 2026) 16 ГБ, 1 ТБ SSD, серебристый</t>
  </si>
  <si>
    <t>Ноутбук Apple MacBook Air 15" (M5, 2026) 16 ГБ, 1 ТБ SSD, сияющая звезда</t>
  </si>
  <si>
    <t>Смартфон Samsung Galaxy Z Fold 8 Ultra 12/256 ГБ фиолетовый</t>
  </si>
  <si>
    <t>https://mgg.stores-apple.com/catalog/smartfon_samsung_galaxy_z_fold_8_ultra_12_256_gb_fioletovyy/</t>
  </si>
  <si>
    <t>Ноутбук Apple MacBook Air 15" (M5, 2026) 16 ГБ, 512 ГБ SSD, небесно-голубой</t>
  </si>
  <si>
    <t>Смартфон Apple iPhone 16e 256 ГБ белый</t>
  </si>
  <si>
    <t>Ноутбук Apple MacBook Air 15" (M5, 2026) 16 ГБ, 512 ГБ SSD, полуночный черный</t>
  </si>
  <si>
    <t>Смартфон Samsung Galaxy Z Fold 8 12/512 ГБ бежевый</t>
  </si>
  <si>
    <t>https://mgg.stores-apple.com/catalog/smartfon_samsung_galaxy_z_fold_8_12_512_gb_bezhevyy/</t>
  </si>
  <si>
    <t>Смартфон Apple iPhone 16e 256 ГБ черный</t>
  </si>
  <si>
    <t>Ноутбук Apple MacBook Air 15" (M5, 2026) 16 ГБ, 512 ГБ SSD, серебристый</t>
  </si>
  <si>
    <t>Смартфон Samsung Galaxy Z Fold 8 12/512 ГБ серый</t>
  </si>
  <si>
    <t>https://mgg.stores-apple.com/catalog/smartfon_samsung_galaxy_z_fold_8_12_512_gb_seryy/</t>
  </si>
  <si>
    <t>https://mgg.stores-apple.com/catalog/smartfon-apple-iphone-16e-256-gb-belyy-obmen/</t>
  </si>
  <si>
    <t>Ноутбук Apple MacBook Air 15" (M5, 2026) 16 ГБ, 512 ГБ SSD, сияющая звезда</t>
  </si>
  <si>
    <t>Смартфон Samsung Galaxy Z Fold 8 Ultra 12/256 ГБ бежевый</t>
  </si>
  <si>
    <t>https://mgg.stores-apple.com/catalog/smartfon_samsung_galaxy_z_fold_8_ultra_12_256_gb_bezhevyy/</t>
  </si>
  <si>
    <t>Ноутбук Apple MacBook Air 15" (M5, 2026) 24 ГБ, 1 ТБ SSD, небесно-голубой</t>
  </si>
  <si>
    <t>https://mgg.stores-apple.com/catalog/smartfon-apple-iphone-16e-256-gb-chernyj-obmen/</t>
  </si>
  <si>
    <t>Ноутбук Apple MacBook Air 15" (M5, 2026) 24 ГБ, 1 ТБ SSD, полуночный черный</t>
  </si>
  <si>
    <t>Смартфон Samsung Galaxy Z Fold 8 Ultra 12/512 ГБ фиолетовый</t>
  </si>
  <si>
    <t>https://mgg.stores-apple.com/catalog/smartfon_samsung_galaxy_z_fold_8_ultra_12_512_gb_fioletovyy/</t>
  </si>
  <si>
    <t>Смартфон Apple iPhone 16e 512 ГБ белый</t>
  </si>
  <si>
    <t>https://mgg.stores-apple.com/catalog/smartfon-apple-iphone-16e-512-gb-belyy-obmen/</t>
  </si>
  <si>
    <t>Ноутбук Apple MacBook Air 15" (M5, 2026) 24 ГБ, 1 ТБ SSD, серебристый</t>
  </si>
  <si>
    <t>Смартфон Apple iPhone 16e 512 ГБ черный</t>
  </si>
  <si>
    <t>Смартфон Samsung Galaxy Z Fold 8 Ultra 12/512 ГБ бежевый</t>
  </si>
  <si>
    <t>https://mgg.stores-apple.com/catalog/smartfon-apple-iphone-16e-512-gb-chernyj-obmen/</t>
  </si>
  <si>
    <t>https://mgg.stores-apple.com/catalog/smartfon_samsung_galaxy_z_fold_8_ultra_12_512_gb_bezhevyy/</t>
  </si>
  <si>
    <t>Ноутбук Apple MacBook Air 15" (M5, 2026) 24 ГБ, 1 ТБ SSD, сияющая звезда</t>
  </si>
  <si>
    <t>https://mgg.stores-apple.com/catalog/smartfon-apple-iphone-16e-512-gb-chernyj/</t>
  </si>
  <si>
    <t>Стайлер Dyson Airwrap Complete Long HS08 Amber Silk</t>
  </si>
  <si>
    <t>Смартфон Samsung Galaxy Z Fold 8 Ultra 12/512 ГБ серый</t>
  </si>
  <si>
    <t>https://mgg.stores-apple.com/catalog/smartfon_samsung_galaxy_z_fold_8_ultra_12_512_gb_seryy/</t>
  </si>
  <si>
    <t>Стайлер Dyson Airwrap Complete Long HS08 Ceramic pink/Rose gold</t>
  </si>
  <si>
    <t>https://mgg.stores-apple.com/catalog/smartfon-apple-iphone-16e-512-gb-belyy/</t>
  </si>
  <si>
    <t>Стайлер Dyson Airwrap Complete Long HS08 Kanzan Pink</t>
  </si>
  <si>
    <t>https://mgg.stores-apple.com/catalog/smartfon-samsung-galaxy-z-fold7-16-1024-gb-seryj/</t>
  </si>
  <si>
    <t>Стайлер Dyson Airwrap Complete Long HS08 Jasper Plum</t>
  </si>
  <si>
    <t>iPhone 15</t>
  </si>
  <si>
    <t>Смартфон Apple iPhone 15 128 ГБ голубой</t>
  </si>
  <si>
    <t>https://mgg.stores-apple.com/catalog/smartfon_apple_iphone_15_128_gb_goluboy_/</t>
  </si>
  <si>
    <t>https://mgg.stores-apple.com/catalog/smartfon-samsung-galaxy-z-fold7-16-1024-gb-sinij/</t>
  </si>
  <si>
    <t>Стайлер Dyson Airwrap Complete Long HS08 Prussian Blue/Copper</t>
  </si>
  <si>
    <t>Смартфон Apple iPhone 15 128 ГБ черный</t>
  </si>
  <si>
    <t>https://mgg.stores-apple.com/catalog/smartfon_apple_iphone_15_128_gb_chernyy_/</t>
  </si>
  <si>
    <t>Стайлер Dyson Airwrap Complete Long HS08 Red Velvet/Gold</t>
  </si>
  <si>
    <t>Смартфон Samsung Galaxy Z Fold 7 16/1024 ГБ мятный</t>
  </si>
  <si>
    <t>https://mgg.stores-apple.com/catalog/smartfon-samsung-galaxy-z-fold7-16-1024-gb-miatnyj/</t>
  </si>
  <si>
    <t>Фен-Стайлер Dyson Airwrap HS09 Co-anda Red Velvet/Gold</t>
  </si>
  <si>
    <t>Фен-Стайлер Dyson Airwrap HS09 Co-anda Ceramic Apricot/Topaz</t>
  </si>
  <si>
    <t>https://mgg.stores-apple.com/catalog/smartfon-samsung-galaxy-z-fold7-16-1024-gb-cernyj/</t>
  </si>
  <si>
    <t>Выпрямитель волос Dyson Airstrait HT01 Amber Silk</t>
  </si>
  <si>
    <t>Смартфон Apple iPhone 15 256 ГБ черный</t>
  </si>
  <si>
    <t>https://mgg.stores-apple.com/catalog/smartfon_apple_iphone_15_256_gb_chernyy_/</t>
  </si>
  <si>
    <t>Смартфон Samsung Galaxy Z Fold 8 16/1024 ГБ бежевый</t>
  </si>
  <si>
    <t>https://mgg.stores-apple.com/catalog/smartfon_samsung_galaxy_z_fold_8_16_1024_gb_bezhevyy/</t>
  </si>
  <si>
    <t>Выпрямитель волос Dyson Airstrait HT01 Ceramic pink/Rose gold</t>
  </si>
  <si>
    <t>Выпрямитель волос Dyson Airstrait HT01 Kanzan Pink</t>
  </si>
  <si>
    <t>Смартфон Apple iPhone 15 256 ГБ голубой</t>
  </si>
  <si>
    <t>https://mgg.stores-apple.com/catalog/smartfon_apple_iphone_15_256_gb_goluboy_/</t>
  </si>
  <si>
    <t>Выпрямитель волос Dyson Airstrait HT01 Prussian Blue/Rich Copper</t>
  </si>
  <si>
    <t>Смартфон Samsung Galaxy Z Fold 8 16/1024 ГБ фиолетовый</t>
  </si>
  <si>
    <t>https://mgg.stores-apple.com/catalog/smartfon_samsung_galaxy_z_fold_8_16_1024_gb_fioletovyy/</t>
  </si>
  <si>
    <t>Выпрямитель волос Dyson Airstrait HT01 Red Velvet/Gold</t>
  </si>
  <si>
    <t>Смартфон Samsung Galaxy Z Fold 8 16/1024 ГБ серый</t>
  </si>
  <si>
    <t>https://mgg.stores-apple.com/catalog/smartfon_samsung_galaxy_z_fold_8_16_1024_gb_seryy/</t>
  </si>
  <si>
    <t>Фен Dyson Supersonic HD08 Nickel/Copper</t>
  </si>
  <si>
    <t>Фен Dyson Supersonic HD07 Prussian blue/Copper</t>
  </si>
  <si>
    <t>Фен Dyson Supersonic HD07 Blue Blush</t>
  </si>
  <si>
    <t>Фен Dyson Supersonic HD16 Red Velvet/Gold</t>
  </si>
  <si>
    <t>Смартфон Samsung Galaxy Z Fold 8 Ultra 16/1024 ГБ серый</t>
  </si>
  <si>
    <t>https://mgg.stores-apple.com/catalog/smartfon_samsung_galaxy_z_fold_8_ultra_16_1024_gb_seryy/</t>
  </si>
  <si>
    <t>Ray-Ban Очки с камерой Wayfarer RW4008 Matte Black/Clear to Graphite Green Transitions L</t>
  </si>
  <si>
    <t>Смартфон Apple iPhone 15 128 ГБ зеленый</t>
  </si>
  <si>
    <t>Ray-Ban Очки с камерой Skyler RW4010 Shiny Black/Green M</t>
  </si>
  <si>
    <t>Смартфон Samsung Galaxy Z Fold 8 Ultra 16/1024 ГБ фиолетовый</t>
  </si>
  <si>
    <t>https://mgg.stores-apple.com/catalog/smartfon_samsung_galaxy_z_fold_8_ultra_16_1024_gb_fioletovyy/</t>
  </si>
  <si>
    <t>Ray-Ban Очки с камерой Skyler RW4010 Shiny Black / Transitions Amethyst M</t>
  </si>
  <si>
    <t>Смартфон Apple iPhone 15 128 ГБ розовый</t>
  </si>
  <si>
    <t>Ray-Ban Очки с камерой Skyler RW4010 Shiny Black / Transitions Cerulean Blue M</t>
  </si>
  <si>
    <t>Смартфон Samsung Galaxy Z Fold 8 Ultra 16/1024 ГБ бежевый</t>
  </si>
  <si>
    <t>https://mgg.stores-apple.com/catalog/smartfon_samsung_galaxy_z_fold_8_ultra_16_1024_gb_bezhevyy/</t>
  </si>
  <si>
    <t>Ray-Ban Очки с камерой Skyler RW4010 Chalky Gray / Transitions Sapphire M</t>
  </si>
  <si>
    <t>Смартфон Apple iPhone 15 256 ГБ зеленый</t>
  </si>
  <si>
    <t>Ray-Ban Очки с камерой WAYFARER RW4012 Matte Black / Clear M</t>
  </si>
  <si>
    <t>NOTHING PHONE</t>
  </si>
  <si>
    <t>Смартфон Nothing Phone 3a 8/128 ГБ черный</t>
  </si>
  <si>
    <t>https://mgg.stores-apple.com/catalog/smartfon-nothing-phone-3a-8-128-gb-chernyy/</t>
  </si>
  <si>
    <t>Ray-Ban Очки с камерой WAYFARER RW4012 Matte Black / Polar Gradient Graphite M</t>
  </si>
  <si>
    <t>Смартфон Apple iPhone 15 256 ГБ розовый</t>
  </si>
  <si>
    <t>Ray-Ban Очки с камерой WAYFARER RW4012 Matte Black / Polar Gradient Graphite L</t>
  </si>
  <si>
    <t>Смартфон Nothing Phone 3a 8/128 ГБ белый</t>
  </si>
  <si>
    <t>Ray-Ban Очки с камерой WAYFARER RW4012 Shiny Black / Transitions Graphite Green L</t>
  </si>
  <si>
    <t>https://mgg.stores-apple.com/catalog/smartfon-nothing-phone-3a-8-128-gb-belyy/</t>
  </si>
  <si>
    <t>iPhone 14 Pro</t>
  </si>
  <si>
    <t>Смартфон Apple iPhone 14 Pro 128 ГБ темно-фиолетовый</t>
  </si>
  <si>
    <t>https://mgg.stores-apple.com/catalog/smartfon-apple-iphone-14-pro-128-gb-temno-fioletovyj-demo/</t>
  </si>
  <si>
    <t>Ray-Ban Очки с камерой WAYFARER RW4012 Matte Black / Transitions Grey M</t>
  </si>
  <si>
    <t>Смартфон Nothing Phone 3a 12/256 ГБ белый</t>
  </si>
  <si>
    <t>https://mgg.stores-apple.com/catalog/smartfon-nothing-phone-3a-12-256-gb-belyy/</t>
  </si>
  <si>
    <t>Ray-Ban Очки с камерой Headliner RW4013 Shiny Black / G15 Green M</t>
  </si>
  <si>
    <t>Ray-Ban Очки с камерой Skyler RW4014 Shiny Black / Polar Gradient Graphite M</t>
  </si>
  <si>
    <t>Ray-Ban Очки с камерой Skyler RW4014 Shiny Black / Transitions Amethyst M</t>
  </si>
  <si>
    <t>Смартфон Nothing Phone 3a 12/256 ГБ черный</t>
  </si>
  <si>
    <t>Смартфон Apple iPhone 14 Pro 512 ГБ темно-фиолетовый</t>
  </si>
  <si>
    <t>https://mgg.stores-apple.com/catalog/smartfon-nothing-phone-3a-12-256-gb-chernyy/</t>
  </si>
  <si>
    <t>https://mgg.stores-apple.com/catalog/smartfon-apple-iphone-14-pro-512-gb-temno-fioletovyj-demo/</t>
  </si>
  <si>
    <t>Ray-Ban Очки с камерой WAYFARER RW4006 Matte Black/ Polar Gradient Graphite M</t>
  </si>
  <si>
    <t>Ray-Ban Очки с камерой Display Shiny Sand M (размер 3) Shiny Sand</t>
  </si>
  <si>
    <t>iPhone 14</t>
  </si>
  <si>
    <t>Смартфон Nothing Phone 3a 12/256 ГБ синий</t>
  </si>
  <si>
    <t>Смартфоны Apple iPhone 14 128 ГБ темная ночь</t>
  </si>
  <si>
    <t>https://mgg.stores-apple.com/catalog/smartfon_nothing_phone_3a_12_256_gb_siniy/</t>
  </si>
  <si>
    <t>iPhone 13</t>
  </si>
  <si>
    <t>Смартфон Apple iPhone 13 128 ГБ темная ночь</t>
  </si>
  <si>
    <t>Смартфон Nothing Phone 3a Pro 12/256 ГБ серый</t>
  </si>
  <si>
    <t>https://mgg.stores-apple.com/catalog/smartfon-nothing-phone-3a-pro-12-256-gb-seryy/</t>
  </si>
  <si>
    <t>Смартфон Apple iPhone 13 128 ГБ сияющая звезда</t>
  </si>
  <si>
    <t>Смартфон Nothing Phone 3a Pro 12/256 ГБ черный</t>
  </si>
  <si>
    <t>https://mgg.stores-apple.com/catalog/smartfon-nothing-phone-3a-pro-12-256-gb-chernyy/</t>
  </si>
  <si>
    <t>iPhone 17e</t>
  </si>
  <si>
    <t>Смартфон Apple iPhone 17e 256 ГБ черный</t>
  </si>
  <si>
    <t>SONY PS</t>
  </si>
  <si>
    <t>Геймпад Sony DualSense для PS5 (Midnight Black) 1</t>
  </si>
  <si>
    <t>https://mgg.stores-apple.com/catalog/geympad-sony-dualsense-dlya-ps5-midnight-black/</t>
  </si>
  <si>
    <t>Смартфон Apple iPhone 17e 256 ГБ белый eSIM</t>
  </si>
  <si>
    <t>https://mgg.stores-apple.com/catalog/geympad_sony_dualsense_dlya_ps5_belyy/</t>
  </si>
  <si>
    <t>Смартфон Apple iPhone 17e 256 ГБ розовый eSIM</t>
  </si>
  <si>
    <t>https://mgg.stores-apple.com/catalog/igrovaya-pristavka-sony-playstation-5-slim-s-diskovodom/</t>
  </si>
  <si>
    <t>Смартфон Apple iPhone 17e 256 ГБ черный eSIM</t>
  </si>
  <si>
    <t>Зарядная станция PlayStation DualSense Charging Station 1</t>
  </si>
  <si>
    <t>https://mgg.stores-apple.com/catalog/zaryadnaya_stantsiya_playstation_dualsense_charging_station/</t>
  </si>
  <si>
    <t>Смартфон Apple iPhone 17e 256 ГБ белый</t>
  </si>
  <si>
    <t>Геймпад Sony DualSense для PS5 (Звездный синий) 1</t>
  </si>
  <si>
    <t>https://mgg.stores-apple.com/catalog/geympad-sony-dualsense-dlya-ps5-zvezdnyy-siniy/</t>
  </si>
  <si>
    <t>Смартфон Apple iPhone 17e 256 ГБ розовый</t>
  </si>
  <si>
    <t>Геймпад Sony DualSense для PS5 (Cosmis Red) 1</t>
  </si>
  <si>
    <t>https://mgg.stores-apple.com/catalog/geympad-sony-dualsense-dlya-ps5-cosmis-red/</t>
  </si>
  <si>
    <t>Смартфон Apple iPhone 17e 512 ГБ черный eSIM</t>
  </si>
  <si>
    <t>https://mgg.stores-apple.com/catalog/smartfon_apple_iphone_17e_512_gb_chernyy_esim/</t>
  </si>
  <si>
    <t>Геймпад Sony DualSense для PS5 (Cobalt Blue) 1</t>
  </si>
  <si>
    <t>Смартфон Apple iPhone 17e 512 ГБ белый eSIM</t>
  </si>
  <si>
    <t>https://mgg.stores-apple.com/catalog/geympad-sony-dualsense-dlya-ps5-cobalt-blue/</t>
  </si>
  <si>
    <t>https://mgg.stores-apple.com/catalog/smartfon_apple_iphone_17e_512_gb_belyy_esim/</t>
  </si>
  <si>
    <t>Смартфон Apple iPhone 17e 512 ГБ розовый eSIM</t>
  </si>
  <si>
    <t>https://mgg.stores-apple.com/catalog/smartfon_apple_iphone_17e_512_gb_rozovyy_esim/</t>
  </si>
  <si>
    <t>https://mgg.stores-apple.com/catalog/diskovod_dlya_pristavki_sony_disc_drive_dlya_playstation_5_slim_pro/</t>
  </si>
  <si>
    <t>Смартфон Apple iPhone 17e 512 ГБ розовый</t>
  </si>
  <si>
    <t>https://mgg.stores-apple.com/catalog/smartfon_apple_iphone_17e_512_gb_rozovyy/</t>
  </si>
  <si>
    <t>Игровая приставка Sony PlayStation Portal белая</t>
  </si>
  <si>
    <t>https://mgg.stores-apple.com/catalog/sony_playstation_portal_belyy/</t>
  </si>
  <si>
    <t>Смартфон Apple iPhone 17e 512 ГБ белый</t>
  </si>
  <si>
    <t>https://mgg.stores-apple.com/catalog/smartfon_apple_iphone_17e_512_gb_belyy/</t>
  </si>
  <si>
    <t>Игровая приставка Sony PlayStation Portal черная</t>
  </si>
  <si>
    <t>https://mgg.stores-apple.com/catalog/sony_playstation_portal_chernyy/</t>
  </si>
  <si>
    <t>Смартфон Apple iPhone 17e 512 ГБ черный</t>
  </si>
  <si>
    <t>https://mgg.stores-apple.com/catalog/smartfon_apple_iphone_17e_512_gb_chernyy/</t>
  </si>
  <si>
    <t>https://mgg.stores-apple.com/catalog/sony-playstation-5-cfi-1118b/</t>
  </si>
  <si>
    <t>https://mgg.stores-apple.com/catalog/smartfon_apple_iphone_17e_256_gb_belyy_esim_/</t>
  </si>
  <si>
    <t>Игровая приставка Sony PlayStation 5 825Gb с дисководом (CFI-1118A)</t>
  </si>
  <si>
    <t>https://mgg.stores-apple.com/catalog/igrovaya-pristavka-sony-playstation-5-825gb-s-diskovodom-cfi-1118a/</t>
  </si>
  <si>
    <t>https://mgg.stores-apple.com/catalog/smartfon_apple_iphone_17e_512_gb_belyy_esim_/</t>
  </si>
  <si>
    <t>Игровая приставка Sony PlayStation 5 Slim без дисковода</t>
  </si>
  <si>
    <t>https://mgg.stores-apple.com/catalog/igrovaya-pristavka-sony-playstation-5-slim/</t>
  </si>
  <si>
    <t>https://mgg.stores-apple.com/catalog/smartfon_apple_iphone_17e_256_gb_rozovyy_/</t>
  </si>
  <si>
    <t>https://mgg.stores-apple.com/catalog/igrovaya-pristavka-sony-playstation-5-pro/</t>
  </si>
  <si>
    <t>https://mgg.stores-apple.com/catalog/smartfon_apple_iphone_17e_512_gb_rozovyy_/</t>
  </si>
  <si>
    <t>NINTENDO</t>
  </si>
  <si>
    <t>Игровая приставка Nintendo Switch Lite 32Gb Кораллово-розовый</t>
  </si>
  <si>
    <t>https://mgg.stores-apple.com/catalog/igrovaya-pristavka-nintendo-switch-lite-32gb-korallovo-rozovyy/</t>
  </si>
  <si>
    <t>https://mgg.stores-apple.com/catalog/smartfon_apple_iphone_17e_512_gb_belyy_/</t>
  </si>
  <si>
    <t>https://mgg.stores-apple.com/catalog/smartfon_apple_iphone_17e_256_gb_chernyy_/</t>
  </si>
  <si>
    <t>Игровая приставка Nintendo Switch Lite 32Gb Бирюзовый</t>
  </si>
  <si>
    <t>https://mgg.stores-apple.com/catalog/igrovaya-pristavka-nintendo-switch-lite-32gb-biryuzovyy/</t>
  </si>
  <si>
    <t>Игровая приставка Nintendo Switch Lite 32Gb Синяя</t>
  </si>
  <si>
    <t>https://mgg.stores-apple.com/catalog/igrovaya-pristavka-nintendo-switch-lite-32gb-siniy/</t>
  </si>
  <si>
    <t>https://mgg.stores-apple.com/catalog/smartfon_apple_iphone_17e_512_gb_rozovyy_esim_/</t>
  </si>
  <si>
    <t>Игровая приставка Nintendo Switch Lite 32Gb Серая</t>
  </si>
  <si>
    <t>https://mgg.stores-apple.com/catalog/igrovaya-pristavka-nintendo-switch-lite-32gb-seraya/</t>
  </si>
  <si>
    <t>https://mgg.stores-apple.com/catalog/smartfon_apple_iphone_17e_256_gb_chernyy_esim_/</t>
  </si>
  <si>
    <t>Игровая приставка Nintendo Switch Lite 32Gb Желтый</t>
  </si>
  <si>
    <t>https://mgg.stores-apple.com/catalog/igrovaya-pristavka-nintendo-switch-lite-32gb-zheltyy/</t>
  </si>
  <si>
    <t>Игровая приставка Nintendo Switch OLED (СинийКрасный) 1</t>
  </si>
  <si>
    <t>https://mgg.stores-apple.com/catalog/igrovaya-pristavka-nintendo-switch-oled-siniy-krasnyy/</t>
  </si>
  <si>
    <t>https://mgg.stores-apple.com/catalog/smartfon_apple_iphone_17e_256_gb_belyy_/</t>
  </si>
  <si>
    <t>Игровая приставка Nintendo Switch OLED Mario Red 1</t>
  </si>
  <si>
    <t>https://mgg.stores-apple.com/catalog/igrovaya-pristavka-nintendo-switch-oled-mario-red/</t>
  </si>
  <si>
    <t>https://mgg.stores-apple.com/catalog/smartfon_apple_iphone_17e_512_gb_chernyy_/</t>
  </si>
  <si>
    <t>https://mgg.stores-apple.com/catalog/smartfon_apple_iphone_17e_256_gb_rozovyy_esim_/</t>
  </si>
  <si>
    <t>Игровая приставка Nintendo Switch OLED (The Legend of Zelda Tears of the Kingdom Edition) 1</t>
  </si>
  <si>
    <t>https://mgg.stores-apple.com/catalog/igrovaya-pristavka-nintendo-switch-oled-the-legend-of-zelda-tears-of-the-kingdom-edition/</t>
  </si>
  <si>
    <t>https://mgg.stores-apple.com/catalog/smartfon_apple_iphone_17e_512_gb_chernyy_esim_/</t>
  </si>
  <si>
    <t>Игровая приставка Nintendo Switch OLED Белая 1</t>
  </si>
  <si>
    <t>https://mgg.stores-apple.com/catalog/igrovaya-pristavka-nintendo-switch-oled-belaya/</t>
  </si>
  <si>
    <t>Samsung</t>
  </si>
  <si>
    <t>Galaxy A</t>
  </si>
  <si>
    <t>VALVE</t>
  </si>
  <si>
    <t>Игровая приставка Valve Steam Deck OLED 512Gb (Черная) с серией</t>
  </si>
  <si>
    <t>https://mgg.stores-apple.com/catalog/igrovaya-pristavka-valve-steam-deck-oled-512gb-chernaya/</t>
  </si>
  <si>
    <t>Игровая приставка Valve Steam Deck OLED 1000 ГБ (Черная) с серией</t>
  </si>
  <si>
    <t>https://mgg.stores-apple.com/catalog/igrovaya-pristavka-valve-steam-deck-oled-1000-gb-chernaya/</t>
  </si>
  <si>
    <t>LABUBU</t>
  </si>
  <si>
    <t>Коллекционная фигурка Pop Mart Labubu Coca-Cola 1</t>
  </si>
  <si>
    <t>https://mgg.stores-apple.com/catalog/kollekcionnaya-figurka-pop-mart-labubu-coca-cola/</t>
  </si>
  <si>
    <t>Коллекционная фигурка Pop Mart Labubu Have a Seat 1</t>
  </si>
  <si>
    <t>https://mgg.stores-apple.com/catalog/kollekcionnaya-figurka-pop-mart-labubu-have-a-seat/</t>
  </si>
  <si>
    <t>Коллекционная фигурка Pop Mart Labubu Exciting Macaron 1</t>
  </si>
  <si>
    <t>https://mgg.stores-apple.com/catalog/kollekcionnaya-figurka-pop-mart-labubu-exciting-macaron/</t>
  </si>
  <si>
    <t>Коллекционная фигурка Pop Mart Labubu Big into Energy 1</t>
  </si>
  <si>
    <t>https://mgg.stores-apple.com/catalog/kollekcionnaya-figurka-pop-mart-labubu-big-into-energy/</t>
  </si>
  <si>
    <t>GOOGLE PIXEL</t>
  </si>
  <si>
    <t>Смартфон Google Pixel 10 12/128 ГБ черный</t>
  </si>
  <si>
    <t>https://mgg.stores-apple.com/catalog/smartfon_google_pixel_10_12_128_gb_chernyy/</t>
  </si>
  <si>
    <t>Смартфон Google Pixel 10 12/128 ГБ голубой</t>
  </si>
  <si>
    <t>https://mgg.stores-apple.com/catalog/smartfon-google-pixel-10-12-128-gb-goluboi/</t>
  </si>
  <si>
    <t>Смартфон Google Pixel 10 12/128 ГБ желтый</t>
  </si>
  <si>
    <t>https://mgg.stores-apple.com/catalog/smartfon-google-pixel-10-12-128-gb-zheltyi/</t>
  </si>
  <si>
    <t>Смартфон Google Pixel 10 12/128 ГБ синий</t>
  </si>
  <si>
    <t>https://mgg.stores-apple.com/catalog/smartfon-google-pixel-10-12-128-gb-sinii/</t>
  </si>
  <si>
    <t>Смартфон Google Pixel 10 12/128 ГБ серый</t>
  </si>
  <si>
    <t>https://mgg.stores-apple.com/catalog/smartfon-google-pixel-10-12-128-gb-seryi/</t>
  </si>
  <si>
    <t>Смартфон Google Pixel 10 12/256 ГБ черный</t>
  </si>
  <si>
    <t>https://mgg.stores-apple.com/catalog/smartfon_google_pixel_10_12_256_gb_chernyy/</t>
  </si>
  <si>
    <t>Смартфон Google Pixel 10 12/256 ГБ желтый</t>
  </si>
  <si>
    <t>https://mgg.stores-apple.com/catalog/smartfon-google-pixel-10-12-256-gb-zheltyi/</t>
  </si>
  <si>
    <t>Смартфон Google Pixel 10 12/256 ГБ серый</t>
  </si>
  <si>
    <t>https://mgg.stores-apple.com/catalog/smartfon-google-pixel-10-12-256-gb-seryi/</t>
  </si>
  <si>
    <t>Смартфон Google Pixel 10 12/256 ГБ синий</t>
  </si>
  <si>
    <t>https://mgg.stores-apple.com/catalog/smartfon-google-pixel-10-12-256-gb-sinii/</t>
  </si>
  <si>
    <t>Смартфон Google Pixel 10 12/256 ГБ голубой</t>
  </si>
  <si>
    <t>https://mgg.stores-apple.com/catalog/smartfon-google-pixel-10-12-256-gb-goluboi/</t>
  </si>
  <si>
    <t>Смартфон Google Pixel 10 Pro 16/128 ГБ бежевый</t>
  </si>
  <si>
    <t>https://mgg.stores-apple.com/catalog/smartfon-google-pixel-10-pro-16-128-gb-rozovyi/</t>
  </si>
  <si>
    <t>Смартфон Google Pixel 10 Pro 16/128 ГБ зеленый</t>
  </si>
  <si>
    <t>https://mgg.stores-apple.com/catalog/smartfon-google-pixel-10-pro-16-128-gb-zelenyi/</t>
  </si>
  <si>
    <t>Смартфон Google Pixel 10 Pro 16/128 ГБ серый</t>
  </si>
  <si>
    <t>https://mgg.stores-apple.com/catalog/smartfon-google-pixel-10-pro-16-128-gb-fioletovyi/</t>
  </si>
  <si>
    <t>Смартфон Google Pixel 10 Pro 16/128 ГБ черный</t>
  </si>
  <si>
    <t>https://mgg.stores-apple.com/catalog/smartfon-google-pixel-10-pro-16-128-gb-chernyi/</t>
  </si>
  <si>
    <t>Смарт-часы Apple Watch Series 12 42mm Light Gold Aluminum Case with Burgundy Sport Band (M/L)</t>
  </si>
  <si>
    <t>Смарт-часы Apple Watch Series 12 42mm Dark Bronze Aluminum Case with Olive Sport Band (M/L)</t>
  </si>
  <si>
    <t>Смартфон Google Pixel 10 Pro 16/256 ГБ зеленый</t>
  </si>
  <si>
    <t>https://mgg.stores-apple.com/catalog/smartfon-google-pixel-10-pro-16-256-gb-zelenyi/</t>
  </si>
  <si>
    <t>Смарт-часы Apple Watch Series 12 42mm Space Gray Aluminum Case with Navy Blue Sport Band (M/L)</t>
  </si>
  <si>
    <t>Смарт-часы Apple Watch Series 12 42mm Black Aluminum Case with Black Sport Band (M/L)</t>
  </si>
  <si>
    <t>Смартфон Google Pixel 10 Pro 16/256 ГБ черный</t>
  </si>
  <si>
    <t>https://mgg.stores-apple.com/catalog/smartfon-google-pixel-10-pro-16-256-gb-chernyi/</t>
  </si>
  <si>
    <t>Смарт-часы Apple Watch Series 12 46mm Light Gold Aluminum Case with Burgundy Sport Band (M/L)</t>
  </si>
  <si>
    <t>Смарт-часы Apple Watch Series 12 46mm Dark Bronze Aluminum Case with Olive Sport Band (M/L)</t>
  </si>
  <si>
    <t>Смартфон Google Pixel 10 Pro 16/256 ГБ бежевый</t>
  </si>
  <si>
    <t>https://mgg.stores-apple.com/catalog/smartfon-google-pixel-10-pro-16-256-gb-rozovyi/</t>
  </si>
  <si>
    <t>Смарт-часы Apple Watch Series 12 46mm Space Gray Aluminum Case with Navy Blue Sport Band (M/L)</t>
  </si>
  <si>
    <t>Смарт-часы Apple Watch Series 12 46mm Black Aluminum Case with Black Sport Band (M/L)</t>
  </si>
  <si>
    <t>Смартфон Google Pixel 10 Pro 16/256 ГБ серый</t>
  </si>
  <si>
    <t>https://mgg.stores-apple.com/catalog/smartfon-google-pixel-10-pro-16-256-gb-fioletovyi/</t>
  </si>
  <si>
    <t>Смарт-часы Apple Watch Series 12 42mm Night Blue Ceramic Case with Navy Blue Sport Band (M/L)</t>
  </si>
  <si>
    <t>Смартфон Google Pixel 10 Pro 16/512 ГБ зеленый</t>
  </si>
  <si>
    <t>https://mgg.stores-apple.com/catalog/smartfon-google-pixel-10-pro-16-512-gb-zelenyi/</t>
  </si>
  <si>
    <t>Смарт-часы Apple Watch Series 12 46mm Night Blue Ceramic Case with Navy Blue Sport Band (M/L)</t>
  </si>
  <si>
    <t>Смарт-часы Apple Watch Series 12 42mm Pearl White Ceramic Case with Sand Sport Band (M/L)</t>
  </si>
  <si>
    <t>Смартфон Google Pixel 10 Pro 16/512 ГБ серый</t>
  </si>
  <si>
    <t>https://mgg.stores-apple.com/catalog/smartfon-google-pixel-10-pro-16-512-gb-fioletovyi/</t>
  </si>
  <si>
    <t>Смарт-часы Apple Watch Series 12 46mm Pearl White Ceramic Case with Sand Sport Band (M/L)</t>
  </si>
  <si>
    <t>Смарт-часы Apple Watch Series 12 46mm Radiant Gold Titanium Case with Radiant Gold Milanese Loop (M/L)</t>
  </si>
  <si>
    <t>Смартфон Google Pixel 10 Pro 16/512 ГБ бежевый</t>
  </si>
  <si>
    <t>https://mgg.stores-apple.com/catalog/smartfon-google-pixel-10-pro-16-512-gb-rozovyi/</t>
  </si>
  <si>
    <t>Смарт-часы Apple Watch Series 12 46mm Natural Titanium Case with Natural Milanese Loop (M/L)</t>
  </si>
  <si>
    <t>Смарт-часы Apple Watch Series 12 42mm Radiant Gold Titanium Case with Radiant Gold Milanese Loop</t>
  </si>
  <si>
    <t>Смартфон Google Pixel 10 Pro 16/512 ГБ черный</t>
  </si>
  <si>
    <t>https://mgg.stores-apple.com/catalog/smartfon-google-pixel-10-pro-16-512-gb-chernyi/</t>
  </si>
  <si>
    <t>Смарт-часы Apple Watch Series 12 42mm Natural Titanium Case with Natural Milanese Loop</t>
  </si>
  <si>
    <t>Беспроводные наушники Apple AirPods 5</t>
  </si>
  <si>
    <t>Смартфон Google Pixel 10 Pro 16/1024 ГБ зеленый</t>
  </si>
  <si>
    <t>https://mgg.stores-apple.com/catalog/smartfon-google-pixel-10-pro-16-1024-gb-zelenyi/</t>
  </si>
  <si>
    <t>Беспроводные наушники Apple AirPods 5 с шумоподавлением и функцией беспроводной зарядки</t>
  </si>
  <si>
    <t>Смартфон Google Pixel 10 Pro 16/1024 ГБ черный</t>
  </si>
  <si>
    <t>https://mgg.stores-apple.com/catalog/smartfon-google-pixel-10-pro-16-1024-gb-chernyi/</t>
  </si>
  <si>
    <t>Смарт-часы Apple Watch Ultra 4 49mm Black Titanium Case with Desert Alpine Loop (L)</t>
  </si>
  <si>
    <t>Смарт-часы Apple Watch Ultra 4 49mm Black Titanium Case with Dark Olive Alpine Loop (L)</t>
  </si>
  <si>
    <t>Смартфон Google Pixel 10 Pro 16/1024 ГБ серый</t>
  </si>
  <si>
    <t>https://mgg.stores-apple.com/catalog/smartfon-google-pixel-10-pro-16-1024-gb-fioletovyi/</t>
  </si>
  <si>
    <t>Смарт-часы Apple Watch Ultra 4 49mm Black Titanium Case with Burgundy Alpine Loop (L)</t>
  </si>
  <si>
    <t>Смарт-часы Apple Watch Ultra 4 49mm Natural Titanium Case with Dark Olive Alpine Loop (L)</t>
  </si>
  <si>
    <t>Смартфон Google Pixel 10 Pro 16/1024 ГБ бежевый</t>
  </si>
  <si>
    <t>https://mgg.stores-apple.com/catalog/smartfon-google-pixel-10-pro-16-1024-gb-rozovyi/</t>
  </si>
  <si>
    <t>Смарт-часы Apple Watch Ultra 4 49mm Natural Titanium Case with Desert Alpine Loop (L)</t>
  </si>
  <si>
    <t>Смарт-часы Apple Watch Ultra 4 49mm Natural Titanium Case with Burgundy Alpine Loop (L)</t>
  </si>
  <si>
    <t>Смартфон Google Pixel 10 Pro Fold 16/256 ГБ серый</t>
  </si>
  <si>
    <t>https://mgg.stores-apple.com/catalog/smartfon-google-pixel-10-pro-fold-16-256-gb-fioletovyi/</t>
  </si>
  <si>
    <t>Смартфон Google Pixel 10 Pro Fold 16/256 ГБ зеленый</t>
  </si>
  <si>
    <t>https://mgg.stores-apple.com/catalog/smartfon-google-pixel-10-pro-fold-16-256-gb-zelenyi/</t>
  </si>
  <si>
    <t>Смартфон Google Pixel 10 Pro Fold 16/512 ГБ зеленый</t>
  </si>
  <si>
    <t>https://mgg.stores-apple.com/catalog/smartfon-google-pixel-10-pro-fold-16-512-gb-zelenyi/</t>
  </si>
  <si>
    <t>Смартфон Google Pixel 10 Pro Fold 16/512 ГБ серый</t>
  </si>
  <si>
    <t>https://mgg.stores-apple.com/catalog/smartfon-google-pixel-10-pro-fold-16-512-gb-fioletovyi/</t>
  </si>
  <si>
    <t>Смартфон Google Pixel 10 Pro Fold 16/1024 ГБ серый</t>
  </si>
  <si>
    <t>https://mgg.stores-apple.com/catalog/smartfon-google-pixel-10-pro-fold-16-1024-gb-fioletovyi/</t>
  </si>
  <si>
    <t>Смартфон Google Pixel 10 Pro Fold 16/1024 ГБ зеленый</t>
  </si>
  <si>
    <t>https://mgg.stores-apple.com/catalog/smartfon-google-pixel-10-pro-fold-16-1024-gb-zelenyi/</t>
  </si>
  <si>
    <t>Смартфон Google Pixel 10 Pro XL 16/256 ГБ бежевый</t>
  </si>
  <si>
    <t>https://mgg.stores-apple.com/catalog/smartfon-google-pixel-10-pro-xl-16-256-gb-rozovyi/</t>
  </si>
  <si>
    <t>Смартфон Google Pixel 10 Pro XL 16/256 ГБ черный</t>
  </si>
  <si>
    <t>https://mgg.stores-apple.com/catalog/smartfon-google-pixel-10-pro-xl-16-256-gb-chernyi/</t>
  </si>
  <si>
    <t>Смартфон Google Pixel 10 Pro XL 16/256 ГБ зеленый</t>
  </si>
  <si>
    <t>https://mgg.stores-apple.com/catalog/smartfon-google-pixel-10-pro-xl-16-256-gb-zelenyi/</t>
  </si>
  <si>
    <t>Смартфон Google Pixel 10 Pro XL 16/256 ГБ серый</t>
  </si>
  <si>
    <t>https://mgg.stores-apple.com/catalog/smartfon-google-pixel-10-pro-xl-16-256-gb-fioletovyi/</t>
  </si>
  <si>
    <t>Смартфон Google Pixel 10 Pro XL 16/512 ГБ бежевый</t>
  </si>
  <si>
    <t>https://mgg.stores-apple.com/catalog/smartfon-google-pixel-10-pro-xl-16-512-gb-rozovyi/</t>
  </si>
  <si>
    <t>Смартфон Google Pixel 10 Pro XL 16/512 ГБ серый</t>
  </si>
  <si>
    <t>https://mgg.stores-apple.com/catalog/smartfon-google-pixel-10-pro-xl-16-512-gb-fioletovyi/</t>
  </si>
  <si>
    <t>Смартфон Google Pixel 10 Pro XL 16/512 ГБ зеленый</t>
  </si>
  <si>
    <t>https://mgg.stores-apple.com/catalog/smartfon-google-pixel-10-pro-xl-16-512-gb-zelenyi/</t>
  </si>
  <si>
    <t>Смартфон Google Pixel 10 Pro XL 16/512 ГБ черный</t>
  </si>
  <si>
    <t>https://mgg.stores-apple.com/catalog/smartfon-google-pixel-10-pro-xl-16-512-gb-chernyi/</t>
  </si>
  <si>
    <t>Смартфон Google Pixel 10 Pro XL 16/1024 ГБ бежевый</t>
  </si>
  <si>
    <t>https://mgg.stores-apple.com/catalog/smartfon-google-pixel-10-pro-xl-16-1024-gb-rozovyi/</t>
  </si>
  <si>
    <t>Смартфон Google Pixel 10 Pro XL 16/1024 ГБ серый</t>
  </si>
  <si>
    <t>https://mgg.stores-apple.com/catalog/smartfon-google-pixel-10-pro-xl-16-1024-gb-fioletovyi/</t>
  </si>
  <si>
    <t>Смартфон Google Pixel 10 Pro XL 16/1024 ГБ черный</t>
  </si>
  <si>
    <t>https://mgg.stores-apple.com/catalog/smartfon-google-pixel-10-pro-xl-16-1024-gb-chernyi/</t>
  </si>
  <si>
    <t>Смартфон Google Pixel 10 Pro XL 16/1024 ГБ зеленый</t>
  </si>
  <si>
    <t>https://mgg.stores-apple.com/catalog/smartfon-google-pixel-10-pro-xl-16-1024-gb-zelenyi/</t>
  </si>
  <si>
    <t>Смартфон Google Pixel 9 12/128 ГБ зеленый</t>
  </si>
  <si>
    <t>https://mgg.stores-apple.com/catalog/smartfon-google-pixel-9-12-128-gb-zelenyi/</t>
  </si>
  <si>
    <t>Смартфон Google Pixel 9 12/128 ГБ бежевый</t>
  </si>
  <si>
    <t>https://mgg.stores-apple.com/catalog/smartfon-google-pixel-9-12-128-gb-bezhevyi/</t>
  </si>
  <si>
    <t>Смартфон Google Pixel 9 12/128 ГБ розовый</t>
  </si>
  <si>
    <t>https://mgg.stores-apple.com/catalog/smartfon-google-pixel-9-12-128-gb-rozovyi/</t>
  </si>
  <si>
    <t>Смартфон Google Pixel 9 12/128 ГБ черный</t>
  </si>
  <si>
    <t>https://mgg.stores-apple.com/catalog/smartfon-google-pixel-9-12-128-gb-chernyi/</t>
  </si>
  <si>
    <t>Смартфон Google Pixel 9 12/256 ГБ зеленый</t>
  </si>
  <si>
    <t>https://mgg.stores-apple.com/catalog/smartfon-google-pixel-9-12-256-gb-zelenyi/</t>
  </si>
  <si>
    <t>Смартфон Google Pixel 9 12/256 ГБ черный</t>
  </si>
  <si>
    <t>https://mgg.stores-apple.com/catalog/smartfon-google-pixel-9-12-256-gb-chernyi/</t>
  </si>
  <si>
    <t>Смартфон Google Pixel 9 12/256 ГБ розовый</t>
  </si>
  <si>
    <t>https://mgg.stores-apple.com/catalog/smartfon-google-pixel-9-12-256-gb-rozovyi/</t>
  </si>
  <si>
    <t>Смартфон Google Pixel 9 12/256 ГБ бежевый</t>
  </si>
  <si>
    <t>https://mgg.stores-apple.com/catalog/smartfon-google-pixel-9-12-256-gb-bezhevyi/</t>
  </si>
  <si>
    <t>Смартфон Google Pixel 10a  8/128 ГБ обсидиан (Obsidian)</t>
  </si>
  <si>
    <t>https://mgg.stores-apple.com/catalog/smartfon_google_pixel_10a_8_128_gb_chernyy/</t>
  </si>
  <si>
    <t>Смартфон Google Pixel 10a  8/128 ГБ лавандовый (Lavander)</t>
  </si>
  <si>
    <t>https://mgg.stores-apple.com/catalog/smartfon_google_pixel_10a_8_128_gb_lavandovyy/</t>
  </si>
  <si>
    <t>Смартфон Google Pixel 10a  8/128 ГБ туманный (Fog)</t>
  </si>
  <si>
    <t>https://mgg.stores-apple.com/catalog/smartfon_google_pixel_10a_8_128_gb_seryy/</t>
  </si>
  <si>
    <t>Смартфон Google Pixel 10a  8/128 ГБ ягодный (Berry)</t>
  </si>
  <si>
    <t>https://mgg.stores-apple.com/catalog/smartfon_google_pixel_10a_8_128_gb_rozovyy/</t>
  </si>
  <si>
    <t>Смартфон Google Pixel 10a  8/256 ГБ лавандовый (Lavander)</t>
  </si>
  <si>
    <t>https://mgg.stores-apple.com/catalog/smartfon_google_pixel_10a_8_256_gb_lavandovyy/</t>
  </si>
  <si>
    <t>Смартфон Google Pixel 10a  8/256 ГБ ягодный (Berry)</t>
  </si>
  <si>
    <t>https://mgg.stores-apple.com/catalog/smartfon_google_pixel_10a_8_256_gb_rozovyy/</t>
  </si>
  <si>
    <t>Смартфон Google Pixel 10a  8/256 ГБ туманный (Fog)</t>
  </si>
  <si>
    <t>https://mgg.stores-apple.com/catalog/smartfon_google_pixel_10a_8_256_gb_seryy/</t>
  </si>
  <si>
    <t>Смартфон Google Pixel 10a  8/256 ГБ обсидиан (Obsidian)</t>
  </si>
  <si>
    <t>https://mgg.stores-apple.com/catalog/smartfon_google_pixel_10a_8_256_gb_chernyy/</t>
  </si>
  <si>
    <t>Смартфон Google Pixel 9 Pro 16/128 ГБ черный</t>
  </si>
  <si>
    <t>https://mgg.stores-apple.com/catalog/smartfon-google-pixel-9-pro-16-128-gb-chernyi/</t>
  </si>
  <si>
    <t>Смартфон Google Pixel 9 Pro 16/128 ГБ бежевый</t>
  </si>
  <si>
    <t>https://mgg.stores-apple.com/catalog/smartfon-google-pixel-9-pro-16-128-gb-bezhevyi/</t>
  </si>
  <si>
    <t>Смартфон Google Pixel 9 Pro 16/128 ГБ серый</t>
  </si>
  <si>
    <t>https://mgg.stores-apple.com/catalog/smartfon-google-pixel-9-pro-16-128-gb-seryi/</t>
  </si>
  <si>
    <t>Смартфон Google Pixel 9 Pro 16/256 ГБ бежевый</t>
  </si>
  <si>
    <t>https://mgg.stores-apple.com/catalog/smartfon-google-pixel-9-pro-16-256-gb-bezhevyi/</t>
  </si>
  <si>
    <t>Смартфон Google Pixel 9 Pro 16/256 ГБ серый</t>
  </si>
  <si>
    <t>https://mgg.stores-apple.com/catalog/smartfon-google-pixel-9-pro-16-256-gb-seryi/</t>
  </si>
  <si>
    <t>Смартфон Google Pixel 9 Pro 16/256 ГБ черный</t>
  </si>
  <si>
    <t>https://mgg.stores-apple.com/catalog/smartfon-google-pixel-9-pro-16-256-gb-chernyi/</t>
  </si>
  <si>
    <t>Смартфон Google Pixel 9 Pro 16/512 ГБ серый</t>
  </si>
  <si>
    <t>https://mgg.stores-apple.com/catalog/smartfon-google-pixel-9-pro-16-512-gb-seryi/</t>
  </si>
  <si>
    <t>Смартфон Google Pixel 9 Pro 16/512 ГБ бежевый</t>
  </si>
  <si>
    <t>https://mgg.stores-apple.com/catalog/smartfon-google-pixel-9-pro-16-512-gb-bezhevyi/</t>
  </si>
  <si>
    <t>Смартфон Google Pixel 9 Pro 16/512 ГБ черный</t>
  </si>
  <si>
    <t>https://mgg.stores-apple.com/catalog/smartfon-google-pixel-9-pro-16-512-gb-chernyi/</t>
  </si>
  <si>
    <t>Смартфон Google Pixel 11 12/256 ГБ фисташка (Pistachio)</t>
  </si>
  <si>
    <t>https://mgg.stores-apple.com/catalog/smartfon_google_pixel_11_12_256_gb_fistashka_pistachio/</t>
  </si>
  <si>
    <t>Смартфон Google Pixel 11 12/256 ГБ обсидиан (Obsidian)</t>
  </si>
  <si>
    <t>https://mgg.stores-apple.com/catalog/smartfon_google_pixel_11_12_256_gb_obsidian_obsidian/</t>
  </si>
  <si>
    <t>Смартфон Google Pixel 11 12/256 ГБ морозный (Frost)</t>
  </si>
  <si>
    <t>https://mgg.stores-apple.com/catalog/smartfon_google_pixel_11_12_256_gb_moroznyy_frost/</t>
  </si>
  <si>
    <t>Смартфон Google Pixel 11 12/256 ГБ гибискус (Hibiscus)</t>
  </si>
  <si>
    <t>https://mgg.stores-apple.com/catalog/smartfon_google_pixel_11_12_256_gb_gibiskus_hibiscus/</t>
  </si>
  <si>
    <t>Смартфон Google Pixel 11 12/512 ГБ морозный (Frost)</t>
  </si>
  <si>
    <t>https://mgg.stores-apple.com/catalog/smartfon_google_pixel_11_12_512_gb_moroznyy_frost/</t>
  </si>
  <si>
    <t>Смартфон Google Pixel 11 12/512 ГБ гибискус (Hibiscus)</t>
  </si>
  <si>
    <t>https://mgg.stores-apple.com/catalog/smartfon_google_pixel_11_12_512_gb_gibiskus_hibiscus/</t>
  </si>
  <si>
    <t>Смартфон Google Pixel 11 12/512 ГБ обсидиан (Obsidian)</t>
  </si>
  <si>
    <t>https://mgg.stores-apple.com/catalog/smartfon_google_pixel_11_12_512_gb_obsidian_obsidian/</t>
  </si>
  <si>
    <t>Galaxy S</t>
  </si>
  <si>
    <t>Смартфон Google Pixel 11 12/512 ГБ фисташка (Pistachio)</t>
  </si>
  <si>
    <t>https://mgg.stores-apple.com/catalog/smartfon_google_pixel_11_12_512_gb_fistashka_pistachio/</t>
  </si>
  <si>
    <t>Смартфон Google Pixel 9 Pro Fold 16/256 ГБ черный</t>
  </si>
  <si>
    <t>https://mgg.stores-apple.com/catalog/smartfon-google-pixel-9-pro-fold-16-256-gb-chernyi/</t>
  </si>
  <si>
    <t>Смартфон Google Pixel 11 Pro Fold 16/256 ГБ чёрный</t>
  </si>
  <si>
    <t>https://mgg.stores-apple.com/catalog/smartfon_google_pixel_11_pro_fold_16_256_gb_chyernyy/</t>
  </si>
  <si>
    <t>Смартфон Google Pixel 11 Pro Fold 16/256 ГБ оливковый</t>
  </si>
  <si>
    <t>https://mgg.stores-apple.com/catalog/smartfon_google_pixel_11_pro_fold_16_256_gb_olivkovyy/</t>
  </si>
  <si>
    <t>Смартфон Samsung Galaxy S25 FE 8/256 черный</t>
  </si>
  <si>
    <t>Смартфон Google Pixel 11 Pro Fold 16/512 ГБ чёрный</t>
  </si>
  <si>
    <t>https://mgg.stores-apple.com/catalog/smartfon_google_pixel_11_pro_fold_16_512_gb_chyernyy/</t>
  </si>
  <si>
    <t>Смартфон Google Pixel 11 Pro Fold 16/512 ГБ оливковый</t>
  </si>
  <si>
    <t>https://mgg.stores-apple.com/catalog/smartfon_google_pixel_11_pro_fold_16_512_gb_olivkovyy/</t>
  </si>
  <si>
    <t>Смартфон Samsung Galaxy S25 12/256 ГБ голубой</t>
  </si>
  <si>
    <t>Смартфон Google Pixel 11 Pro Fold 16/1024 ГБ чёрный</t>
  </si>
  <si>
    <t>https://mgg.stores-apple.com/catalog/smartfon_google_pixel_11_pro_fold_16_1024_gb_chyernyy_/</t>
  </si>
  <si>
    <t>Смартфон Samsung Galaxy S25 12/256 ГБ синий</t>
  </si>
  <si>
    <t>Смартфон Samsung Galaxy S25 12/256 ГБ серый</t>
  </si>
  <si>
    <t>Смартфон Samsung Galaxy S26 12/256 ГБ Violet/Фиолетовый</t>
  </si>
  <si>
    <t>Смартфон Google Pixel 11 Pro 12/256 ГБ матовый чёрный</t>
  </si>
  <si>
    <t>https://mgg.stores-apple.com/catalog/smartfon_google_pixel_11_pro_12_256_gb_matovyy_chyernyy/</t>
  </si>
  <si>
    <t>Смартфон Samsung Galaxy S26 12/256 ГБ Black/Черный</t>
  </si>
  <si>
    <t>Смартфон Google Pixel 11 Pro 12/256 ГБ туманный</t>
  </si>
  <si>
    <t>https://mgg.stores-apple.com/catalog/smartfon_google_pixel_11_pro_12_256_gb_tumannyy/</t>
  </si>
  <si>
    <t>Смартфон Samsung Galaxy S25 Ultra 12/256 ГБ серый титан</t>
  </si>
  <si>
    <t>Смартфон Google Pixel 11 Pro 12/256 ГБ розовый</t>
  </si>
  <si>
    <t>https://mgg.stores-apple.com/catalog/smartfon_google_pixel_11_pro_12_256_gb_rozovyy/</t>
  </si>
  <si>
    <t>Смартфон Samsung Galaxy S25 Ultra 12/512 ГБ серый титан</t>
  </si>
  <si>
    <t>Смартфон Google Pixel 11 Pro 12/256 ГБ оливковый</t>
  </si>
  <si>
    <t>https://mgg.stores-apple.com/catalog/smartfon_google_pixel_11_pro_12_256_gb_olivkovyy/</t>
  </si>
  <si>
    <t>Смартфон Samsung Galaxy S25 Ultra 12/512 ГБ черный титан</t>
  </si>
  <si>
    <t>Смартфон Google Pixel 11 Pro 16/512 ГБ матовый чёрный</t>
  </si>
  <si>
    <t>https://mgg.stores-apple.com/catalog/smartfon_google_pixel_11_pro_16_512_gb_matovyy_chyernyy/</t>
  </si>
  <si>
    <t>Смартфон Samsung Galaxy S26 Ultra 12/256 ГБ Violet/Фиолетовый</t>
  </si>
  <si>
    <t>Смартфон Google Pixel 11 Pro 16/512 ГБ туманный</t>
  </si>
  <si>
    <t>https://mgg.stores-apple.com/catalog/smartfon_google_pixel_11_pro_16_512_gb_tumannyy/</t>
  </si>
  <si>
    <t>Смартфон Samsung Galaxy S26 Ultra 12/512 ГБ Black/Черный</t>
  </si>
  <si>
    <t>Смартфон Google Pixel 11 Pro 16/512 ГБ розовый</t>
  </si>
  <si>
    <t>https://mgg.stores-apple.com/catalog/smartfon_google_pixel_11_pro_16_512_gb_rozovyy/</t>
  </si>
  <si>
    <t>Смартфон Google Pixel 11 Pro 16/512 ГБ оливковый</t>
  </si>
  <si>
    <t>Смартфон Samsung Galaxy S26 Ultra 12/512 ГБ Violet/Фиолетовый</t>
  </si>
  <si>
    <t>https://mgg.stores-apple.com/catalog/smartfon_google_pixel_11_pro_16_512_gb_olivkovyy/</t>
  </si>
  <si>
    <t>Смартфон Google Pixel 11 Pro 16/1024 ГБ матовый чёрный</t>
  </si>
  <si>
    <t>https://mgg.stores-apple.com/catalog/smartfon_google_pixel_11_pro_16_1024_gb_matovyy_chyernyy_/</t>
  </si>
  <si>
    <t>Смартфон Google Pixel 9 Pro XL 16/128 ГБ бежевый</t>
  </si>
  <si>
    <t>https://mgg.stores-apple.com/catalog/smartfon-google-pixel-9-pro-xl-16-128-gb-bezhevyi/</t>
  </si>
  <si>
    <t>Смартфон Google Pixel 9 Pro XL 16/128 ГБ розовый</t>
  </si>
  <si>
    <t>https://mgg.stores-apple.com/catalog/smartfon-google-pixel-9-pro-xl-16-128-gb-rozovyi/</t>
  </si>
  <si>
    <t>Смартфон Google Pixel 9 Pro XL 16/128 ГБ черный</t>
  </si>
  <si>
    <t>https://mgg.stores-apple.com/catalog/smartfon-google-pixel-9-pro-xl-16-128-gb-chernyi/</t>
  </si>
  <si>
    <t>Смартфон Google Pixel 9 Pro XL 16/128 ГБ серый</t>
  </si>
  <si>
    <t>https://mgg.stores-apple.com/catalog/smartfon-google-pixel-9-pro-xl-16-128-gb-seryi/</t>
  </si>
  <si>
    <t>Смартфон Google Pixel 9 Pro XL 16/256 ГБ бежевый</t>
  </si>
  <si>
    <t>https://mgg.stores-apple.com/catalog/smartfon-google-pixel-9-pro-xl-16-256-gb-bezhevyi/</t>
  </si>
  <si>
    <t>Смартфон Google Pixel 9 Pro XL 16/256 ГБ серый</t>
  </si>
  <si>
    <t>https://mgg.stores-apple.com/catalog/smartfon-google-pixel-9-pro-xl-16-256-gb-seryi/</t>
  </si>
  <si>
    <t>Смартфон Google Pixel 9 Pro XL 16/256 ГБ розовый</t>
  </si>
  <si>
    <t>https://mgg.stores-apple.com/catalog/smartfon-google-pixel-9-pro-xl-16-256-gb-rozovyi/</t>
  </si>
  <si>
    <t>Смартфон Google Pixel 9 Pro XL 16/256 ГБ черный</t>
  </si>
  <si>
    <t>https://mgg.stores-apple.com/catalog/smartfon-google-pixel-9-pro-xl-16-256-gb-chernyi/</t>
  </si>
  <si>
    <t>Смартфон Google Pixel 9a 8/128 ГБ бежевый</t>
  </si>
  <si>
    <t>https://mgg.stores-apple.com/catalog/smartfon-google-pixel-9a-8-128-gb-bezhevyi/</t>
  </si>
  <si>
    <t>Смартфон Google Pixel 9a 8/128 ГБ черный</t>
  </si>
  <si>
    <t>https://mgg.stores-apple.com/catalog/smartfon-google-pixel-9a-8-128-gb-chernyi/</t>
  </si>
  <si>
    <t>Смартфон Google Pixel 9a 8/128 ГБ розовый</t>
  </si>
  <si>
    <t>https://mgg.stores-apple.com/catalog/smartfon-google-pixel-9a-8-128-gb-rozovyi/</t>
  </si>
  <si>
    <t>Смартфон Google Pixel 9a 8/128 ГБ голубой</t>
  </si>
  <si>
    <t>https://mgg.stores-apple.com/catalog/smartfon-google-pixel-9a-8-128-gb-goluboi/</t>
  </si>
  <si>
    <t>Смартфон Google Pixel 9a 8/256 ГБ розовый</t>
  </si>
  <si>
    <t>https://mgg.stores-apple.com/catalog/smartfon-google-pixel-9a-8-256-gb-rozovyi/</t>
  </si>
  <si>
    <t>Смартфон Google Pixel 9a 8/256 ГБ бежевый</t>
  </si>
  <si>
    <t>https://mgg.stores-apple.com/catalog/smartfon-google-pixel-9a-8-256-gb-bezhevyi/</t>
  </si>
  <si>
    <t>Смартфон Google Pixel 9a 8/256 ГБ голубой</t>
  </si>
  <si>
    <t>https://mgg.stores-apple.com/catalog/smartfon-google-pixel-9a-8-256-gb-goluboi/</t>
  </si>
  <si>
    <t>Смартфон Google Pixel 9a 8/256 ГБ черный</t>
  </si>
  <si>
    <t>https://mgg.stores-apple.com/catalog/smartfon-google-pixel-9a-8-256-gb-chernyi/</t>
  </si>
  <si>
    <t>Смартфон Google Pixel 11 Pro XL 12/256 ГБ оливковый</t>
  </si>
  <si>
    <t>https://mgg.stores-apple.com/catalog/smartfon_google_pixel_11_pro_xl_12_256_gb_olivkovyy/</t>
  </si>
  <si>
    <t>Смартфон Google Pixel 11 Pro XL 12/256 ГБ туманный</t>
  </si>
  <si>
    <t>https://mgg.stores-apple.com/catalog/smartfon_google_pixel_11_pro_xl_12_256_gb_tumannyy/</t>
  </si>
  <si>
    <t>Смартфон Google Pixel 11 Pro XL 12/256 ГБ розовый</t>
  </si>
  <si>
    <t>https://mgg.stores-apple.com/catalog/smartfon_google_pixel_11_pro_xl_12_256_gb_rozovyy/</t>
  </si>
  <si>
    <t>Смартфон Google Pixel 11 Pro XL 16/512 ГБ туманный</t>
  </si>
  <si>
    <t>https://mgg.stores-apple.com/catalog/smartfon_google_pixel_11_pro_xl_16_512_gb_tumannyy/</t>
  </si>
  <si>
    <t>Смартфон Google Pixel 11 Pro XL 16/512 ГБ розовый</t>
  </si>
  <si>
    <t>https://mgg.stores-apple.com/catalog/smartfon_google_pixel_11_pro_xl_16_512_gb_rozovyy/</t>
  </si>
  <si>
    <t>Смартфон Google Pixel 11 Pro XL 16/512 ГБ оливковый</t>
  </si>
  <si>
    <t>https://mgg.stores-apple.com/catalog/smartfon_google_pixel_11_pro_xl_16_512_gb_olivkovyy/</t>
  </si>
  <si>
    <t>Смартфон Samsung Galaxy S25 FE 8/512 синий</t>
  </si>
  <si>
    <t>CANON</t>
  </si>
  <si>
    <t>Компактный Фотоаппарат Canon PowerShot G7 X Mark III (Black/Черный)</t>
  </si>
  <si>
    <t>https://mgg.stores-apple.com/catalog/kompaktnyy_fotoapparat_canon_powershot_g7_x_mark_iii_black_chernyy/</t>
  </si>
  <si>
    <t>OnePlus</t>
  </si>
  <si>
    <t>Смартфон OnePlus 15 12/256 ГБ ультрафиолетовый</t>
  </si>
  <si>
    <t>https://mgg.stores-apple.com/catalog/smartfon_oneplus_15_12_256_gb_ulrafioletovyy/</t>
  </si>
  <si>
    <t>Смартфон OnePlus 15 12/256 ГБ бесконечная чернота</t>
  </si>
  <si>
    <t>https://mgg.stores-apple.com/catalog/smartfon_oneplus_15_12_256_gb_beskonechnaya_chernota/</t>
  </si>
  <si>
    <t>Смартфон OnePlus 15 12/256 ГБ песчаная буря</t>
  </si>
  <si>
    <t>https://mgg.stores-apple.com/catalog/smartfon_oneplus_15_12_256_gb_peschnaya_burya/</t>
  </si>
  <si>
    <t>Смартфон OnePlus 15 16/256 ГБ ультрафиолетовый</t>
  </si>
  <si>
    <t>https://mgg.stores-apple.com/catalog/smartfon_oneplus_15_16_256_gb_ulrafioletovyy/</t>
  </si>
  <si>
    <t>Смартфон OnePlus 15 16/256 ГБ бесконечная чернота</t>
  </si>
  <si>
    <t>https://mgg.stores-apple.com/catalog/smartfon_oneplus_15_16_256_gb_beskonechnaya_chernota/</t>
  </si>
  <si>
    <t>Смартфон OnePlus 15 16/256 ГБ песчаная буря</t>
  </si>
  <si>
    <t>https://mgg.stores-apple.com/catalog/smartfon_oneplus_15_16_256_gb_peschnaya_burya/</t>
  </si>
  <si>
    <t>Смартфон OnePlus 15 12/512 ГБ ультрафиолетовый</t>
  </si>
  <si>
    <t>https://mgg.stores-apple.com/catalog/smartfon_oneplus_15_12_512_gb_ulrafioletovyy/</t>
  </si>
  <si>
    <t>Смартфон OnePlus 15 12/512 ГБ бесконечная чернота</t>
  </si>
  <si>
    <t>https://mgg.stores-apple.com/catalog/smartfon_oneplus_15_12_512_gb_beskonechnaya_chernota/</t>
  </si>
  <si>
    <t>Смартфон OnePlus 15 12/512 ГБ песчаная буря</t>
  </si>
  <si>
    <t>https://mgg.stores-apple.com/catalog/smartfon_oneplus_15_12_512_gb_peschnaya_burya/</t>
  </si>
  <si>
    <t>Смартфон OnePlus 15 16/512 ГБ ультрафиолетовый</t>
  </si>
  <si>
    <t>https://mgg.stores-apple.com/catalog/smartfon_oneplus_15_16_512_gb_ulrafioletovyy/</t>
  </si>
  <si>
    <t>Смартфон OnePlus 15 16/512 ГБ бесконечная чернота</t>
  </si>
  <si>
    <t>https://mgg.stores-apple.com/catalog/smartfon_oneplus_15_16_512_gb_beskonechnaya_chernota/</t>
  </si>
  <si>
    <t>Смартфон OnePlus 15 16/512 ГБ песчаная буря</t>
  </si>
  <si>
    <t>https://mgg.stores-apple.com/catalog/smartfon_oneplus_15_16_512_gb_peschnaya_burya/</t>
  </si>
  <si>
    <t>Смартфон OnePlus 15 16/1024 ГБ ультрафиолетовый</t>
  </si>
  <si>
    <t>https://mgg.stores-apple.com/catalog/smartfon_oneplus_15_16_1024_gb_ulrafioletovyy/</t>
  </si>
  <si>
    <t>Смартфон OnePlus 15 16/1024 ГБ песчаная буря</t>
  </si>
  <si>
    <t>https://mgg.stores-apple.com/catalog/smartfon_oneplus_15_16_1024_gb_peschnaya_burya/</t>
  </si>
  <si>
    <t>Смартфон OnePlus 15 16/1024 ГБ бесконечная чернота</t>
  </si>
  <si>
    <t>https://mgg.stores-apple.com/catalog/smartfon_oneplus_15_16_1024_gb_beskonechnaya_chernota/</t>
  </si>
  <si>
    <t>Смартфон Samsung Galaxy S25 Plus 256 ГБ мятный</t>
  </si>
  <si>
    <t>HONOR</t>
  </si>
  <si>
    <t>Смартфон HONOR 600 12/256 ГБ Orange | оранжевый</t>
  </si>
  <si>
    <t>https://mgg.stores-apple.com/catalog/smartfon_honor_600_12_256_gb_orange_oranzhevyy/</t>
  </si>
  <si>
    <t>Смартфон Samsung Galaxy S25 Plus 256 ГБ серый</t>
  </si>
  <si>
    <t>Смартфон HONOR 600 12/256 ГБ Black | черный</t>
  </si>
  <si>
    <t>https://mgg.stores-apple.com/catalog/smartfon_honor_600_12_256_gb_black_chernyy/</t>
  </si>
  <si>
    <t>Смартфон HONOR 600 12/256 ГБ Golden White | бежевый</t>
  </si>
  <si>
    <t>https://mgg.stores-apple.com/catalog/smartfon_honor_600_12_256_gb_golden_white_bezhevyy/</t>
  </si>
  <si>
    <t>Смартфон Samsung Galaxy S25 Plus 256 ГБ голубой</t>
  </si>
  <si>
    <t>Смартфон HONOR 600 12/512 ГБ Black | черный</t>
  </si>
  <si>
    <t>https://mgg.stores-apple.com/catalog/smartfon_honor_600_12_512_gb_black_chernyy/</t>
  </si>
  <si>
    <t>Смартфон HONOR 600 12/512 ГБ Orange | оранжевый</t>
  </si>
  <si>
    <t>Смартфон Samsung Galaxy S25 Plus 256 ГБ синий</t>
  </si>
  <si>
    <t>https://mgg.stores-apple.com/catalog/smartfon_honor_600_12_512_gb_orange_oranzhevyy/</t>
  </si>
  <si>
    <t>Смартфон HONOR 600 Pro 12/256 ГБ Black | черный</t>
  </si>
  <si>
    <t>https://mgg.stores-apple.com/catalog/smartfon_honor_600_pro_12_256_gb_black_chernyy/</t>
  </si>
  <si>
    <t>Смартфон HONOR 600 Pro 12/512 ГБ Black | черный</t>
  </si>
  <si>
    <t>https://mgg.stores-apple.com/catalog/smartfon_honor_600_pro_12_512_gb_black_chernyy/</t>
  </si>
  <si>
    <t>Смартфон HONOR 600 Pro 12/256 ГБ Golden White | бежевый</t>
  </si>
  <si>
    <t>https://mgg.stores-apple.com/catalog/smartfon_honor_600_pro_12_256_gb_golden_white_bezhevyy/</t>
  </si>
  <si>
    <t>Смартфон HONOR 600 Pro 12/512 ГБ Golden White | бежевый</t>
  </si>
  <si>
    <t>https://mgg.stores-apple.com/catalog/smartfon_honor_600_pro_12_512_gb_golden_white_bezhevyy/</t>
  </si>
  <si>
    <t>Смартфон Samsung Galaxy S26 12/256 ГБ Blue/Голубой</t>
  </si>
  <si>
    <t>Смартфон HONOR 600 Pro 12/512 ГБ Orange | оранжевый</t>
  </si>
  <si>
    <t>https://mgg.stores-apple.com/catalog/smartfon_honor_600_pro_12_512_gb_orange_oranzhevyy/</t>
  </si>
  <si>
    <t>Смартфон HONOR Magic 8 Pro 12/512 ГБ Sky Cyan | бирюзовый</t>
  </si>
  <si>
    <t>https://mgg.stores-apple.com/catalog/smartfon_honor_magic_8_pro_12_512_gb_sky_cyan_biryuzovyy/</t>
  </si>
  <si>
    <t>Смартфон Samsung Galaxy S26 12/256 ГБ White/Белый</t>
  </si>
  <si>
    <t>Смартфон HONOR Magic 8 Pro 12/512 ГБ Black | черный</t>
  </si>
  <si>
    <t>https://mgg.stores-apple.com/catalog/smartfon_honor_magic_8_pro_12_512_gb_black_chernyy/</t>
  </si>
  <si>
    <t>Смартфон HONOR Magic 8 Pro 12/512 ГБ Sunrise Gold | золотой</t>
  </si>
  <si>
    <t>https://mgg.stores-apple.com/catalog/smartfon_honor_magic_8_pro_12_512_gb_sunrise_gold_zolotoy/</t>
  </si>
  <si>
    <t>Смартфон HONOR Magic 8 Pro 16/1024 ГБ Sunrise Gold | золотой</t>
  </si>
  <si>
    <t>https://mgg.stores-apple.com/catalog/smartfon_honor_magic_8_pro_16_1024_gb_sunrise_gold_zolotoy/</t>
  </si>
  <si>
    <t>Смартфон HONOR Magic 8 Pro 16/1024 ГБ Black | черный</t>
  </si>
  <si>
    <t>https://mgg.stores-apple.com/catalog/smartfon_honor_magic_8_pro_16_1024_gb_black_chernyy/</t>
  </si>
  <si>
    <t>XIOMI</t>
  </si>
  <si>
    <t>Смартфон Poco M8 Pro 5G 8/256 ГБ черный</t>
  </si>
  <si>
    <t>https://mgg.stores-apple.com/catalog/smartfon_poco_m8_pro_5g_8_256_gb_chernyy/</t>
  </si>
  <si>
    <t>Смартфон Poco X8 Pro 8/512 ГБ белый</t>
  </si>
  <si>
    <t>https://mgg.stores-apple.com/catalog/smartfon_poco_x8_pro_8_512_gb_belyy/</t>
  </si>
  <si>
    <t>Смартфон Poco M7 Pro 5G 8/256 ГБ фиолетовый</t>
  </si>
  <si>
    <t>https://mgg.stores-apple.com/catalog/smartfon-poco-m7-pro-5g-8-256-gb-fioletovyi/</t>
  </si>
  <si>
    <t>Смартфон Poco M7 Pro 5G 8/256 ГБ зеленый</t>
  </si>
  <si>
    <t>https://mgg.stores-apple.com/catalog/smartfon-poco-m7-pro-5g-8-256-gb-zelenyi/</t>
  </si>
  <si>
    <t>Смартфон Samsung Galaxy S26 12/256 ГБ Silver Shadow/Серебряная тень</t>
  </si>
  <si>
    <t>Смартфон Poco M7 Pro 5G 8/256 ГБ черный</t>
  </si>
  <si>
    <t>https://mgg.stores-apple.com/catalog/smartfon-poco-m7-pro-5g-8-256-gb-chernyi/</t>
  </si>
  <si>
    <t>Смартфон Poco M7 Pro 5G 8/256 ГБ серебряный</t>
  </si>
  <si>
    <t>https://mgg.stores-apple.com/catalog/smartfon-poco-m7-pro-5g-8-256-gb-serebryanyi/</t>
  </si>
  <si>
    <t>Смартфон Samsung Galaxy S26 12/512 ГБ Blue/Голубой</t>
  </si>
  <si>
    <t>Смартфон Poco X7 8/128 ГБ зеленый</t>
  </si>
  <si>
    <t>https://mgg.stores-apple.com/catalog/smartfon-poco-x7-8-128gb-zelenyy/</t>
  </si>
  <si>
    <t>Смартфон Samsung Galaxy S26 Plus 12/256 ГБ Blue/Голубой</t>
  </si>
  <si>
    <t>Смартфон Poco X7 8/128 ГБ черный</t>
  </si>
  <si>
    <t>https://mgg.stores-apple.com/catalog/smartfon-poco-x7-8-128gb-chernyy/</t>
  </si>
  <si>
    <t>Смартфон Samsung Galaxy S26 Plus 12/256 ГБ White/Белый</t>
  </si>
  <si>
    <t>Смартфон Poco M7 Pro 5G 12/256 ГБ зеленый</t>
  </si>
  <si>
    <t>https://mgg.stores-apple.com/catalog/smartfon-poco-m7-pro-5g-12-256-gb-zelenyi/</t>
  </si>
  <si>
    <t>Смартфон Poco X7 8/128 ГБ серебристый</t>
  </si>
  <si>
    <t>https://mgg.stores-apple.com/catalog/smartfon-poco-x7-8-128gb-serebristyy/</t>
  </si>
  <si>
    <t>Смартфон Samsung Galaxy S25 Plus 512 ГБ мятный</t>
  </si>
  <si>
    <t>Смартфон Poco M7 Pro 5G 12/256 ГБ серебряный</t>
  </si>
  <si>
    <t>https://mgg.stores-apple.com/catalog/smartfon-poco-m7-pro-5g-12-256-gb-serebryanyi/</t>
  </si>
  <si>
    <t>Смартфон Samsung Galaxy S25 Plus 512 ГБ голубой</t>
  </si>
  <si>
    <t>Смартфон Poco M7 Pro 5G 12/256 ГБ фиолетовый</t>
  </si>
  <si>
    <t>https://mgg.stores-apple.com/catalog/smartfon-poco-m7-pro-5g-12-256-gb-fioletovyi/</t>
  </si>
  <si>
    <t>Смартфон Poco M7 Pro 5G 12/256 ГБ черный</t>
  </si>
  <si>
    <t>https://mgg.stores-apple.com/catalog/smartfon-poco-m7-pro-5g-12-256-gb-chernyi/</t>
  </si>
  <si>
    <t>Смартфон Poco M7 Pro 5G 12/512 ГБ серебряный</t>
  </si>
  <si>
    <t>Смартфон Samsung Galaxy S25 Plus 512 ГБ серый</t>
  </si>
  <si>
    <t>https://mgg.stores-apple.com/catalog/smartfon-poco-m7-pro-5g-12-512-gb-serebryanyi/</t>
  </si>
  <si>
    <t>Смартфон Poco M7 Pro 5G 12/512 ГБ черный</t>
  </si>
  <si>
    <t>https://mgg.stores-apple.com/catalog/smartfon-poco-m7-pro-5g-12-512-gb-chernyi/</t>
  </si>
  <si>
    <t>Смартфон Poco M7 Pro 5G 12/512 ГБ зеленый</t>
  </si>
  <si>
    <t>https://mgg.stores-apple.com/catalog/smartfon-poco-m7-pro-5g-12-512-gb-zelenyi/</t>
  </si>
  <si>
    <t>Смартфон Samsung Galaxy S25 Plus 512 ГБ синий</t>
  </si>
  <si>
    <t>Смартфон Poco M7 Pro 5G 12/512 ГБ фиолетовый</t>
  </si>
  <si>
    <t>https://mgg.stores-apple.com/catalog/smartfon-poco-m7-pro-5g-12-512-gb-fioletovyi/</t>
  </si>
  <si>
    <t>Смартфон Samsung Galaxy S26 Plus 12/256 ГБ Violet/Фиолетовый</t>
  </si>
  <si>
    <t>Смартфон Samsung Galaxy S26 12/512 ГБ White/Белый</t>
  </si>
  <si>
    <t>Смартфон Poco X7 8/256 ГБ серебристый</t>
  </si>
  <si>
    <t>https://mgg.stores-apple.com/catalog/smartfon-poco-x7-8-256gb-serebristyy/</t>
  </si>
  <si>
    <t>Смартфон Samsung Galaxy S26 12/512 ГБ Silver Shadow/Серебряная тень</t>
  </si>
  <si>
    <t>Смартфон Poco X7 8/256 ГБ черный</t>
  </si>
  <si>
    <t>https://mgg.stores-apple.com/catalog/smartfon-poco-x7-8-256gb-chernyy/</t>
  </si>
  <si>
    <t>Смартфон Samsung Galaxy S26 12/512 ГБ Pink Gold/Розовое золото</t>
  </si>
  <si>
    <t>Смартфон Poco X7 8/256 ГБ зеленый</t>
  </si>
  <si>
    <t>https://mgg.stores-apple.com/catalog/smartfon-poco-x7-8-256gb-zelenyy/</t>
  </si>
  <si>
    <t>Смартфон Samsung Galaxy S26 Plus 12/256 ГБ Black/Черный</t>
  </si>
  <si>
    <t>Смартфон Poco X7 12/512 ГБ серебристый</t>
  </si>
  <si>
    <t>https://mgg.stores-apple.com/catalog/smartfon-poco-x7-12-512gb-serebristyy/</t>
  </si>
  <si>
    <t>Смартфон Samsung Galaxy S26 Plus 12/256 ГБ Pink Gold/Розовое золото</t>
  </si>
  <si>
    <t>Смартфон Poco X7 12/512 ГБ зеленый</t>
  </si>
  <si>
    <t>https://mgg.stores-apple.com/catalog/smartfon-poco-x7-12-512gb-zelenyy/</t>
  </si>
  <si>
    <t>Смартфон Poco X7 12/512 ГБ черный</t>
  </si>
  <si>
    <t>https://mgg.stores-apple.com/catalog/smartfon-poco-x7-12-512gb-chernyy/</t>
  </si>
  <si>
    <t>Смартфон Samsung Galaxy S26 Plus 12/256 ГБ Silver Shadow/Серебряная тень</t>
  </si>
  <si>
    <t>Смартфон Poco M8 8/256 ГБ зеленый</t>
  </si>
  <si>
    <t>https://mgg.stores-apple.com/catalog/smartfon_poco_m8_8_256_gb_zelenyy/</t>
  </si>
  <si>
    <t>Смартфон Samsung Galaxy S25 Ultra 12/256 ГБ зеленый титан</t>
  </si>
  <si>
    <t>Смартфон Poco M8 8/256 ГБ серебристый</t>
  </si>
  <si>
    <t>https://mgg.stores-apple.com/catalog/smartfon_poco_m8_8_256_gb_serebristyy/</t>
  </si>
  <si>
    <t>Смартфон Poco M8 8/256 ГБ черный</t>
  </si>
  <si>
    <t>https://mgg.stores-apple.com/catalog/smartfon_poco_m8_8_256_gb_chernyy/</t>
  </si>
  <si>
    <t>Смартфон Samsung Galaxy S25 Ultra 12/512 ГБ серебряный титан</t>
  </si>
  <si>
    <t>Смартфон Poco M8 Pro 5G 8/256 ГБ зеленый</t>
  </si>
  <si>
    <t>https://mgg.stores-apple.com/catalog/smartfon_poco_m8_pro_5g_8_256_gb_zelenyy/</t>
  </si>
  <si>
    <t>Смартфон Poco M8 Pro 5G 8/256 ГБ серебристый</t>
  </si>
  <si>
    <t>https://mgg.stores-apple.com/catalog/smartfon_poco_m8_pro_5g_8_256_gb_serebristyy/</t>
  </si>
  <si>
    <t>Смартфон Poco X7 Pro 8/256 ГБ зеленый</t>
  </si>
  <si>
    <t>https://mgg.stores-apple.com/catalog/smartfon-poco-x7-pro-8-256gb-zelenyy/</t>
  </si>
  <si>
    <t>Смартфон Samsung Galaxy S26 Plus 12/512 ГБ Pink Gold/Розовое золото</t>
  </si>
  <si>
    <t>Смартфон Poco X7 Pro 8/256 ГБ жёлтый</t>
  </si>
  <si>
    <t>https://mgg.stores-apple.com/catalog/smartfon-poco-x7-pro-8-256gb-zheltyy/</t>
  </si>
  <si>
    <t>Смартфон Samsung Galaxy S26 Plus 12/512 ГБ Silver Shadow/Серебряная тень</t>
  </si>
  <si>
    <t>Смартфон Poco X7 Pro 8/256 ГБ черный</t>
  </si>
  <si>
    <t>https://mgg.stores-apple.com/catalog/smartfon-poco-x7-pro-8-256gb-chernyy/</t>
  </si>
  <si>
    <t>Смартфон Samsung Galaxy S26 Plus 12/512 ГБ Blue/Голубой</t>
  </si>
  <si>
    <t>Смартфон Poco M8 Pro 5G 12/256 ГБ зеленый</t>
  </si>
  <si>
    <t>https://mgg.stores-apple.com/catalog/smartfon_poco_m8_pro_5g_12_256_gb_zelenyy/</t>
  </si>
  <si>
    <t>Смартфон Samsung Galaxy S26 Plus 12/512 ГБ White/Белый</t>
  </si>
  <si>
    <t>Смартфон Poco M8 Pro 5G 12/256 ГБ черный</t>
  </si>
  <si>
    <t>https://mgg.stores-apple.com/catalog/smartfon_poco_m8_pro_5g_12_256_gb_chernyy/</t>
  </si>
  <si>
    <t>Смартфон Poco M8 Pro 5G 12/256 ГБ серебристый</t>
  </si>
  <si>
    <t>https://mgg.stores-apple.com/catalog/smartfon_poco_m8_pro_5g_12_256_gb_serebristyy/</t>
  </si>
  <si>
    <t>Смартфон Samsung Galaxy S25 Ultra 12/1024 ГБ серый титан</t>
  </si>
  <si>
    <t>Смартфон Poco X7 Pro 12/256 ГБ жёлтый</t>
  </si>
  <si>
    <t>https://mgg.stores-apple.com/catalog/smartfon-poco-x7-pro-12-256gb-zheltyy/</t>
  </si>
  <si>
    <t>Смартфон Poco X7 Pro 12/256 ГБ черный</t>
  </si>
  <si>
    <t>https://mgg.stores-apple.com/catalog/smartfon-poco-x7-pro-12-256gb-chernyy/</t>
  </si>
  <si>
    <t>Смартфон Samsung Galaxy S26 Plus 12/512 ГБ Violet/Фиолетовый</t>
  </si>
  <si>
    <t>Смартфон Poco X7 Pro 12/256 ГБ зеленый</t>
  </si>
  <si>
    <t>https://mgg.stores-apple.com/catalog/smartfon-poco-x7-pro-12-256gb-zelenyy/</t>
  </si>
  <si>
    <t>Смартфон Poco M8 8/512 ГБ зеленый</t>
  </si>
  <si>
    <t>https://mgg.stores-apple.com/catalog/smartfon_poco_m8_8_512_gb_zelenyy/</t>
  </si>
  <si>
    <t>Смартфон Samsung Galaxy S25 Ultra 12/1024 ГБ синий титан</t>
  </si>
  <si>
    <t>Смартфон Poco M8 8/512 ГБ черный</t>
  </si>
  <si>
    <t>https://mgg.stores-apple.com/catalog/smartfon_poco_m8_8_512_gb_chernyy/</t>
  </si>
  <si>
    <t>Смартфон Samsung Galaxy S26 Ultra 12/512 ГБ Blue/Голубой</t>
  </si>
  <si>
    <t>Смартфон Poco M8 8/512 ГБ серебристый</t>
  </si>
  <si>
    <t>https://mgg.stores-apple.com/catalog/smartfon_poco_m8_8_512_gb_serebristyy/</t>
  </si>
  <si>
    <t>Смартфон Samsung Galaxy S26 Ultra 12/512 ГБ Silver Shadow/Серебряная тень</t>
  </si>
  <si>
    <t>Смартфон Poco X7 Pro 12/512 ГБ жёлтый</t>
  </si>
  <si>
    <t>https://mgg.stores-apple.com/catalog/smartfon-poco-x7-pro-12-512gb-zheltyy/</t>
  </si>
  <si>
    <t>Смартфон Samsung Galaxy S26 Ultra 16/1024 ГБ Blue/Голубой</t>
  </si>
  <si>
    <t>Смартфон Poco X7 Pro 12/512 ГБ зеленый</t>
  </si>
  <si>
    <t>https://mgg.stores-apple.com/catalog/smartfon-poco-x7-pro-12-512gb-zelenyy/</t>
  </si>
  <si>
    <t>Смартфон Poco X7 Pro 12/512 ГБ черный</t>
  </si>
  <si>
    <t>Смартфон Samsung Galaxy S26 Ultra 16/1024 ГБ Silver Shadow/Серебряная тень</t>
  </si>
  <si>
    <t>https://mgg.stores-apple.com/catalog/smartfon-poco-x7-pro-12-512gb-chernyy/</t>
  </si>
  <si>
    <t>Смартфон Poco X8 Pro 8/256 ГБ зеленый</t>
  </si>
  <si>
    <t>https://mgg.stores-apple.com/catalog/smartfon_poco_x8_pro_8_256_gb_zelenyy/</t>
  </si>
  <si>
    <t>Смартфон Samsung Galaxy S26 Ultra 16/1024 ГБ Pink Gold/Розовое золото</t>
  </si>
  <si>
    <t>Смартфон Poco X8 Pro 8/256 ГБ белый</t>
  </si>
  <si>
    <t>https://mgg.stores-apple.com/catalog/smartfon_poco_x8_pro_8_256_gb_belyy/</t>
  </si>
  <si>
    <t>Смартфон Samsung Galaxy S26 Ultra 16/1024 ГБ White/Белый</t>
  </si>
  <si>
    <t>Смартфон Poco X8 Pro 8/256 ГБ черный</t>
  </si>
  <si>
    <t>https://mgg.stores-apple.com/catalog/smartfon_poco_x8_pro_8_256_gb_chernyy/</t>
  </si>
  <si>
    <t>Смартфон Samsung Galaxy S26 Ultra 12/256 ГБ Black/Черный</t>
  </si>
  <si>
    <t>Смартфон Poco X8 Pro 8/512 ГБ зеленый</t>
  </si>
  <si>
    <t>https://mgg.stores-apple.com/catalog/smartfon_poco_x8_pro_8_512_gb_zelenyy/</t>
  </si>
  <si>
    <t>Galaxy Z</t>
  </si>
  <si>
    <t>Смартфон Samsung Galaxy Z Flip 7 FE 8/128 ГБ белый</t>
  </si>
  <si>
    <t>Смартфон Poco X8 Pro 8/512 ГБ черный</t>
  </si>
  <si>
    <t>https://mgg.stores-apple.com/catalog/smartfon_poco_x8_pro_8_512_gb_chernyy/</t>
  </si>
  <si>
    <t>Смартфон Samsung Galaxy Z Flip 7 FE 8/128 ГБ черный</t>
  </si>
  <si>
    <t>Смартфон Poco F7 Pro 12/256 ГБ голубой</t>
  </si>
  <si>
    <t>https://mgg.stores-apple.com/catalog/smartfon-poco-f7-pro-12-256gb-goluboy/</t>
  </si>
  <si>
    <t>Смартфон Samsung Galaxy Z Flip 7 FE 8/256 ГБ черный</t>
  </si>
  <si>
    <t>Смартфон Poco F7 Pro 12/256 ГБ серебристый</t>
  </si>
  <si>
    <t>Смартфон Samsung Galaxy Z Flip 7 FE 8/256 ГБ белый</t>
  </si>
  <si>
    <t>https://mgg.stores-apple.com/catalog/smartfon-poco-f7-pro-12-256gb-serebro/</t>
  </si>
  <si>
    <t>Смартфон Poco F7 Pro 12/256 ГБ черный</t>
  </si>
  <si>
    <t>https://mgg.stores-apple.com/catalog/smartfon-poco-f7-pro-12-256gb-chernyy/</t>
  </si>
  <si>
    <t>Смартфон Poco F7 Pro 12/512 ГБ черный</t>
  </si>
  <si>
    <t>https://mgg.stores-apple.com/catalog/smartfon-poco-f7-pro-12-512gb-chernyy/</t>
  </si>
  <si>
    <t>Смартфон Samsung Galaxy Z Flip 7 12/256 ГБ черный</t>
  </si>
  <si>
    <t>Смартфон Poco F7 Pro 12/512 ГБ голубой</t>
  </si>
  <si>
    <t>https://mgg.stores-apple.com/catalog/smartfon-poco-f7-pro-12-512gb-goluboy/</t>
  </si>
  <si>
    <t>Смартфон Poco F7 Pro 12/512 ГБ серебристый</t>
  </si>
  <si>
    <t>Смартфон Samsung Galaxy Z Flip 7 12/256 ГБ синий</t>
  </si>
  <si>
    <t>https://mgg.stores-apple.com/catalog/smartfon-poco-f7-pro-12-512gb-serebro/</t>
  </si>
  <si>
    <t>Смартфон Poco X8 Pro 12/512 ГБ белый</t>
  </si>
  <si>
    <t>https://mgg.stores-apple.com/catalog/smartfon_poco_x8_pro_12_512_gb_belyy/</t>
  </si>
  <si>
    <t>Смартфон Samsung Galaxy Z Flip 7 12/256 ГБ коралловый</t>
  </si>
  <si>
    <t>Смартфон Poco X8 Pro 12/512 ГБ зеленый</t>
  </si>
  <si>
    <t>https://mgg.stores-apple.com/catalog/smartfon_poco_x8_pro_12_512_gb_zelenyy/</t>
  </si>
  <si>
    <t>Смартфон Poco X8 Pro 12/512 ГБ черный</t>
  </si>
  <si>
    <t>https://mgg.stores-apple.com/catalog/smartfon_poco_x8_pro_12_512_gb_chernyy/</t>
  </si>
  <si>
    <t>Смартфон Samsung Galaxy Z Flip 7 12/512 ГБ коралловый</t>
  </si>
  <si>
    <t>Смартфон Poco X8 Pro Max 12/256 ГБ белый</t>
  </si>
  <si>
    <t>https://mgg.stores-apple.com/catalog/smartfon_poco_x8_pro_max_12_256_gb_belyy/</t>
  </si>
  <si>
    <t>Смартфон Samsung Galaxy Z Flip 7 12/512 ГБ синий</t>
  </si>
  <si>
    <t>Смартфон Samsung Galaxy Z Flip 7 12/512 ГБ черный</t>
  </si>
  <si>
    <t>Смартфон Poco X8 Pro Max 12/256 ГБ голубой</t>
  </si>
  <si>
    <t>https://mgg.stores-apple.com/catalog/smartfon_poco_x8_pro_max_12_256_gb_goluboy/</t>
  </si>
  <si>
    <t>Смартфон Poco X8 Pro Max 12/256 ГБ черный</t>
  </si>
  <si>
    <t>https://mgg.stores-apple.com/catalog/smartfon_poco_x8_pro_max_12_256_gb_chernyy/</t>
  </si>
  <si>
    <t>Смартфон Poco X8 Pro Max 12/512 ГБ голубой</t>
  </si>
  <si>
    <t>https://mgg.stores-apple.com/catalog/smartfon_poco_x8_pro_max_12_512_gb_goluboy/</t>
  </si>
  <si>
    <t>Смартфон Poco X8 Pro Max 12/512ГБ белый</t>
  </si>
  <si>
    <t>https://mgg.stores-apple.com/catalog/smartfon_poco_x8_pro_max_12_512gb_belyy/</t>
  </si>
  <si>
    <t>Смартфон Samsung Galaxy Z Fold 7 12/256 ГБ серый</t>
  </si>
  <si>
    <t>Смартфон Poco X8 Pro Max 12/512 ГБ черный</t>
  </si>
  <si>
    <t>https://mgg.stores-apple.com/catalog/smartfon_poco_x8_pro_max_12_512_gb_chernyy/</t>
  </si>
  <si>
    <t>Смартфон Samsung Galaxy Z Fold 7 12/256 ГБ синий</t>
  </si>
  <si>
    <t>Смартфон Xiaomi 15T Pro 12/256 ГБ Серый</t>
  </si>
  <si>
    <t>https://mgg.stores-apple.com/catalog/smartfon_xiaomi_15t_pro_12_256_gb_seryy/</t>
  </si>
  <si>
    <t>Смартфон Xiaomi 17T Pro 12/256ГБ черный</t>
  </si>
  <si>
    <t>https://mgg.stores-apple.com/catalog/smartfon_xiaomi_17t_pro_12_256gb_chernyy/</t>
  </si>
  <si>
    <t>Смартфон Samsung Galaxy Z Fold 7 12/256 ГБ черный</t>
  </si>
  <si>
    <t>Смартфон Xiaomi 17 12/512 ГБ черный</t>
  </si>
  <si>
    <t>https://mgg.stores-apple.com/catalog/smartfon_xiaomi_17_12_512_gb_chernyy/</t>
  </si>
  <si>
    <t>Смартфон Xiaomi 15T 12/256 ГБ золотой</t>
  </si>
  <si>
    <t>https://mgg.stores-apple.com/catalog/smartfon_xiaomi_15t_12_256_gb_zolotoy/</t>
  </si>
  <si>
    <t>Смартфон Xiaomi 15T 12/256 ГБ черный</t>
  </si>
  <si>
    <t>https://mgg.stores-apple.com/catalog/smartfon_xiaomi_15t_12_256_gb_chernyy/</t>
  </si>
  <si>
    <t>Смартфон Xiaomi 15T 12/256 ГБ серый</t>
  </si>
  <si>
    <t>https://mgg.stores-apple.com/catalog/smartfon_xiaomi_15t_12_256_gb_seryy/</t>
  </si>
  <si>
    <t>Смартфон Xiaomi 15 12/256 ГБ зеленый</t>
  </si>
  <si>
    <t>https://mgg.stores-apple.com/catalog/smartfon-xiaomi-15-12-256-gb-zelenyy/</t>
  </si>
  <si>
    <t>Смартфон Samsung Galaxy Z Fold 7 12/512 ГБ серый</t>
  </si>
  <si>
    <t>Смартфон Xiaomi 15 12/256 ГБ черный</t>
  </si>
  <si>
    <t>https://mgg.stores-apple.com/catalog/smartfon-xiaomi-15-12-256-gb-chernyy/</t>
  </si>
  <si>
    <t>Смартфон Samsung Galaxy Z Fold 7 12/512 ГБ синий</t>
  </si>
  <si>
    <t>Смартфон Xiaomi 15 12/256 ГБ белый</t>
  </si>
  <si>
    <t>https://mgg.stores-apple.com/catalog/smartfon-xiaomi-15-12-256-gb-belyy/</t>
  </si>
  <si>
    <t>Смартфон Xiaomi 15T Pro 12/256 ГБ Черный</t>
  </si>
  <si>
    <t>https://mgg.stores-apple.com/catalog/smartfon_xiaomi_15t_pro_12_256_gb_chernyy/</t>
  </si>
  <si>
    <t>Смартфон Samsung Galaxy Z Fold 7 12/512 ГБ черный</t>
  </si>
  <si>
    <t>Смартфон Xiaomi 15T Pro 12/256 ГБ Золотой</t>
  </si>
  <si>
    <t>https://mgg.stores-apple.com/catalog/smartfon_xiaomi_15t_pro_12_256_gb_zolotoy/</t>
  </si>
  <si>
    <t>Смартфон Xiaomi 15 12/512 ГБ зеленый</t>
  </si>
  <si>
    <t>https://mgg.stores-apple.com/catalog/smartfon-xiaomi-15-12-512-gb-zelenyy/</t>
  </si>
  <si>
    <t>Смартфон Xiaomi 15 12/512 ГБ белый</t>
  </si>
  <si>
    <t>https://mgg.stores-apple.com/catalog/smartfon-xiaomi-15-12-512-gb-belyy/</t>
  </si>
  <si>
    <t>Смартфон Xiaomi 15 12/512 ГБ черный</t>
  </si>
  <si>
    <t>https://mgg.stores-apple.com/catalog/smartfon-xiaomi-15-12-512-gb-chernyy/</t>
  </si>
  <si>
    <t>Смартфон Xiaomi 17 12/256 ГБ голубой</t>
  </si>
  <si>
    <t>https://mgg.stores-apple.com/catalog/smartfon_xiaomi_17_12_256_gb_goluboy/</t>
  </si>
  <si>
    <t>Смартфон Xiaomi 17 12/256 ГБ розовый</t>
  </si>
  <si>
    <t>https://mgg.stores-apple.com/catalog/smartfon_xiaomi_17_12_256_gb_rozovyy/</t>
  </si>
  <si>
    <t>Смартфон Xiaomi 17 12/256 ГБ белый</t>
  </si>
  <si>
    <t>https://mgg.stores-apple.com/catalog/smartfon_xiaomi_17_12_256_gb_belyy/</t>
  </si>
  <si>
    <t>Смартфон Xiaomi 17 12/256 ГБ черный</t>
  </si>
  <si>
    <t>https://mgg.stores-apple.com/catalog/smartfon_xiaomi_17_12_256_gb_chernyy/</t>
  </si>
  <si>
    <t>Смартфон Xiaomi 17 16/512 ГБ голубой</t>
  </si>
  <si>
    <t>https://mgg.stores-apple.com/catalog/smartfon_xiaomi_17_16_512_gb_goluboy/</t>
  </si>
  <si>
    <t>Смартфон Xiaomi 17 16/512 ГБ белый</t>
  </si>
  <si>
    <t>https://mgg.stores-apple.com/catalog/smartfon_xiaomi_17_16_512_gb_belyy/</t>
  </si>
  <si>
    <t>Смартфон Samsung Galaxy Z Fold 7 16/1024 ГБ серый</t>
  </si>
  <si>
    <t>Смартфон Xiaomi 17 16/512 ГБ розовый</t>
  </si>
  <si>
    <t>https://mgg.stores-apple.com/catalog/smartfon_xiaomi_17_16_512_gb_rozovyy/</t>
  </si>
  <si>
    <t>Смартфон Samsung Galaxy Z Fold 7 16/1024 ГБ синий</t>
  </si>
  <si>
    <t>Смартфон Xiaomi 17 16/512 ГБ черный</t>
  </si>
  <si>
    <t>https://mgg.stores-apple.com/catalog/smartfon_xiaomi_17_16_512_gb_chernyy/</t>
  </si>
  <si>
    <t>Смартфон Xiaomi 15 Ultra 16/512 ГБ белый</t>
  </si>
  <si>
    <t>https://mgg.stores-apple.com/catalog/smartfon-xiaomi-15-ultra-16-512-gb-belyy/</t>
  </si>
  <si>
    <t>Смартфон Samsung Galaxy Z Fold 7 16/1024 ГБ черный</t>
  </si>
  <si>
    <t>Смартфон Xiaomi 15 Ultra 16/512 ГБ черный</t>
  </si>
  <si>
    <t>https://mgg.stores-apple.com/catalog/smartfon-xiaomi-15-ultra-16-512-gb-chernyy/</t>
  </si>
  <si>
    <t>Смартфон Xiaomi 15 Ultra 16/512 ГБ серебро</t>
  </si>
  <si>
    <t>https://mgg.stores-apple.com/catalog/smartfon-xiaomi-15-ultra-16-512-gb-serebro/</t>
  </si>
  <si>
    <t>Смартфон Xiaomi Redmi Note 15 Pro 5G 8/256 ГБ Glacier Blue/Голубой лед</t>
  </si>
  <si>
    <t>https://mgg.stores-apple.com/catalog/smartfon_xiaomi_redmi_note_15_pro_5g_8_256_gb_glacier_blue_goluboy_led/</t>
  </si>
  <si>
    <t>Смартфон Xiaomi Redmi Note 15 Pro 5G 8/256 ГБ Mist Purple/Дымчатый фиолетовый</t>
  </si>
  <si>
    <t>https://mgg.stores-apple.com/catalog/smartfon_xiaomi_redmi_note_15_pro_5g_8_256_gb_mist_purple_dymchatyy_fioletovyy/</t>
  </si>
  <si>
    <t>Смартфон Xiaomi Redmi Note 15 Pro 5G 8/256 ГБ Titanium/Титановый</t>
  </si>
  <si>
    <t>https://mgg.stores-apple.com/catalog/smartfon_xiaomi_redmi_note_15_pro_5g_8_256_gb_titanium_titanovyy/</t>
  </si>
  <si>
    <t>Смартфон Xiaomi Redmi Note 15 Pro 5G 8/256 ГБ Black/Черный</t>
  </si>
  <si>
    <t>https://mgg.stores-apple.com/catalog/smartfon_xiaomi_redmi_note_15_pro_5g_8_256_gb_black_chernyy/</t>
  </si>
  <si>
    <t>Смартфон Xiaomi Redmi Note 15 Pro 5G 8/512 ГБ Glacier Blue/Голубой лед</t>
  </si>
  <si>
    <t>https://mgg.stores-apple.com/catalog/smartfon_xiaomi_redmi_note_15_pro_5g_8_512_gb_glacier_blue_goluboy_led/</t>
  </si>
  <si>
    <t>Nothing Phone</t>
  </si>
  <si>
    <t>Nothing Phone 3a</t>
  </si>
  <si>
    <t>Смартфон Xiaomi Redmi Note 15 Pro 5G 8/512 ГБ Mist Purple/Дымчатый фиолетовый</t>
  </si>
  <si>
    <t>https://mgg.stores-apple.com/catalog/smartfon_xiaomi_redmi_note_15_pro_5g_8_512_gb_mist_purple_dymchatyy_fioletovyy/</t>
  </si>
  <si>
    <t>Смартфон Xiaomi Redmi Note 15 Pro 5G 8/512 ГБ Black/Черный</t>
  </si>
  <si>
    <t>https://mgg.stores-apple.com/catalog/smartfon_xiaomi_redmi_note_15_pro_5g_8_512_gb_black_chernyy/</t>
  </si>
  <si>
    <t>Смартфон Xiaomi Redmi Note 15 Pro 5G 8/512 ГБ Titanium/Титановый</t>
  </si>
  <si>
    <t>https://mgg.stores-apple.com/catalog/smartfon_xiaomi_redmi_note_15_pro_5g_8_512_gb_titanium_titanovyy/</t>
  </si>
  <si>
    <t>Смартфон Xiaomi Redmi Note 15 Pro+ 5G 8/256 ГБ Glacier Blue/Голубой лед</t>
  </si>
  <si>
    <t>https://mgg.stores-apple.com/catalog/smartfon_xiaomi_redmi_note_15_pro_5g_8_256_gb_glacier_blue_goluboy_led_1/</t>
  </si>
  <si>
    <t>Смартфон Xiaomi Redmi Note 15 Pro+ 5G 8/256 ГБ Midnight Black/Полуночно-черный</t>
  </si>
  <si>
    <t>https://mgg.stores-apple.com/catalog/smartfon_xiaomi_redmi_note_15_pro_5g_8_256_gb_midnight_black_polunochno_chernyy/</t>
  </si>
  <si>
    <t>Nothing Phone 3a Pro</t>
  </si>
  <si>
    <t>Смартфон Xiaomi Redmi Note 15 Pro+ 5G 8/256 ГБ Mocha Brown/Коричневый мокко</t>
  </si>
  <si>
    <t>https://mgg.stores-apple.com/catalog/smartfon_xiaomi_redmi_note_15_pro_5g_8_256_gb_mocha_brown_korichnevyy_mokko/</t>
  </si>
  <si>
    <t>Смартфон Xiaomi Redmi Note 15 Pro 5G 12/512 ГБ Mist Purple/Дымчатый фиолетовый</t>
  </si>
  <si>
    <t>https://mgg.stores-apple.com/catalog/smartfon_xiaomi_redmi_note_15_pro_5g_12_512_gb_mist_purple_dymchatyy_fioletovyy/</t>
  </si>
  <si>
    <t>Игровые приставки</t>
  </si>
  <si>
    <t>Sony PlayStation</t>
  </si>
  <si>
    <t>Смартфон Xiaomi Redmi Note 15 Pro 5G 12/512 ГБ Titanium/Титановый</t>
  </si>
  <si>
    <t>https://mgg.stores-apple.com/catalog/smartfon_xiaomi_redmi_note_15_pro_5g_12_512_gb_titanium_titanovyy/</t>
  </si>
  <si>
    <t>Геймпад Sony DualSense для PS5 (Белый)</t>
  </si>
  <si>
    <t>Смартфон Xiaomi Redmi Note 15 Pro 5G 12/512 ГБ Glacier Blue/Голубой лед</t>
  </si>
  <si>
    <t>https://mgg.stores-apple.com/catalog/smartfon_xiaomi_redmi_note_15_pro_5g_12_512_gb_glacier_blue_goluboy_led/</t>
  </si>
  <si>
    <t>Игровая приставка Sony PlayStation 5 Slim с дисководом 1</t>
  </si>
  <si>
    <t>Смартфон Xiaomi Redmi Note 15 Pro 5G 12/512 ГБ Black/Черный</t>
  </si>
  <si>
    <t>https://mgg.stores-apple.com/catalog/smartfon_xiaomi_redmi_note_15_pro_5g_12_512_gb_black_chernyy/</t>
  </si>
  <si>
    <t>Смартфон Xiaomi Redmi Note 15 Pro+ 5G 12/512 ГБ Glacier Blue/Голубой лед</t>
  </si>
  <si>
    <t>https://mgg.stores-apple.com/catalog/smartfon_xiaomi_redmi_note_15_pro_5g_12_512_gb_glacier_blue_goluboy_led_1/</t>
  </si>
  <si>
    <t>Смартфон Xiaomi Redmi Note 15 Pro+ 5G 12/512 ГБ Midnight Black/Полуночно-черный</t>
  </si>
  <si>
    <t>https://mgg.stores-apple.com/catalog/smartfon_xiaomi_redmi_note_15_pro_5g_12_512_gb_midnight_black_polunochno_chernyy/</t>
  </si>
  <si>
    <t>Смартфон Xiaomi Redmi Note 15 Pro+ 5G 12/512 ГБ Mocha Brown/Коричневый мокко</t>
  </si>
  <si>
    <t>https://mgg.stores-apple.com/catalog/smartfon_xiaomi_redmi_note_15_pro_5g_12_512_gb_mocha_brown_korichnevyy_mokko/</t>
  </si>
  <si>
    <t>Планшеты IPAD</t>
  </si>
  <si>
    <t>https://mgg.stores-apple.com/catalog/planshet-apple-ipad-pro-2024-m4-11-wi-fi-256-gb-chernyj-kosmos/</t>
  </si>
  <si>
    <t>Игровая приставка Sony Playstation 5 825Gb без дисковода (CFI-1118B)</t>
  </si>
  <si>
    <t>https://mgg.stores-apple.com/catalog/planshet-apple-ipad-pro-2024-m4-11-wi-fi-256-gb-serebristyj/</t>
  </si>
  <si>
    <t>https://mgg.stores-apple.com/catalog/planshet-apple-ipad-pro-2024-m4-11-wi-fi-512-gb-chernyj-kosmos/</t>
  </si>
  <si>
    <t>https://mgg.stores-apple.com/catalog/planshet-apple-ipad-pro-2025-m5-11-wi-fi-256-gb-serebristyj/</t>
  </si>
  <si>
    <t>Игровая приставка Sony PlayStation 5 Pro</t>
  </si>
  <si>
    <t>https://mgg.stores-apple.com/catalog/planshet-apple-ipad-pro-2025-m5-11-wi-fi-256-gb-seryj-kosmos/</t>
  </si>
  <si>
    <t>Nintendo</t>
  </si>
  <si>
    <t>https://mgg.stores-apple.com/catalog/planshet-apple-ipad-pro-2024-m4-13-wi-fi-256-gb-chernyj-kosmos/</t>
  </si>
  <si>
    <t>https://mgg.stores-apple.com/catalog/planshet-apple-ipad-pro-2024-m4-11-wi-fi-512-gb-serebristyj/</t>
  </si>
  <si>
    <t>https://mgg.stores-apple.com/catalog/planshet-apple-ipad-pro-2024-m4-11-wi-fi-cellular-256-gb-chernyj-kosmos/</t>
  </si>
  <si>
    <t>https://mgg.stores-apple.com/catalog/planshet-apple-ipad-pro-2024-m4-11-wi-fi-cellular-256-gb-serebristyj/</t>
  </si>
  <si>
    <t>https://mgg.stores-apple.com/catalog/planshet-apple-ipad-pro-2024-m4-13-wi-fi-256-gb-serebristyj/</t>
  </si>
  <si>
    <t>https://mgg.stores-apple.com/catalog/planshet-apple-ipad-pro-2025-m5-11-wi-fi-cellular-256-gb-seryj-kosmos/</t>
  </si>
  <si>
    <t>https://mgg.stores-apple.com/catalog/planshet-apple-ipad-pro-2024-m4-13-wi-fi-cellular-256-gb-serebristyj/</t>
  </si>
  <si>
    <t>https://mgg.stores-apple.com/catalog/planshet-apple-ipad-pro-2024-m4-13-wi-fi-cellular-256-gb-chernyj-kosmos/</t>
  </si>
  <si>
    <t>Valve</t>
  </si>
  <si>
    <t>https://mgg.stores-apple.com/catalog/planshet-apple-ipad-pro-2025-m5-13-wi-fi-256-gb-serebristyj/</t>
  </si>
  <si>
    <t>https://mgg.stores-apple.com/catalog/planshet-apple-ipad-pro-2025-m5-11-wi-fi-512-gb-seryj-kosmos/</t>
  </si>
  <si>
    <t>Детские товары</t>
  </si>
  <si>
    <t>Labubu</t>
  </si>
  <si>
    <t>https://mgg.stores-apple.com/catalog/planshet-apple-ipad-pro-2025-m5-13-wi-fi-256-gb-seryj-kosmos/</t>
  </si>
  <si>
    <t>https://mgg.stores-apple.com/catalog/planshet-apple-ipad-pro-2024-m4-13-wi-fi-512-gb-chernyj-kosmos/</t>
  </si>
  <si>
    <t>https://mgg.stores-apple.com/catalog/planshet-apple-ipad-pro-2025-m5-11-wi-fi-cellular-256-gb-serebristyj/</t>
  </si>
  <si>
    <t>https://mgg.stores-apple.com/catalog/planshet-apple-ipad-pro-2024-m4-13-wi-fi-512-gb-serebristyj/</t>
  </si>
  <si>
    <t>https://mgg.stores-apple.com/catalog/planshet-apple-ipad-pro-2025-m5-11-wi-fi-512-gb-serebristyj/</t>
  </si>
  <si>
    <t>Google</t>
  </si>
  <si>
    <t>Google Pixel 10</t>
  </si>
  <si>
    <t>https://mgg.stores-apple.com/catalog/planshet-apple-ipad-pro-2025-m5-11-wi-fi-cellular-512-gb-serebristyj/</t>
  </si>
  <si>
    <t>https://mgg.stores-apple.com/catalog/planshet-apple-ipad-pro-2025-m5-11-wi-fi-cellular-512-gb-seryj-kosmos-nano/</t>
  </si>
  <si>
    <t>https://mgg.stores-apple.com/catalog/planshet-apple-ipad-pro-2025-m5-13-wi-fi-cellular-256-gb-seryj-kosmos/</t>
  </si>
  <si>
    <t>https://mgg.stores-apple.com/catalog/planshet-apple-ipad-pro-2025-m5-13-wi-fi-cellular-256-gb-serebristyj/</t>
  </si>
  <si>
    <t>https://mgg.stores-apple.com/catalog/planshet-apple-ipad-pro-2025-m5-13-wi-fi-512-gb-seryj-kosmos/</t>
  </si>
  <si>
    <t>https://mgg.stores-apple.com/catalog/planshet-apple-ipad-pro-2025-m5-13-wi-fi-512-gb-serebristyj/</t>
  </si>
  <si>
    <t>https://mgg.stores-apple.com/catalog/planshet-apple-ipad-pro-2024-m4-13-wi-fi-cellular-512-gb-serebristyj/</t>
  </si>
  <si>
    <t>https://mgg.stores-apple.com/catalog/planshet-apple-ipad-pro-2024-m4-13-wi-fi-cellular-512-gb-chernyj-kosmos/</t>
  </si>
  <si>
    <t>https://mgg.stores-apple.com/catalog/planshet-apple-ipad-pro-2024-m4-11-wi-fi-cellular-512-gb-chernyj-kosmos/</t>
  </si>
  <si>
    <t>Google Pixel 10 Pro</t>
  </si>
  <si>
    <t>https://mgg.stores-apple.com/catalog/planshet-apple-ipad-pro-2024-m4-11-wi-fi-cellular-512-gb-serebristyj/</t>
  </si>
  <si>
    <t>https://mgg.stores-apple.com/catalog/planshet-apple-ipad-pro-2025-m5-11-wi-fi-1024-gb-seryj-kosmos/</t>
  </si>
  <si>
    <t>https://mgg.stores-apple.com/catalog/planshet-apple-ipad-pro-2025-m5-11-wi-fi-1024-gb-serebristyj/</t>
  </si>
  <si>
    <t>https://mgg.stores-apple.com/catalog/planshet-apple-ipad-pro-2024-m4-11-wi-fi-1024-gb-serebristyj/</t>
  </si>
  <si>
    <t>https://mgg.stores-apple.com/catalog/planshet-apple-ipad-pro-2024-m4-11-wi-fi-1024-gb-chernyj-kosmos/</t>
  </si>
  <si>
    <t>https://mgg.stores-apple.com/catalog/planshet-apple-ipad-pro-2025-m5-11-wi-fi-1024-gb-seryj-kosmos-nano/</t>
  </si>
  <si>
    <t>https://mgg.stores-apple.com/catalog/planshet-apple-ipad-pro-2025-m5-11-wi-fi-1024-gb-serebristyj-nano/</t>
  </si>
  <si>
    <t>Планшет Apple iPad Pro (2024, M4) 11" Wi-Fi + Cellular 1024 ГБ серебристый</t>
  </si>
  <si>
    <t>https://mgg.stores-apple.com/catalog/planshet-apple-ipad-pro-2024-m4-11-wi-fi-cellular-1024-gb-serebristyj/</t>
  </si>
  <si>
    <t>Планшет Apple iPad Pro (2024, M4) 11" Wi-Fi + Cellular 1024 ГБ черный космос</t>
  </si>
  <si>
    <t>https://mgg.stores-apple.com/catalog/planshet-apple-ipad-pro-2024-m4-11-wi-fi-cellular-1024-gb-chernyj-kosmos/</t>
  </si>
  <si>
    <t>https://mgg.stores-apple.com/catalog/planshet-apple-ipad-pro-2025-m5-11-wi-fi-cellular-1024-gb-seryj-kosmos/</t>
  </si>
  <si>
    <t>https://mgg.stores-apple.com/catalog/planshet-apple-ipad-pro-2024-m4-13-wi-fi-cellular-1024-gb-chernyj-kosmos/</t>
  </si>
  <si>
    <t>https://mgg.stores-apple.com/catalog/planshet-apple-ipad-pro-2024-m4-13-wi-fi-cellular-1024-gb-serebristyj/</t>
  </si>
  <si>
    <t>Google Pixel 10 Pro Fold</t>
  </si>
  <si>
    <t>https://mgg.stores-apple.com/catalog/planshet-apple-ipad-pro-2025-m5-11-wi-fi-cellular-1024-gb-serebristyj/</t>
  </si>
  <si>
    <t>https://mgg.stores-apple.com/catalog/planshet-apple-ipad-pro-2025-m5-11-wi-fi-cellular-1024-gb-seryj-kosmos-nano/</t>
  </si>
  <si>
    <t>https://mgg.stores-apple.com/catalog/planshet-apple-ipad-pro-2025-m5-11-wi-fi-cellular-1024-gb-serebristyj-nano/</t>
  </si>
  <si>
    <t>https://mgg.stores-apple.com/catalog/planshet-apple-ipad-pro-2025-m5-13-wi-fi-cellular-512-gb-seryj-kosmos/</t>
  </si>
  <si>
    <t>https://mgg.stores-apple.com/catalog/planshet-apple-ipad-pro-2025-m5-13-wi-fi-cellular-512-gb-serebristyj/</t>
  </si>
  <si>
    <t>https://mgg.stores-apple.com/catalog/planshet-apple-ipad-pro-2024-m4-13-wi-fi-1024-gb-chernyj-kosmos/</t>
  </si>
  <si>
    <t>Google Pixel 10 Pro XL</t>
  </si>
  <si>
    <t>https://mgg.stores-apple.com/catalog/planshet-apple-ipad-pro-2024-m4-13-wi-fi-1024-gb-serebristyj/</t>
  </si>
  <si>
    <t>Планшет Apple iPad Pro (2024, M4) 11" Wi-Fi 2048 ГБ серебристый</t>
  </si>
  <si>
    <t>https://mgg.stores-apple.com/catalog/planshet-apple-ipad-pro-2024-m4-11-wi-fi-2048-gb-serebristyj/</t>
  </si>
  <si>
    <t>Планшет Apple iPad Pro (2024, M4) 11" Wi-Fi 2048 ГБ черный космос</t>
  </si>
  <si>
    <t>https://mgg.stores-apple.com/catalog/planshet-apple-ipad-pro-2024-m4-11-wi-fi-2048-gb-chernyj-kosmos/</t>
  </si>
  <si>
    <t>https://mgg.stores-apple.com/catalog/planshet-apple-ipad-pro-2025-m5-11-wi-fi-2048-gb-seryj-kosmos/</t>
  </si>
  <si>
    <t>https://mgg.stores-apple.com/catalog/planshet-apple-ipad-pro-2025-m5-11-wi-fi-2048-gb-serebristyj/</t>
  </si>
  <si>
    <t>Планшет Apple iPad Pro (2025, М5) 13" Wi-Fi 1024 ГБ серый космос</t>
  </si>
  <si>
    <t>https://mgg.stores-apple.com/catalog/planshet-apple-ipad-pro-2025-m5-13-wi-fi-1024-gb-seryj-kosmos/</t>
  </si>
  <si>
    <t>Планшет Apple iPad Pro (2025, М5) 13" Wi-Fi 1024 ГБ серебристый</t>
  </si>
  <si>
    <t>https://mgg.stores-apple.com/catalog/planshet-apple-ipad-pro-2025-m5-13-wi-fi-1024-gb-serebristyj/</t>
  </si>
  <si>
    <t>Планшет Apple iPad Pro (2024, M4) 13" Wi-Fi + Cellular 2048 ГБ черный космос</t>
  </si>
  <si>
    <t>https://mgg.stores-apple.com/catalog/planshet-apple-ipad-pro-2024-m4-13-wi-fi-cellular-2048-gb-chernyj-kosmos/</t>
  </si>
  <si>
    <t>Планшет Apple iPad Pro (2024, M4) 13" Wi-Fi + Cellular 2048 ГБ серебристый</t>
  </si>
  <si>
    <t>https://mgg.stores-apple.com/catalog/planshet-apple-ipad-pro-2024-m4-13-wi-fi-cellular-2048-gb-serebristyj/</t>
  </si>
  <si>
    <t>https://mgg.stores-apple.com/catalog/planshet-apple-ipad-pro-2025-m5-11-wi-fi-2048-gb-seryj-kosmos-nano/</t>
  </si>
  <si>
    <t>https://mgg.stores-apple.com/catalog/planshet-apple-ipad-pro-2025-m5-11-wi-fi-2048-gb-serebristyj-nano/</t>
  </si>
  <si>
    <t>Google Pixel 9</t>
  </si>
  <si>
    <t>https://mgg.stores-apple.com/catalog/planshet-apple-ipad-pro-2025-m5-11-wi-fi-cellular-2048-gb-seryj-kosmos/</t>
  </si>
  <si>
    <t>https://mgg.stores-apple.com/catalog/planshet-apple-ipad-pro-2025-m5-11-wi-fi-cellular-2048-gb-serebristyj/</t>
  </si>
  <si>
    <t>Планшет Apple iPad Pro (2025, М5) 13" Wi-Fi + Cellular 1024 ГБ серый космос</t>
  </si>
  <si>
    <t>https://mgg.stores-apple.com/catalog/planshet-apple-ipad-pro-2025-m5-13-wi-fi-cellular-1024-gb-seryj-kosmos/</t>
  </si>
  <si>
    <t>Планшет Apple iPad Pro (2025, М5) 13" Wi-Fi + Cellular 1024 ГБ серебристый</t>
  </si>
  <si>
    <t>https://mgg.stores-apple.com/catalog/planshet-apple-ipad-pro-2025-m5-13-wi-fi-cellular-1024-gb-serebristyj/</t>
  </si>
  <si>
    <t>Планшет Apple iPad Pro (2024, M4) 13" Wi-Fi 2048 ГБ черный космос</t>
  </si>
  <si>
    <t>https://mgg.stores-apple.com/catalog/planshet-apple-ipad-pro-2024-m4-13-wi-fi-2048-gb-chernyj-kosmos/</t>
  </si>
  <si>
    <t>Планшет Apple iPad Pro (2024, M4) 13" Wi-Fi 2048 ГБ серебристый</t>
  </si>
  <si>
    <t>https://mgg.stores-apple.com/catalog/planshet-apple-ipad-pro-2024-m4-13-wi-fi-2048-gb-serebristyj/</t>
  </si>
  <si>
    <t>Планшет Apple iPad Pro (2025, М5) 13" Wi-Fi 1024 ГБ серебристый Nano</t>
  </si>
  <si>
    <t>https://mgg.stores-apple.com/catalog/planshet-apple-ipad-pro-2025-m5-13-wi-fi-1024-gb-serebristyj-nano/</t>
  </si>
  <si>
    <t>Планшет Apple iPad Pro (2025, М5) 13" Wi-Fi 1024 ГБ серый космос Nano</t>
  </si>
  <si>
    <t>https://mgg.stores-apple.com/catalog/planshet-apple-ipad-pro-2025-m5-13-wi-fi-1024-gb-seryj-kosmos-nano/</t>
  </si>
  <si>
    <t>Google Pixel 10a</t>
  </si>
  <si>
    <t>https://mgg.stores-apple.com/catalog/planshet-apple-ipad-pro-2025-m5-11-wi-fi-cellular-2048-gb-serebristyj-nano/</t>
  </si>
  <si>
    <t>https://mgg.stores-apple.com/catalog/planshet-apple-ipad-pro-2025-m5-11-wi-fi-cellular-2048-gb-seryj-kosmos-nano/</t>
  </si>
  <si>
    <t>Планшет Apple iPad Pro (2025, М5) 13" Wi-Fi + Cellular 1024 ГБ серебристый Nano</t>
  </si>
  <si>
    <t>https://mgg.stores-apple.com/catalog/planshet-apple-ipad-pro-2025-m5-13-wi-fi-cellular-1024-gb-serebristyj-nano/</t>
  </si>
  <si>
    <t>Планшет Apple iPad Pro (2025, М5) 13" Wi-Fi + Cellular 1024 ГБ серый космос Nano</t>
  </si>
  <si>
    <t>https://mgg.stores-apple.com/catalog/planshet-apple-ipad-pro-2025-m5-13-wi-fi-cellular-1024-gb-seryj-kosmos-nano/</t>
  </si>
  <si>
    <t>Планшет Apple iPad Pro (2025, М5) 13" Wi-Fi 2048 ГБ серый космос</t>
  </si>
  <si>
    <t>https://mgg.stores-apple.com/catalog/planshet-apple-ipad-pro-2025-m5-13-wi-fi-2048-gb-seryj-kosmos/</t>
  </si>
  <si>
    <t>Планшет Apple iPad Pro (2025, М5) 13" Wi-Fi 2048 ГБ серебристый</t>
  </si>
  <si>
    <t>https://mgg.stores-apple.com/catalog/planshet-apple-ipad-pro-2025-m5-13-wi-fi-2048-gb-serebristyj/</t>
  </si>
  <si>
    <t>Планшет Apple iPad Pro (2024, M4) 11" Wi-Fi + Cellular 2048 ГБ серебристый</t>
  </si>
  <si>
    <t>https://mgg.stores-apple.com/catalog/planshet-apple-ipad-pro-2024-m4-11-wi-fi-cellular-2048-gb-serebristyj/</t>
  </si>
  <si>
    <t>Планшет Apple iPad Pro (2024, M4) 11" Wi-Fi + Cellular 2048 ГБ черный космос</t>
  </si>
  <si>
    <t>https://mgg.stores-apple.com/catalog/planshet-apple-ipad-pro-2024-m4-11-wi-fi-cellular-2048-gb-chernyj-kosmos/</t>
  </si>
  <si>
    <t>Планшет Apple iPad Pro (2025, М5) 13" Wi-Fi 2048 ГБ серый космос Nano</t>
  </si>
  <si>
    <t>https://mgg.stores-apple.com/catalog/planshet-apple-ipad-pro-2025-m5-13-wi-fi-2048-gb-seryj-kosmos-nano/</t>
  </si>
  <si>
    <t>Планшет Apple iPad Pro (2025, М5) 13" Wi-Fi 2048 ГБ серебристый Nano</t>
  </si>
  <si>
    <t>https://mgg.stores-apple.com/catalog/planshet-apple-ipad-pro-2025-m5-13-wi-fi-2048-gb-serebristyj-nano/</t>
  </si>
  <si>
    <t>Планшет Apple iPad Pro (2025, М5) 13" Wi-Fi + Cellular 2048 ГБ серый космос</t>
  </si>
  <si>
    <t>https://mgg.stores-apple.com/catalog/planshet-apple-ipad-pro-2025-m5-13-wi-fi-cellular-2048-gb-seryj-kosmos/</t>
  </si>
  <si>
    <t>Планшет Apple iPad Pro (2025, М5) 13" Wi-Fi + Cellular 2048 ГБ серебристый</t>
  </si>
  <si>
    <t>https://mgg.stores-apple.com/catalog/planshet-apple-ipad-pro-2025-m5-13-wi-fi-cellular-2048-gb-serebristyj/</t>
  </si>
  <si>
    <t>Google Pixel 9 Pro</t>
  </si>
  <si>
    <t>Планшет Apple iPad Pro (2025, М5) 13" Wi-Fi + Cellular 2048 ГБ серый космос Nano</t>
  </si>
  <si>
    <t>https://mgg.stores-apple.com/catalog/planshet-apple-ipad-pro-2025-m5-13-wi-fi-cellular-2048-gb-seryj-kosmos-nano/</t>
  </si>
  <si>
    <t>Планшет Apple iPad Pro (2025, М5) 13" Wi-Fi + Cellular 2048 ГБ серебристый Nano</t>
  </si>
  <si>
    <t>https://mgg.stores-apple.com/catalog/planshet-apple-ipad-pro-2025-m5-13-wi-fi-cellular-2048-gb-serebristyj-nano/</t>
  </si>
  <si>
    <t>https://mgg.stores-apple.com/catalog/planshet-apple-ipad-air-2025-m3-11-wi-fi-128-gb-goluboj/</t>
  </si>
  <si>
    <t>https://mgg.stores-apple.com/catalog/planshet-apple-ipad-air-2025-m3-11-wi-fi-cellular-128-gb-goluboj/</t>
  </si>
  <si>
    <t>https://mgg.stores-apple.com/catalog/planshet-apple-ipad-air-2025-m3-11-wi-fi-cellular-128-gb-seryj-kosmos/</t>
  </si>
  <si>
    <t>https://mgg.stores-apple.com/catalog/planshet-apple-ipad-air-2025-m3-13-wi-fi-128-gb-goluboj/</t>
  </si>
  <si>
    <t>https://mgg.stores-apple.com/catalog/planshet-apple-ipad-air-2025-m3-13-wi-fi-256-gb-fioletovyj/</t>
  </si>
  <si>
    <t>https://mgg.stores-apple.com/catalog/planshet_apple_ipad_air_2026_m4_11_wi_fi_cellular_128_gb_seryy_kosmos/</t>
  </si>
  <si>
    <t>Google Pixel 11</t>
  </si>
  <si>
    <t>https://mgg.stores-apple.com/catalog/planshet_apple_ipad_air_2026_m4_11_wi_fi_cellular_128_gb_goluboy/</t>
  </si>
  <si>
    <t>https://mgg.stores-apple.com/catalog/planshet-apple-ipad-air-2025-m3-13-wi-fi-cellular-128-gb-goluboj/</t>
  </si>
  <si>
    <t>https://mgg.stores-apple.com/catalog/planshet-apple-ipad-air-2025-m3-13-wi-fi-cellular-128-gb-seryj-kosmos/</t>
  </si>
  <si>
    <t>https://mgg.stores-apple.com/catalog/planshet-apple-ipad-air-2025-m3-13-wi-fi-cellular-128-gb-fiioletovyj/</t>
  </si>
  <si>
    <t>https://mgg.stores-apple.com/catalog/planshet-apple-ipad-air-2025-m3-13-wi-fi-cellular-128-gb-siyayushhaya-zvezda/</t>
  </si>
  <si>
    <t>https://mgg.stores-apple.com/catalog/planshet-apple-ipad-air-2025-m3-11-wi-fi-cellular-256-gb-goluboy/</t>
  </si>
  <si>
    <t>https://mgg.stores-apple.com/catalog/planshet-apple-ipad-air-2025-m3-11-wi-fi-cellular-256-gb-siyayushchaya-zvezda/</t>
  </si>
  <si>
    <t>https://mgg.stores-apple.com/catalog/planshet-apple-ipad-air-2025-m3-11-wi-fi-cellular-256-gb-fiolotovyj/</t>
  </si>
  <si>
    <t>Google Pixel 9 Pro Fold</t>
  </si>
  <si>
    <t>https://mgg.stores-apple.com/catalog/planshet-apple-ipad-air-2025-m3-11-wi-fi-cellular-256-gb-seryy-kosmos/</t>
  </si>
  <si>
    <t>Google Pixel 11 Pro Fold</t>
  </si>
  <si>
    <t>https://mgg.stores-apple.com/catalog/planshet_apple_ipad_air_2026_m4_13_wi_fi_128_gb_seryy_kosmos/</t>
  </si>
  <si>
    <t>https://mgg.stores-apple.com/catalog/planshet_apple_ipad_air_2026_m4_13_wi_fi_128_gb_fioletovyy/</t>
  </si>
  <si>
    <t>https://mgg.stores-apple.com/catalog/planshet_apple_ipad_air_2026_m4_13_wi_fi_128_gb_goluboy/</t>
  </si>
  <si>
    <t>https://mgg.stores-apple.com/catalog/planshet_apple_ipad_air_2026_m4_13_wi_fi_128_gb_siyayushchaya_zvezda/</t>
  </si>
  <si>
    <t>Планшет Apple iPad Air (2025, M3) 11" Wi-Fi 512 ГБ голубой</t>
  </si>
  <si>
    <t>https://mgg.stores-apple.com/catalog/planshet-apple-ipad-air-2025-m3-11-wi-fi-512-gb-goluboy/</t>
  </si>
  <si>
    <t>Google Pixel 11 Pro</t>
  </si>
  <si>
    <t>https://mgg.stores-apple.com/catalog/planshet-apple-ipad-air-2025-m3-13-wi-fi-256-gb-seryy-kosmos/</t>
  </si>
  <si>
    <t>Планшет Apple iPad Air (2025, M3) 11" Wi-Fi 512 ГБ серый космос</t>
  </si>
  <si>
    <t>https://mgg.stores-apple.com/catalog/planshet-apple-ipad-air-2025-m3-11-wi-fi-512-gb-seryy-kosmos/</t>
  </si>
  <si>
    <t>Планшет Apple iPad Air (2025, M3) 11" Wi-Fi 512 ГБ сияющая звезда</t>
  </si>
  <si>
    <t>https://mgg.stores-apple.com/catalog/planshet-apple-ipad-air-2025-m3-11-wi-fi-512-gb-siyayushchaya-zvezda/</t>
  </si>
  <si>
    <t>https://mgg.stores-apple.com/catalog/planshet_apple_ipad_air_2026_m4_13_wi_fi_256_gb_goluboy/</t>
  </si>
  <si>
    <t>https://mgg.stores-apple.com/catalog/planshet_apple_ipad_air_2026_m4_13_wi_fi_256_gb_fioletovyy/</t>
  </si>
  <si>
    <t>https://mgg.stores-apple.com/catalog/planshet_apple_ipad_air_2026_m4_13_wi_fi_cellular_128_gb_goluboy/</t>
  </si>
  <si>
    <t>https://mgg.stores-apple.com/catalog/planshet_apple_ipad_air_2026_m4_13_wi_fi_cellular_128_gb_seryy_kosmos/</t>
  </si>
  <si>
    <t>https://mgg.stores-apple.com/catalog/planshet_apple_ipad_air_2026_m4_13_wi_fi_cellular_128_gb_siyayushchaya_zvezda/</t>
  </si>
  <si>
    <t>Google Pixel 9 Pro XL</t>
  </si>
  <si>
    <t>https://mgg.stores-apple.com/catalog/planshet_apple_ipad_air_2026_m4_13_wi_fi_cellular_128_gb_fioletovyy/</t>
  </si>
  <si>
    <t>Планшет Apple iPad Air (2025, M3) 11" Wi-Fi 1024 ГБ голубой</t>
  </si>
  <si>
    <t>https://mgg.stores-apple.com/catalog/planshet-apple-ipad-air-2025-m3-11-wi-fi-1024-gb-goluboy/</t>
  </si>
  <si>
    <t>https://mgg.stores-apple.com/catalog/planshet_apple_ipad_air_2026_m4_13_wi_fi_256_gb_siyayushchaya_zvezda/</t>
  </si>
  <si>
    <t>Планшет Apple iPad Air (2025, M3) 11" Wi-Fi 1024 ГБ сияющая звезда</t>
  </si>
  <si>
    <t>https://mgg.stores-apple.com/catalog/planshet-apple-ipad-air-2025-m3-11-wi-fi-1024-gb-siyajushhaja-zvjezda/</t>
  </si>
  <si>
    <t>Планшет Apple iPad Air (2025, M3) 11" Wi-Fi 1024 ГБ серый космос</t>
  </si>
  <si>
    <t>https://mgg.stores-apple.com/catalog/planshet-apple-ipad-air-2025-m3-11-wi-fi-1024-gb-seryj-kosmos/</t>
  </si>
  <si>
    <t>https://mgg.stores-apple.com/catalog/planshet_apple_ipad_air_2026_m4_11_wi_fi_cellular_256_gb_goluboy/</t>
  </si>
  <si>
    <t>https://mgg.stores-apple.com/catalog/planshet_apple_ipad_air_2026_m4_11_wi_fi_cellular_256_gb_fioletovyy/</t>
  </si>
  <si>
    <t>Google Pixel 9a</t>
  </si>
  <si>
    <t>https://mgg.stores-apple.com/catalog/planshet_apple_ipad_air_2026_m4_13_wi_fi_cellular_256_gb_goluboy/</t>
  </si>
  <si>
    <t>https://mgg.stores-apple.com/catalog/planshet_apple_ipad_air_2026_m4_13_wi_fi_cellular_256_gb_seryy_kosmos/</t>
  </si>
  <si>
    <t>https://mgg.stores-apple.com/catalog/planshet_apple_ipad_air_2026_m4_13_wi_fi_cellular_256_gb_fioletovyy/</t>
  </si>
  <si>
    <t>Планшет Apple iPad Air (2025, M3) 11" Wi-Fi + Cellular 512 ГБ голубой</t>
  </si>
  <si>
    <t>https://mgg.stores-apple.com/catalog/planshet-apple-ipad-air-2025-m3-11-wi-fi-cellular-512-gb-goluboj/</t>
  </si>
  <si>
    <t>Планшет Apple iPad Air (2025, M3) 11" Wi-Fi + Cellular 512 ГБ серый космос</t>
  </si>
  <si>
    <t>https://mgg.stores-apple.com/catalog/planshet-apple-ipad-air-2025-m3-11-wi-fi-cellular-512-gb-seryj-kosmos/</t>
  </si>
  <si>
    <t>https://mgg.stores-apple.com/catalog/planshet_apple_ipad_air_2026_m4_11_wi_fi_cellular_256_gb_seryy_kosmos/</t>
  </si>
  <si>
    <t>Планшет Apple iPad Air (2025, M3) 11" Wi-Fi + Cellular 512 ГБ фиолетовый</t>
  </si>
  <si>
    <t>https://mgg.stores-apple.com/catalog/planshet-apple-ipad-air-2025-m3-11-wi-fi-cellular-512-gb-fioletovy/</t>
  </si>
  <si>
    <t>https://mgg.stores-apple.com/catalog/planshet_apple_ipad_air_2026_m4_11_wi_fi_cellular_256_gb_siyayushchaya_zvezda/</t>
  </si>
  <si>
    <t>Планшет Apple iPad Air (2026, М4) 13" Wi-Fi 512 ГБ сияющая звезда</t>
  </si>
  <si>
    <t>https://mgg.stores-apple.com/catalog/planshet_apple_ipad_air_2026_m4_13_wi_fi_512_gb_siyayushchaya_zvezda/</t>
  </si>
  <si>
    <t>Google Pixel 11 Pro XL</t>
  </si>
  <si>
    <t>Планшет Apple iPad Air (2026, М4) 13" Wi-Fi 512 ГБ голубой</t>
  </si>
  <si>
    <t>https://mgg.stores-apple.com/catalog/planshet_apple_ipad_air_2026_m4_13_wi_fi_512_gb_goluboy/</t>
  </si>
  <si>
    <t>Планшет Apple iPad Air (2026, М4) 13" Wi-Fi 512 ГБ серый космос</t>
  </si>
  <si>
    <t>https://mgg.stores-apple.com/catalog/planshet_apple_ipad_air_2026_m4_13_wi_fi_512_gb_seryy_kosmos/</t>
  </si>
  <si>
    <t>Планшет Apple iPad Air (2026, М4) 13" Wi-Fi 512 ГБ фиолетовый</t>
  </si>
  <si>
    <t>https://mgg.stores-apple.com/catalog/planshet_apple_ipad_air_2026_m4_13_wi_fi_512_gb_fioletovyy/</t>
  </si>
  <si>
    <t>Планшет Apple iPad Air (2025, M3) 13" Wi-Fi 512 ГБ фиолетовый</t>
  </si>
  <si>
    <t>https://mgg.stores-apple.com/catalog/planshet-apple-ipad-air-2025-m3-13-wi-fi-512-gb-fioletovyy/</t>
  </si>
  <si>
    <t>Планшет Apple iPad Air (2025, M3) 13" Wi-Fi 512 ГБ сияющая звезда</t>
  </si>
  <si>
    <t>https://mgg.stores-apple.com/catalog/planshet-apple-ipad-air-2025-m3-13-wi-fi-512-gb-siyayushchaya-zvezda/</t>
  </si>
  <si>
    <t>Планшет Apple iPad Air (2025, M3) 13" Wi-Fi 512 ГБ голубой</t>
  </si>
  <si>
    <t>https://mgg.stores-apple.com/catalog/planshet-apple-ipad-air-2025-m3-13-wi-fi-512-gb-goluboj/</t>
  </si>
  <si>
    <t>Смартфон Google Pixel 11 Pro XL 16/1024 ГБ матовый чёрный</t>
  </si>
  <si>
    <t>https://mgg.stores-apple.com/catalog/smartfon_google_pixel_11_pro_xl_16_1024_gb_matovyy_chyernyy/</t>
  </si>
  <si>
    <t>Планшет Apple iPad Air (2025, M3) 13" Wi-Fi 512 ГБ серый космос</t>
  </si>
  <si>
    <t>https://mgg.stores-apple.com/catalog/planshet-apple-ipad-air-2025-m3-13-wi-fi-512-gb-seryj-kosmos/</t>
  </si>
  <si>
    <t>Canon</t>
  </si>
  <si>
    <t>Фотоаппарат Canon</t>
  </si>
  <si>
    <t>Планшет Apple iPad Air (2026, М4) 13" Wi-Fi + Cellular 256 ГБ сияющая звезда</t>
  </si>
  <si>
    <t>https://mgg.stores-apple.com/catalog/planshet_apple_ipad_air_2026_m4_13_wi_fi_cellular_256_gb_siyayushchaya_zvezda/</t>
  </si>
  <si>
    <t>OnePlus 15</t>
  </si>
  <si>
    <t>Планшет Apple iPad Air (2026, М4) 11" Wi-Fi 512 ГБ голубой</t>
  </si>
  <si>
    <t>https://mgg.stores-apple.com/catalog/planshet_apple_ipad_air_2026_m4_11_wi_fi_512_gb_goluboy/</t>
  </si>
  <si>
    <t>Планшет Apple iPad Air (2026, М4) 11" Wi-Fi 512 ГБ сияющая звезда</t>
  </si>
  <si>
    <t>https://mgg.stores-apple.com/catalog/planshet_apple_ipad_air_2026_m4_11_wi_fi_512_gb_siyayushchaya_zvezda/</t>
  </si>
  <si>
    <t>Планшет Apple iPad Air (2026, М4) 11" Wi-Fi 512 ГБ серый космос</t>
  </si>
  <si>
    <t>https://mgg.stores-apple.com/catalog/planshet_apple_ipad_air_2026_m4_11_wi_fi_512_gb_seryy_kosmos/</t>
  </si>
  <si>
    <t>Планшет Apple iPad Air (2025, M3) 13" Wi-Fi 1024 ГБ фиолетовый</t>
  </si>
  <si>
    <t>https://mgg.stores-apple.com/catalog/planshet-apple-ipad-air-2025-m3-13-wi-fi-1024-gb-fioletovyj/</t>
  </si>
  <si>
    <t>Планшет Apple iPad Air (2025, M3) 13" Wi-Fi 1024 ГБ голубой</t>
  </si>
  <si>
    <t>https://mgg.stores-apple.com/catalog/planshet-apple-ipad-air-2025-m3-13-wi-fi-1024-gb-goluboy/</t>
  </si>
  <si>
    <t>Планшет Apple iPad Air (2025, M3) 13" Wi-Fi 1024 ГБ сияющая звезда</t>
  </si>
  <si>
    <t>https://mgg.stores-apple.com/catalog/planshet-apple-ipad-air-2025-m3-13-wi-fi-1024-gb-siyayushchaya-zvezda/</t>
  </si>
  <si>
    <t>Планшет Apple iPad Air (2025, M3) 13" Wi-Fi 1024 ГБ серый космос</t>
  </si>
  <si>
    <t>https://mgg.stores-apple.com/catalog/planshet-apple-ipad-air-2025-m3-13-wi-fi-1024-gb-seryy-kosmos/</t>
  </si>
  <si>
    <t>Планшет Apple iPad Air (2026, М4) 11" Wi-Fi + Cellular 512 ГБ голубой</t>
  </si>
  <si>
    <t>https://mgg.stores-apple.com/catalog/planshet_apple_ipad_air_2026_m4_11_wi_fi_cellular_512_gb_goluboy/</t>
  </si>
  <si>
    <t>Планшет Apple iPad Air (2026, М4) 11" Wi-Fi + Cellular 512 ГБ серый космос</t>
  </si>
  <si>
    <t>https://mgg.stores-apple.com/catalog/planshet_apple_ipad_air_2026_m4_11_wi_fi_cellular_512_gb_seryy_kosmos/</t>
  </si>
  <si>
    <t>Планшет Apple iPad Air (2026, М4) 11" Wi-Fi + Cellular 512 ГБ сияющая звезда</t>
  </si>
  <si>
    <t>https://mgg.stores-apple.com/catalog/planshet_apple_ipad_air_2026_m4_11_wi_fi_cellular_512_gb_siyayushchaya_zvezda/</t>
  </si>
  <si>
    <t>Планшет Apple iPad Air (2026, М4) 11" Wi-Fi + Cellular 512 ГБ фиолетовый</t>
  </si>
  <si>
    <t>https://mgg.stores-apple.com/catalog/planshet_apple_ipad_air_2026_m4_11_wi_fi_cellular_512_gb_fioletovyy/</t>
  </si>
  <si>
    <t>Планшет Apple iPad Air (2026, М4) 11" Wi-Fi 1024 ГБ голубой</t>
  </si>
  <si>
    <t>https://mgg.stores-apple.com/catalog/planshet_apple_ipad_air_2026_m4_11_wi_fi_1024_gb_goluboy/</t>
  </si>
  <si>
    <t>Планшет Apple iPad Air (2026, М4) 11" Wi-Fi 1024 ГБ серый космос</t>
  </si>
  <si>
    <t>https://mgg.stores-apple.com/catalog/planshet_apple_ipad_air_2026_m4_11_wi_fi_1024_gb_seryy_kosmos/</t>
  </si>
  <si>
    <t>Планшет Apple iPad Air (2026, М4) 11" Wi-Fi 1024 ГБ сияющая звезда</t>
  </si>
  <si>
    <t>https://mgg.stores-apple.com/catalog/planshet_apple_ipad_air_2026_m4_11_wi_fi_1024_gb_siyayushchaya_zvezda/</t>
  </si>
  <si>
    <t>Honor</t>
  </si>
  <si>
    <t>Honor 600</t>
  </si>
  <si>
    <t>Планшет Apple iPad Air (2026, М4) 11" Wi-Fi 1024 ГБ фиолетовый</t>
  </si>
  <si>
    <t>https://mgg.stores-apple.com/catalog/planshet_apple_ipad_air_2026_m4_11_wi_fi_1024_gb_fioletovyy/</t>
  </si>
  <si>
    <t>https://mgg.stores-apple.com/catalog/planshet_apple_ipad_air_2026_m4_11_wi_fi_128_gb_seryy_kosmos/</t>
  </si>
  <si>
    <t>https://mgg.stores-apple.com/catalog/planshet_apple_ipad_air_2026_m4_11_wi_fi_128_gb_goluboy/</t>
  </si>
  <si>
    <t>https://mgg.stores-apple.com/catalog/planshet_apple_ipad_air_2026_m4_11_wi_fi_128_gb_siyayushchaya_zvezda/</t>
  </si>
  <si>
    <t>https://mgg.stores-apple.com/catalog/planshet_apple_ipad_air_2026_m4_11_wi_fi_128_gb_fioletovyy/</t>
  </si>
  <si>
    <t>Honor 600 Pro</t>
  </si>
  <si>
    <t>https://mgg.stores-apple.com/catalog/planshet-apple-ipad-air-2025-m3-13-wi-fi-cellular-256-gb-goluboj/</t>
  </si>
  <si>
    <t>https://mgg.stores-apple.com/catalog/planshet-apple-ipad-air-2025-m3-13-wi-fi-cellular-256-gb-seryj-kosmos/</t>
  </si>
  <si>
    <t>https://mgg.stores-apple.com/catalog/planshet-apple-ipad-air-2025-m3-13-wi-fi-cellular-256-gb-siyayushhaya-zvezda/</t>
  </si>
  <si>
    <t>https://mgg.stores-apple.com/catalog/planshet-apple-ipad-air-2025-m3-13-wi-fi-cellular-256-gb-fioletovyj/</t>
  </si>
  <si>
    <t>Планшет Apple iPad Air (2026, М4) 13" Wi-Fi + Cellular 512 ГБ голубой</t>
  </si>
  <si>
    <t>https://mgg.stores-apple.com/catalog/planshet_apple_ipad_air_2026_m4_13_wi_fi_cellular_512_gb_goluboy/</t>
  </si>
  <si>
    <t>Планшет Apple iPad Air (2026, М4) 13" Wi-Fi + Cellular 512 ГБ сияющая звезда</t>
  </si>
  <si>
    <t>https://mgg.stores-apple.com/catalog/planshet_apple_ipad_air_2026_m4_13_wi_fi_cellular_512_gb_siyayushchaya_zvezda/</t>
  </si>
  <si>
    <t>Планшет Apple iPad Air (2026, М4) 13" Wi-Fi + Cellular 512 ГБ фиолетовый</t>
  </si>
  <si>
    <t>https://mgg.stores-apple.com/catalog/planshet_apple_ipad_air_2026_m4_13_wi_fi_cellular_512_gb_fioletovyy/</t>
  </si>
  <si>
    <t>Планшет Apple iPad Air (2026, М4) 13" Wi-Fi + Cellular 512 ГБ серый космос</t>
  </si>
  <si>
    <t>https://mgg.stores-apple.com/catalog/planshet_apple_ipad_air_2026_m4_13_wi_fi_cellular_512_gb_seryy_kosmos/</t>
  </si>
  <si>
    <t>Honor Magic 8 Pro</t>
  </si>
  <si>
    <t>Планшет Apple iPad Air (2025, M3) 11" Wi-Fi + Cellular 1024 ГБ серый космос</t>
  </si>
  <si>
    <t>https://mgg.stores-apple.com/catalog/planshet-apple-ipad-air-2025-m3-11-wi-fi-cellular-1024-gb-seryj-kosmos/</t>
  </si>
  <si>
    <t>Планшет Apple iPad Air (2025, M3) 11" Wi-Fi + Cellular 1024 ГБ голубой</t>
  </si>
  <si>
    <t>https://mgg.stores-apple.com/catalog/planshet-apple-ipad-air-2025-m3-11-wi-fi-cellular-1024-gb-goluboj/</t>
  </si>
  <si>
    <t>Планшет Apple iPad Air (2025, M3) 11" Wi-Fi + Cellular 1024 ГБ сияющая звезда</t>
  </si>
  <si>
    <t>https://mgg.stores-apple.com/catalog/planshet-apple-ipad-air-2025-m3-11-wi-fi-cellular-1024-gb-siyajushhaja-zvezda/</t>
  </si>
  <si>
    <t>Планшет Apple iPad Air (2025, M3) 11" Wi-Fi + Cellular 1024 ГБ фиолетовый</t>
  </si>
  <si>
    <t>https://mgg.stores-apple.com/catalog/planshet-apple-ipad-air-2025-m3-11-wi-fi-cellular-1024-gb-fiioletovyj/</t>
  </si>
  <si>
    <t>Планшет Apple iPad Air (2026, М4) 11" Wi-Fi + Cellular 1024 ГБ голубой</t>
  </si>
  <si>
    <t>https://mgg.stores-apple.com/catalog/planshet_apple_ipad_air_2026_m4_11_wi_fi_cellular_1024_gb_goluboy/</t>
  </si>
  <si>
    <t>Планшет Apple iPad Air (2026, М4) 11" Wi-Fi + Cellular 1024 ГБ серый космос</t>
  </si>
  <si>
    <t>https://mgg.stores-apple.com/catalog/planshet_apple_ipad_air_2026_m4_11_wi_fi_cellular_1024_gb_seryy_kosmos/</t>
  </si>
  <si>
    <t>Xiaomi</t>
  </si>
  <si>
    <t>Poco</t>
  </si>
  <si>
    <t>Планшет Apple iPad Air (2026, М4) 11" Wi-Fi + Cellular 1024 ГБ сияющая звезда</t>
  </si>
  <si>
    <t>https://mgg.stores-apple.com/catalog/planshet_apple_ipad_air_2026_m4_11_wi_fi_cellular_1024_gb_siyayushchaya_zvezda/</t>
  </si>
  <si>
    <t>Планшет Apple iPad Air (2026, М4) 11" Wi-Fi + Cellular 1024 ГБ фиолетовый</t>
  </si>
  <si>
    <t>https://mgg.stores-apple.com/catalog/planshet_apple_ipad_air_2026_m4_11_wi_fi_cellular_1024_gb_fioletovyy/</t>
  </si>
  <si>
    <t>Планшет Apple iPad Air (2026, М4) 13" Wi-Fi 1024 ГБ голубой</t>
  </si>
  <si>
    <t>https://mgg.stores-apple.com/catalog/planshet_apple_ipad_air_2026_m4_13_wi_fi_1024_gb_goluboy/</t>
  </si>
  <si>
    <t>Планшет Apple iPad Air (2026, М4) 13" Wi-Fi 1024 ГБ сияющая звезда</t>
  </si>
  <si>
    <t>https://mgg.stores-apple.com/catalog/planshet_apple_ipad_air_2026_m4_13_wi_fi_1024_gb_siyayushchaya_zvezda/</t>
  </si>
  <si>
    <t>Планшет Apple iPad Air (2026, М4) 13" Wi-Fi 1024 ГБ фиолетовый</t>
  </si>
  <si>
    <t>https://mgg.stores-apple.com/catalog/planshet_apple_ipad_air_2026_m4_13_wi_fi_1024_gb_fioletovyy/</t>
  </si>
  <si>
    <t>Планшет Apple iPad Air (2026, М4) 13" Wi-Fi 1024 ГБ серый космос</t>
  </si>
  <si>
    <t>https://mgg.stores-apple.com/catalog/planshet_apple_ipad_air_2026_m4_13_wi_fi_1024_gb_seryy_kosmos/</t>
  </si>
  <si>
    <t>Планшет Apple iPad Air (2025, M3) 13" Wi-Fi + Cellular 512 ГБ сияющая звезда</t>
  </si>
  <si>
    <t>https://mgg.stores-apple.com/catalog/planshet-apple-ipad-air-2025-m3-13-wi-fi-cellular-512-gb-siyayushhaya-zvezda/</t>
  </si>
  <si>
    <t>Планшет Apple iPad Air (2025, M3) 13" Wi-Fi + Cellular 512 ГБ фиолетовый</t>
  </si>
  <si>
    <t>https://mgg.stores-apple.com/catalog/planshet-apple-ipad-air-2025-m3-13-wi-fi-cellular-512-gb-fioletovyj/</t>
  </si>
  <si>
    <t>Планшет Apple iPad Air (2025, M3) 13" Wi-Fi + Cellular 512 ГБ серый космос</t>
  </si>
  <si>
    <t>https://mgg.stores-apple.com/catalog/planshet-apple-ipad-air-2025-m3-13-wi-fi-cellular-512-gb-seryj-kosmos/</t>
  </si>
  <si>
    <t>Планшет Apple iPad Air (2025, M3) 13" Wi-Fi + Cellular 512 ГБ голубой</t>
  </si>
  <si>
    <t>https://mgg.stores-apple.com/catalog/planshet-apple-ipad-air-2025-m3-13-wi-fi-cellular-512-gb-goluboj/</t>
  </si>
  <si>
    <t>Планшет Apple iPad Air (2026, М4) 13" Wi-Fi + Cellular 1024 ГБ голубой</t>
  </si>
  <si>
    <t>https://mgg.stores-apple.com/catalog/planshet_apple_ipad_air_2026_m4_13_wi_fi_cellular_1024_gb_goluboy/</t>
  </si>
  <si>
    <t>Планшет Apple iPad Air (2026, М4) 13" Wi-Fi + Cellular 1024 ГБ серый космос</t>
  </si>
  <si>
    <t>https://mgg.stores-apple.com/catalog/planshet_apple_ipad_air_2026_m4_13_wi_fi_cellular_1024_gb_seryy_kosmos/</t>
  </si>
  <si>
    <t>Планшет Apple iPad Air (2026, М4) 13" Wi-Fi + Cellular 1024 ГБ сияющая звезда</t>
  </si>
  <si>
    <t>https://mgg.stores-apple.com/catalog/planshet_apple_ipad_air_2026_m4_13_wi_fi_cellular_1024_gb_siyayushchaya_zvezda/</t>
  </si>
  <si>
    <t>Планшет Apple iPad Air (2026, М4) 13" Wi-Fi + Cellular 1024 ГБ фиолетовый</t>
  </si>
  <si>
    <t>https://mgg.stores-apple.com/catalog/planshet_apple_ipad_air_2026_m4_13_wi_fi_cellular_1024_gb_fioletovyy/</t>
  </si>
  <si>
    <t>Планшет Apple iPad Air (2025, M3) 13" Wi-Fi + Cellular 1024 ГБ сияющая звезда</t>
  </si>
  <si>
    <t>https://mgg.stores-apple.com/catalog/planshet-apple-ipad-air-2025-m3-13-wi-fi-cellular-1024-gb-siyayushhaya-zvezda/</t>
  </si>
  <si>
    <t>Планшет Apple iPad Air (2025, M3) 13" Wi-Fi + Cellular 1024 ГБ серый космос</t>
  </si>
  <si>
    <t>https://mgg.stores-apple.com/catalog/planshet-apple-ipad-air-2025-m3-13-wi-fi-cellular-1024-gb-seryj-kosmos/</t>
  </si>
  <si>
    <t>Планшет Apple iPad Air (2025, M3) 13" Wi-Fi + Cellular 1024 ГБ фиолетовый</t>
  </si>
  <si>
    <t>https://mgg.stores-apple.com/catalog/planshet-apple-ipad-air-2025-m3-13-wi-fi-cellular-1024-gb-fioletovyj/</t>
  </si>
  <si>
    <t>Планшет Apple iPad Air (2025, M3) 13" Wi-Fi + Cellular 1024 ГБ голубой</t>
  </si>
  <si>
    <t>https://mgg.stores-apple.com/catalog/planshet-apple-ipad-air-2025-m3-13-wi-fi-cellular-1024-gb-goluboj/</t>
  </si>
  <si>
    <t>https://mgg.stores-apple.com/catalog/planshet_apple_ipad_air_2026_m4_11_wi_fi_256_gb_seryy_kosmos/</t>
  </si>
  <si>
    <t>https://mgg.stores-apple.com/catalog/planshet-apple-ipad-11-a16-2025-wi-fi-128-gb-goluboj/</t>
  </si>
  <si>
    <t>https://mgg.stores-apple.com/catalog/planshet-apple-ipad-11-a16-2025-wi-fi-128-gb-rozovyj/</t>
  </si>
  <si>
    <t>https://mgg.stores-apple.com/catalog/planshet-apple-ipad-11-a16-2025-wi-fi-128-gb-serebristyj/</t>
  </si>
  <si>
    <t>https://mgg.stores-apple.com/catalog/planshet-apple-ipad-11-a16-2025-wi-fi-256-gb-goluboj/</t>
  </si>
  <si>
    <t>https://mgg.stores-apple.com/catalog/planshet-apple-ipad-11-a16-2025-wi-fi-256-gb-serebristyj/</t>
  </si>
  <si>
    <t>https://mgg.stores-apple.com/catalog/planshet-apple-ipad-11-a16-2025-wi-fi-128-gb-zheltyj/</t>
  </si>
  <si>
    <t>https://mgg.stores-apple.com/catalog/planshet-apple-ipad-11-a16-2025-wi-fi-cellular-128-gb-goluboj/</t>
  </si>
  <si>
    <t>https://mgg.stores-apple.com/catalog/planshet-apple-ipad-11-a16-2025-wi-fi-cellular-128-gb-zheltyj/</t>
  </si>
  <si>
    <t>https://mgg.stores-apple.com/catalog/planshet-apple-ipad-11-a16-2025-wi-fi-cellular-128-gb-rozovyj/</t>
  </si>
  <si>
    <t>https://mgg.stores-apple.com/catalog/planshet-apple-ipad-11-a16-2025-wi-fi-cellular-128-gb-serebristyj/</t>
  </si>
  <si>
    <t>https://mgg.stores-apple.com/catalog/planshet-apple-ipad-11-a16-2025-wi-fi-256-gb-zheltyj/</t>
  </si>
  <si>
    <t>https://mgg.stores-apple.com/catalog/planshet-apple-ipad-11-a16-2025-wi-fi-256-gb-rozovyj/</t>
  </si>
  <si>
    <t>https://mgg.stores-apple.com/catalog/planshet-apple-ipad-11-a16-2025-wi-fi-cellular-256-gb-goluboj/</t>
  </si>
  <si>
    <t>https://mgg.stores-apple.com/catalog/planshet-apple-ipad-11-a16-2025-wi-fi-cellular-256-gb-zheltyj/</t>
  </si>
  <si>
    <t>https://mgg.stores-apple.com/catalog/planshet-apple-ipad-11-a16-2025-wi-fi-cellular-256-gb-rozovyj/</t>
  </si>
  <si>
    <t>https://mgg.stores-apple.com/catalog/planshet-apple-ipad-11-a16-2025-wi-fi-cellular-256-gb-serebristyj/</t>
  </si>
  <si>
    <t>https://mgg.stores-apple.com/catalog/planshet-apple-ipad-11-a16-2025-wi-fi-512-gb-goluboj/</t>
  </si>
  <si>
    <t>https://mgg.stores-apple.com/catalog/planshet-apple-ipad-11-a16-2025-wi-fi-512-gb-serebristyj/</t>
  </si>
  <si>
    <t>https://mgg.stores-apple.com/catalog/planshet-apple-ipad-11-a16-2025-wi-fi-512-gb-zheltyj/</t>
  </si>
  <si>
    <t>https://mgg.stores-apple.com/catalog/planshet-apple-ipad-11-a16-2025-wi-fi-512-gb-rozovyj/</t>
  </si>
  <si>
    <t>https://mgg.stores-apple.com/catalog/planshet-apple-ipad-11-a16-2025-wi-fi-cellular-512-gb-serebristyj/</t>
  </si>
  <si>
    <t>https://mgg.stores-apple.com/catalog/planshet-apple-ipad-11-a16-2025-wi-fi-cellular-512-gb-zheltyj/</t>
  </si>
  <si>
    <t>https://mgg.stores-apple.com/catalog/planshet-apple-ipad-11-a16-2025-wi-fi-cellular-512-gb-goluboj/</t>
  </si>
  <si>
    <t>https://mgg.stores-apple.com/catalog/planshet-apple-ipad-11-a16-2025-wi-fi-cellular-512-gb-rozovyj/</t>
  </si>
  <si>
    <t>Планшет Apple iPad mini 2024 Wi-Fi 128 ГБ голубой</t>
  </si>
  <si>
    <t>https://mgg.stores-apple.com/catalog/planshet-apple-ipad-mini-2024-wi-fi-128-gb-goluboj/</t>
  </si>
  <si>
    <t>Планшет Apple iPad mini 2024 Wi-Fi 128 ГБ сияющая звезда</t>
  </si>
  <si>
    <t>https://mgg.stores-apple.com/catalog/planshet-apple-ipad-mini-2024-wi-fi-128-gb-siyayushchaya-zvezda/</t>
  </si>
  <si>
    <t>Планшет Apple iPad mini 2024 Wi-Fi 128 ГБ серый космос</t>
  </si>
  <si>
    <t>https://mgg.stores-apple.com/catalog/planshet-apple-ipad-mini-2024-wi-fi-128-gb-seryj-kosmos/</t>
  </si>
  <si>
    <t>Планшет Apple iPad mini 2024 Wi-Fi 128 ГБ фиолетовый</t>
  </si>
  <si>
    <t>https://mgg.stores-apple.com/catalog/planshet-apple-ipad-mini-2024-wi-fi-128-gb-fioletovyj/</t>
  </si>
  <si>
    <t>Планшет Apple iPad mini 2024 Wi-Fi 256 ГБ голубой</t>
  </si>
  <si>
    <t>https://mgg.stores-apple.com/catalog/planshet-apple-ipad-mini-2024-wi-fi-256-gb-goluboj/</t>
  </si>
  <si>
    <t>Планшет Apple iPad mini 2024 Wi-Fi 256 ГБ серый космос</t>
  </si>
  <si>
    <t>https://mgg.stores-apple.com/catalog/planshet-apple-ipad-mini-2024-wi-fi-256-gb-seryj-kosmos/</t>
  </si>
  <si>
    <t>Планшет Apple iPad mini 2024 Wi-Fi 256 ГБ фиолетовый</t>
  </si>
  <si>
    <t>https://mgg.stores-apple.com/catalog/planshet-apple-ipad-mini-2024-wi-fi-256-gb-fioletovyj/</t>
  </si>
  <si>
    <t>Планшет Apple iPad mini 2024 Wi-Fi 256 ГБ сияющая звезда</t>
  </si>
  <si>
    <t>https://mgg.stores-apple.com/catalog/planshet-apple-ipad-mini-2024-wi-fi-256-gb-siyayushchaya-zvezda/</t>
  </si>
  <si>
    <t>Планшет Apple iPad mini 2024 Wi-Fi + Cellular 128 ГБ серый космос</t>
  </si>
  <si>
    <t>https://mgg.stores-apple.com/catalog/planshet-apple-ipad-mini-2024-wi-fi-128-gb-cellular-seryj-kosmos/</t>
  </si>
  <si>
    <t>Планшет Apple iPad mini 2024 Wi-Fi + Cellular 128 ГБ голубой</t>
  </si>
  <si>
    <t>https://mgg.stores-apple.com/catalog/planshet-apple-ipad-mini-2024-wi-fi-128-gb-cellular-goluboj/</t>
  </si>
  <si>
    <t>Планшет Apple iPad mini 2024 Wi-Fi + Cellular 128 ГБ сияющая звезда</t>
  </si>
  <si>
    <t>https://mgg.stores-apple.com/catalog/planshet-apple-ipad-mini-2024-wi-fi-128-gb-cellular-siyayushchaya-zvezda/</t>
  </si>
  <si>
    <t>Планшет Apple iPad mini 2024 Wi-Fi + Cellular 128 ГБ фиолетовый</t>
  </si>
  <si>
    <t>https://mgg.stores-apple.com/catalog/planshet-apple-ipad-mini-2024-wi-fi-128-gb-cellular-fioletovyj/</t>
  </si>
  <si>
    <t>Планшет Apple iPad mini 2024 Wi-Fi 512 ГБ сияющая звезда</t>
  </si>
  <si>
    <t>https://mgg.stores-apple.com/catalog/planshet-apple-ipad-mini-2024-wi-fi-512-gb-siyayushchaya-zvezda/</t>
  </si>
  <si>
    <t>Планшет Apple iPad mini 2024 Wi-Fi 512 ГБ голубой</t>
  </si>
  <si>
    <t>https://mgg.stores-apple.com/catalog/planshet-apple-ipad-mini-2024-wi-fi-512-gb-goluboj/</t>
  </si>
  <si>
    <t>Планшет Apple iPad mini 2024 Wi-Fi 512 ГБ серый космос</t>
  </si>
  <si>
    <t>https://mgg.stores-apple.com/catalog/planshet-apple-ipad-mini-2024-wi-fi-512-gb-seryj-kosmos/</t>
  </si>
  <si>
    <t>Xiaomi Mi</t>
  </si>
  <si>
    <t>Планшет Apple iPad mini 2024 Wi-Fi 512 ГБ фиолетовый</t>
  </si>
  <si>
    <t>https://mgg.stores-apple.com/catalog/planshet-apple-ipad-mini-2024-wi-fi-512-gb-fioletovyj/</t>
  </si>
  <si>
    <t>Планшет Apple iPad mini 2024 Wi-Fi + Cellular 256 ГБ сияющая звезда</t>
  </si>
  <si>
    <t>https://mgg.stores-apple.com/catalog/planshet-apple-ipad-mini-2024-wi-fi-256-gb-cellular-siyayushchaya-zvezda/</t>
  </si>
  <si>
    <t>Планшет Apple iPad mini 2024 Wi-Fi + Cellular 256 ГБ голубой</t>
  </si>
  <si>
    <t>https://mgg.stores-apple.com/catalog/planshet-apple-ipad-mini-2024-wi-fi-256-gb-cellular-goluboj/</t>
  </si>
  <si>
    <t>Планшет Apple iPad mini 2024 Wi-Fi + Cellular 256 ГБ фиолетовый</t>
  </si>
  <si>
    <t>https://mgg.stores-apple.com/catalog/planshet-apple-ipad-mini-2024-wi-fi-256-gb-cellular-fioletovyj/</t>
  </si>
  <si>
    <t>Планшет Apple iPad mini 2024 Wi-Fi + Cellular 256 ГБ серый космос</t>
  </si>
  <si>
    <t>https://mgg.stores-apple.com/catalog/planshet-apple-ipad-mini-2024-wi-fi-256-gb-cellular-seryj-kosmos/</t>
  </si>
  <si>
    <t>Планшет Apple iPad mini 2024 Wi-Fi + Cellular 512 ГБ фиолетовый</t>
  </si>
  <si>
    <t>https://mgg.stores-apple.com/catalog/planshet-apple-ipad-mini-2024-wi-fi-512-gb-cellular-fioletovyj/</t>
  </si>
  <si>
    <t>Планшет Apple iPad mini 2024 Wi-Fi + Cellular 512 ГБ сияющая звезда</t>
  </si>
  <si>
    <t>https://mgg.stores-apple.com/catalog/planshet-apple-ipad-mini-2024-wi-fi-512-gb-cellular-siyayushchaya-zvezda/</t>
  </si>
  <si>
    <t>Планшет Apple iPad mini 2024 Wi-Fi + Cellular 512 ГБ голубой</t>
  </si>
  <si>
    <t>https://mgg.stores-apple.com/catalog/planshet-apple-ipad-mini-2024-wi-fi-512-gb-cellular-goluboj/</t>
  </si>
  <si>
    <t>Планшет Apple iPad mini 2024 Wi-Fi + Cellular 512 ГБ серый космос</t>
  </si>
  <si>
    <t>https://mgg.stores-apple.com/catalog/planshet-apple-ipad-mini-2024-wi-fi-512-gb-cellular-seryj-kosmos/</t>
  </si>
  <si>
    <t>ПЛАНШЕТЫ SAMSUNG</t>
  </si>
  <si>
    <t>Планшет Samsung Galaxy Tab A11 Plus WiFi 128 ГБ серебро</t>
  </si>
  <si>
    <t>https://mgg.stores-apple.com/catalog/planshet_samsung_galaxy_tab_a11_plus_wifi_128_gb_serebro/</t>
  </si>
  <si>
    <t>Планшет Samsung Galaxy Tab A11 Plus WiFi 128 ГБ серый</t>
  </si>
  <si>
    <t>https://mgg.stores-apple.com/catalog/planshet_samsung_galaxy_tab_a11_plus_wifi_128_gb_seryy/</t>
  </si>
  <si>
    <t>Планшет Samsung Galaxy Tab A11 Plus LTE 128 ГБ серебро</t>
  </si>
  <si>
    <t>https://mgg.stores-apple.com/catalog/planshet_samsung_galaxy_tab_a11_plus_lte_128_gb_serebro/</t>
  </si>
  <si>
    <t>Планшет Samsung Galaxy Tab A11 Plus LTE 128 ГБ серый</t>
  </si>
  <si>
    <t>https://mgg.stores-apple.com/catalog/planshet_samsung_galaxy_tab_a11_plus_lte_128_gb_seryy/</t>
  </si>
  <si>
    <t>Планшет Samsung Galaxy Tab A11 Plus WiFi 256 ГБ серый</t>
  </si>
  <si>
    <t>https://mgg.stores-apple.com/catalog/planshet_samsung_galaxy_tab_a11_plus_wifi_256_gb_seryy/</t>
  </si>
  <si>
    <t>Планшет Samsung Galaxy Tab A11 Plus WiFi 256 ГБ серебро</t>
  </si>
  <si>
    <t>https://mgg.stores-apple.com/catalog/planshet_samsung_galaxy_tab_a11_plus_wifi_256_gb_serebro/</t>
  </si>
  <si>
    <t>Планшет Samsung Galaxy Tab A11 Plus LTE 256 ГБ серебро</t>
  </si>
  <si>
    <t>https://mgg.stores-apple.com/catalog/planshet_samsung_galaxy_tab_a11_plus_lte_256_gb_serebro/</t>
  </si>
  <si>
    <t>Планшет Samsung Galaxy Tab A11 Plus LTE 256 ГБ серый</t>
  </si>
  <si>
    <t>https://mgg.stores-apple.com/catalog/planshet_samsung_galaxy_tab_a11_plus_lte_256_gb_seryy/</t>
  </si>
  <si>
    <t>Планшет Samsung Galaxy Tab S11 Wi-Fi 128 ГБ серебро</t>
  </si>
  <si>
    <t>https://mgg.stores-apple.com/catalog/planshet-samsung-galaxy-tab-s11-wifi-128-gb-serebro/</t>
  </si>
  <si>
    <t>Планшет Samsung Galaxy Tab S11 Wi-Fi 128 ГБ серый</t>
  </si>
  <si>
    <t>https://mgg.stores-apple.com/catalog/planshet-samsung-galaxy-tab-s11-wifi-128-gb-seryy/</t>
  </si>
  <si>
    <t>Планшет Samsung Galaxy Tab S11 Wi-Fi 256 ГБ серебро</t>
  </si>
  <si>
    <t>https://mgg.stores-apple.com/catalog/planshet-samsung-galaxy-tab-s11-wifi-256-gb-serebro/</t>
  </si>
  <si>
    <t>Планшет Samsung Galaxy Tab S11 Wi-Fi 256 ГБ серый</t>
  </si>
  <si>
    <t>https://mgg.stores-apple.com/catalog/planshet-samsung-galaxy-tab-s11-wifi-256-gb-seryy/</t>
  </si>
  <si>
    <t>Планшет Samsung Galaxy Tab S11 LTE 128 ГБ серый</t>
  </si>
  <si>
    <t>https://mgg.stores-apple.com/catalog/planshet-samsung-galaxy-tab-s11-lte-128-gb-seryy/</t>
  </si>
  <si>
    <t>Планшет Samsung Galaxy Tab S11 LTE 128 ГБ серебро</t>
  </si>
  <si>
    <t>https://mgg.stores-apple.com/catalog/planshet-samsung-galaxy-tab-s11-lte-128-gb-serebro/</t>
  </si>
  <si>
    <t>Redmi Note</t>
  </si>
  <si>
    <t>Планшет Samsung Galaxy Tab S11 Wi-Fi 512 ГБ серебро</t>
  </si>
  <si>
    <t>https://mgg.stores-apple.com/catalog/planshet-samsung-galaxy-tab-s11-wifi-512-gb-serebro/</t>
  </si>
  <si>
    <t>Планшет Samsung Galaxy Tab S11 Wi-Fi 512 ГБ серый</t>
  </si>
  <si>
    <t>https://mgg.stores-apple.com/catalog/planshet-samsung-galaxy-tab-s11-wifi-512-gb-seryy/</t>
  </si>
  <si>
    <t>Планшет Samsung Galaxy Tab S11 LTE 256 ГБ серый</t>
  </si>
  <si>
    <t>https://mgg.stores-apple.com/catalog/planshet-samsung-galaxy-tab-s11-lte-256-gb-seryy/</t>
  </si>
  <si>
    <t>Планшет Samsung Galaxy Tab S11 LTE 256 ГБ серебро</t>
  </si>
  <si>
    <t>https://mgg.stores-apple.com/catalog/planshet-samsung-galaxy-tab-s11-lte-256-gb-serebro/</t>
  </si>
  <si>
    <t>Планшет Samsung Galaxy Tab S11 Ultra Wi-Fi 256 ГБ серебро</t>
  </si>
  <si>
    <t>https://mgg.stores-apple.com/catalog/planshet-samsung-galaxy-tab-s11-ultra-wifi-256-gb-serebro/</t>
  </si>
  <si>
    <t>Планшет Samsung Galaxy Tab S11 Ultra Wi-Fi 256 ГБ серый</t>
  </si>
  <si>
    <t>https://mgg.stores-apple.com/catalog/planshet-samsung-galaxy-tab-s11-ultra-wifi-256-gb-seryy/</t>
  </si>
  <si>
    <t>Планшет Samsung Galaxy Tab S11 LTE 512 ГБ серебро</t>
  </si>
  <si>
    <t>https://mgg.stores-apple.com/catalog/planshet-samsung-galaxy-tab-s11-lte-512-gb-serebro/</t>
  </si>
  <si>
    <t>Планшет Samsung Galaxy Tab S11 LTE 512 ГБ серый</t>
  </si>
  <si>
    <t>https://mgg.stores-apple.com/catalog/planshet-samsung-galaxy-tab-s11-lte-512-gb-seryy/</t>
  </si>
  <si>
    <t>Планшет Samsung Galaxy Tab S11 Ultra Wi-Fi 512 ГБ серый</t>
  </si>
  <si>
    <t>https://mgg.stores-apple.com/catalog/planshet-samsung-galaxy-tab-s11-ultra-wifi-512-gb-seryy/</t>
  </si>
  <si>
    <t>Планшет Samsung Galaxy Tab S11 Ultra Wi-Fi 512 ГБ серебро</t>
  </si>
  <si>
    <t>https://mgg.stores-apple.com/catalog/planshet-samsung-galaxy-tab-s11-ultra-wifi-512-gb-serebro/</t>
  </si>
  <si>
    <t>Планшет Samsung Galaxy Tab S11 Ultra LTE 256 ГБ серебро</t>
  </si>
  <si>
    <t>https://mgg.stores-apple.com/catalog/planshet-samsung-galaxy-tab-s11-ultra-lte-256-gb-serebro/</t>
  </si>
  <si>
    <t>Планшет Samsung Galaxy Tab S11 Ultra LTE 256 ГБ серый</t>
  </si>
  <si>
    <t>https://mgg.stores-apple.com/catalog/planshet-samsung-galaxy-tab-s11-ultra-lte-256-gb-seryy/</t>
  </si>
  <si>
    <t>Планшет Samsung Galaxy Tab S11 Ultra LTE 512 ГБ серый</t>
  </si>
  <si>
    <t>https://mgg.stores-apple.com/catalog/planshet-samsung-galaxy-tab-s11-ultra-lte-512-gb-seryy/</t>
  </si>
  <si>
    <t>Планшет Samsung Galaxy Tab S11 Ultra LTE 512 ГБ серебро</t>
  </si>
  <si>
    <t>https://mgg.stores-apple.com/catalog/planshet-samsung-galaxy-tab-s11-ultra-lte-512-gb-serebro/</t>
  </si>
  <si>
    <t>Планшет Samsung Galaxy Tab S11 Ultra Wi-Fi 1024 ГБ серебро</t>
  </si>
  <si>
    <t>https://mgg.stores-apple.com/catalog/planshet-samsung-galaxy-tab-s11-ultra-wifi-1024-gb-serebro/</t>
  </si>
  <si>
    <t>Планшет Samsung Galaxy Tab S11 Ultra Wi-Fi 1024 ГБ серый</t>
  </si>
  <si>
    <t>https://mgg.stores-apple.com/catalog/planshet-samsung-galaxy-tab-s11-ultra-wifi-1024-gb-seryy/</t>
  </si>
  <si>
    <t>Планшет Samsung Galaxy Tab S11 Ultra LTE 1024 ГБ серый</t>
  </si>
  <si>
    <t>https://mgg.stores-apple.com/catalog/planshet-samsung-galaxy-tab-s11-ultra-lte-1024-gb-seryy/</t>
  </si>
  <si>
    <t>Планшет Samsung Galaxy Tab S11 Ultra LTE 1024 ГБ серебро</t>
  </si>
  <si>
    <t>https://mgg.stores-apple.com/catalog/planshet-samsung-galaxy-tab-s11-ultra-lte-1024-gb-serebro/</t>
  </si>
  <si>
    <t>ПЛАНШЕТЫ XIOMI</t>
  </si>
  <si>
    <t>Планшет Xiaomi Pad 7 8/128Gb Wi-Fi Серый</t>
  </si>
  <si>
    <t>https://mgg.stores-apple.com/catalog/planshet-xiaomi-pad-7-8-128gb-wifi-seryy/</t>
  </si>
  <si>
    <t>Планшет Xiaomi Pad 7 8/128Gb Wi-Fi Голубой</t>
  </si>
  <si>
    <t>https://mgg.stores-apple.com/catalog/planshet-xiaomi-pad-7-8-128gb-wifi-goluboy/</t>
  </si>
  <si>
    <t>Планшеты</t>
  </si>
  <si>
    <t>iPad Pro</t>
  </si>
  <si>
    <t>Планшет Xiaomi Pad 7 8/128Gb Wi-Fi Зеленый</t>
  </si>
  <si>
    <t>https://mgg.stores-apple.com/catalog/planshet-xiaomi-pad-7-8-128gb-wifi-zelenyy/</t>
  </si>
  <si>
    <t>Планшет Apple iPad Pro (2024, M4) 11" Wi-Fi 256 ГБ черный космос</t>
  </si>
  <si>
    <t>Планшет Xiaomi Pad 7 8/256Gb Wi-Fi Серый</t>
  </si>
  <si>
    <t>https://mgg.stores-apple.com/catalog/planshet-xiaomi-pad-7-8-256gb-wifi-seryy/</t>
  </si>
  <si>
    <t>Планшет Apple iPad Pro (2024, M4) 11" Wi-Fi 512 ГБ черный космос</t>
  </si>
  <si>
    <t>Планшет Xiaomi Pad 7 8/256Gb Wi-Fi Зеленый</t>
  </si>
  <si>
    <t>https://mgg.stores-apple.com/catalog/planshet-xiaomi-pad-7-8-256gb-wifi-zelenyy/</t>
  </si>
  <si>
    <t>Планшет Apple iPad Pro (2025, М5) 11" Wi-Fi 256 ГБ серебристый</t>
  </si>
  <si>
    <t>Планшет Xiaomi Pad 7 8/256Gb Wi-Fi Голубой</t>
  </si>
  <si>
    <t>https://mgg.stores-apple.com/catalog/planshet-xiaomi-pad-7-8-256gb-wifi-goluboy/</t>
  </si>
  <si>
    <t>Планшет Apple iPad Pro (2025, М5) 11" Wi-Fi 256 ГБ серый космос</t>
  </si>
  <si>
    <t>Планшет Xiaomi Pad 7 Pro 8/128Gb Wi-Fi Голубой</t>
  </si>
  <si>
    <t>https://mgg.stores-apple.com/catalog/planshet-xiaomi-pad-7-pro-8-128gb-wi-fi-goluboy/</t>
  </si>
  <si>
    <t>Планшет Apple iPad Pro (2024, M4) 13" Wi-Fi 256 ГБ черный космос</t>
  </si>
  <si>
    <t>Планшет Xiaomi Pad 7 Pro 8/128Gb Wi-Fi Серый</t>
  </si>
  <si>
    <t>https://mgg.stores-apple.com/catalog/planshet-xiaomi-pad-7-pro-8-128gb-wi-fi-seryy/</t>
  </si>
  <si>
    <t>Планшет Xiaomi Pad 7 Pro 8/128Gb Wi-Fi Зеленый</t>
  </si>
  <si>
    <t>https://mgg.stores-apple.com/catalog/planshet-xiaomi-pad-7-pro-8-128gb-wi-fi-zelenyy/</t>
  </si>
  <si>
    <t>Планшет Apple iPad Pro (2024, M4) 11" Wi-Fi + Cellular 256 ГБ черный космос</t>
  </si>
  <si>
    <t>Планшет Xiaomi Pad 7 Pro 8/256Gb Wi-Fi Серый</t>
  </si>
  <si>
    <t>https://mgg.stores-apple.com/catalog/planshet-xiaomi-pad-7-pro-8-256gb-wi-fi-seryy/</t>
  </si>
  <si>
    <t>Планшет Apple iPad Pro (2024, M4) 11" Wi-Fi + Cellular 256 ГБ серебристый</t>
  </si>
  <si>
    <t>Планшет Xiaomi Pad 7 Pro 8/256Gb Wi-Fi Голубой</t>
  </si>
  <si>
    <t>https://mgg.stores-apple.com/catalog/planshet-xiaomi-pad-7-pro-8-256gb-wi-fi-goluboy/</t>
  </si>
  <si>
    <t>Планшет Xiaomi Pad 7 Pro 8/256Gb Wi-Fi Зеленый</t>
  </si>
  <si>
    <t>https://mgg.stores-apple.com/catalog/planshet-xiaomi-pad-7-pro-8-256gb-wi-fi-zelenyy/</t>
  </si>
  <si>
    <t>Планшет Apple iPad Pro (2025, М5) 11" Wi-Fi + Cellular 256 ГБ серый космос</t>
  </si>
  <si>
    <t>Планшет Xiaomi Pad 7 Pro 12/512Gb Wi-Fi Голубой</t>
  </si>
  <si>
    <t>https://mgg.stores-apple.com/catalog/planshet-xiaomi-pad-7-pro-12-512gb-wi-fi-goluboy/</t>
  </si>
  <si>
    <t>Планшет Apple iPad Pro (2024, M4) 13" Wi-Fi + Cellular 256 ГБ серебристый</t>
  </si>
  <si>
    <t>Планшет Xiaomi Pad 7 Pro 12/512Gb Wi-Fi Серый</t>
  </si>
  <si>
    <t>https://mgg.stores-apple.com/catalog/planshet-xiaomi-pad-7-pro-12-512gb-wi-fi-seryy/</t>
  </si>
  <si>
    <t>Планшет Xiaomi Pad 7 Pro 12/512Gb Wi-Fi Зеленый</t>
  </si>
  <si>
    <t>https://mgg.stores-apple.com/catalog/planshet-xiaomi-pad-7-pro-12-512gb-wi-fi-zelenyy/</t>
  </si>
  <si>
    <t>Планшет Apple iPad Pro (2024, M4) 13" Wi-Fi + Cellular 256 ГБ черный космос</t>
  </si>
  <si>
    <t>АКСЫ К IPAD</t>
  </si>
  <si>
    <t>https://mgg.stores-apple.com/catalog/stilus-apple-pencil-usb-c/</t>
  </si>
  <si>
    <t>Планшет Apple iPad Pro (2025, М5) 13" Wi-Fi 256 ГБ серебристый</t>
  </si>
  <si>
    <t>https://mgg.stores-apple.com/catalog/stilus-apple-pencil-pro/</t>
  </si>
  <si>
    <t>Планшет Apple iPad Pro (2025, М5) 11" Wi-Fi 512 ГБ серый космос</t>
  </si>
  <si>
    <t>Клавиатура Magic Keyboard для iPad Air 13 (White) (MWR43) (2024 )</t>
  </si>
  <si>
    <t>https://mgg.stores-apple.com/catalog/klaviatura_magic_keyboard_dlya_ipad_air_13_white_mwr43_2024_/</t>
  </si>
  <si>
    <t>Планшет Apple iPad Pro (2025, М5) 13" Wi-Fi 256 ГБ серый космос</t>
  </si>
  <si>
    <t>Клавиатура Magic Keyboard для iPad Air 13 черная MJQK3</t>
  </si>
  <si>
    <t>https://mgg.stores-apple.com/catalog/klaviatura_magic_keyboard_dlya_ipad_air_13_chernaya_mjqk3/</t>
  </si>
  <si>
    <t>Планшет Apple iPad Pro (2024, M4) 13" Wi-Fi 512 ГБ черный космос</t>
  </si>
  <si>
    <t>APPLE WATCH</t>
  </si>
  <si>
    <t>https://mgg.stores-apple.com/catalog/smart-chasy-apple-watch-se-3-40-mm-bezhevyi-bezhevyi-s-m-gps/</t>
  </si>
  <si>
    <t>Планшет Apple iPad Pro (2025, М5) 11" Wi-Fi + Cellular 256 ГБ серебристый</t>
  </si>
  <si>
    <t>https://mgg.stores-apple.com/catalog/smart-chasy-apple-watch-se-3-40-mm-chernyi-chernyi-s-m-gps/</t>
  </si>
  <si>
    <t>https://mgg.stores-apple.com/catalog/smart-chasy-apple-watch-se-3-44-mm-chernyi-chernyi-m-l-gps/</t>
  </si>
  <si>
    <t>Планшет Apple iPad Pro (2025, М5) 11" Wi-Fi 512 ГБ серебристый</t>
  </si>
  <si>
    <t>https://mgg.stores-apple.com/catalog/smart-chasy-apple-watch-se-3-44-mm-bezhevyi-bezhevyi-m-l-gps/</t>
  </si>
  <si>
    <t>Планшет Apple iPad Pro (2025, М5) 11" Wi-Fi + Cellular 512 ГБ серебристый</t>
  </si>
  <si>
    <t>Планшет Apple iPad Pro (2025, М5) 11" Wi-Fi + Cellular 512 ГБ серый космос</t>
  </si>
  <si>
    <t>https://mgg.stores-apple.com/catalog/smart-chasy-apple-watch-series-11-46-mm-alyuminii-zolotistyi-bezhevyi-m-l-rezina/</t>
  </si>
  <si>
    <t>Планшет Apple iPad Pro (2025, М5) 13" Wi-Fi + Cellular 256 ГБ серый космос</t>
  </si>
  <si>
    <t>https://mgg.stores-apple.com/catalog/smart-chasy-apple-watch-series-11-46-mm-alyuminii-seryi-chernyi-m-l-rezina/</t>
  </si>
  <si>
    <t>https://mgg.stores-apple.com/catalog/smart-chasy-apple-watch-series-11-46-mm-alyuminii-serebristyi-fioletovyi-m-l-rezina/</t>
  </si>
  <si>
    <t>Планшет Apple iPad Pro (2025, М5) 13" Wi-Fi + Cellular 256 ГБ серебристый</t>
  </si>
  <si>
    <t>https://mgg.stores-apple.com/catalog/smart-chasy-apple-watch-series-11-46-mm-alyuminii-chernyi-chernyi-m-l-rezina/</t>
  </si>
  <si>
    <t>https://mgg.stores-apple.com/catalog/smart-chasy-apple-watch-series-11-42-mm-alyuminii-zolotistyi-bezhevyi-s-m-rezina/</t>
  </si>
  <si>
    <t>Планшет Apple iPad Pro (2025, М5) 13" Wi-Fi 512 ГБ серый космос</t>
  </si>
  <si>
    <t>https://mgg.stores-apple.com/catalog/smart-chasy-apple-watch-series-11-42-mm-alyuminii-seryi-chernyi-s-m-rezina/</t>
  </si>
  <si>
    <t>Планшет Apple iPad Pro (2025, М5) 13" Wi-Fi 512 ГБ серебристый</t>
  </si>
  <si>
    <t>https://mgg.stores-apple.com/catalog/smart-chasy-apple-watch-series-11-42-mm-alyuminii-serebristyi-fioletovyi-s-m-rezina/</t>
  </si>
  <si>
    <t>https://mgg.stores-apple.com/catalog/smart-chasy-apple-watch-series-11-42-mm-alyuminii-chernyi-chernyi-s-m-rezina/</t>
  </si>
  <si>
    <t>Планшет Apple iPad Pro (2024, M4) 13" Wi-Fi + Cellular 512 ГБ серебристый</t>
  </si>
  <si>
    <t>Смарт-часы Apple Watch Ultra 3 49 mm черный/черный 5G</t>
  </si>
  <si>
    <t>https://mgg.stores-apple.com/catalog/smart-chasy-apple-watch-ultra-3-49-mm-chernyi-chernyi-5g/</t>
  </si>
  <si>
    <t>Смарт-часы Apple Watch SE 3 44 mm бежевый желтый SM GPS 1</t>
  </si>
  <si>
    <t>https://mgg.stores-apple.com/catalog/smart-chasy-apple-watch-se-3-40-mm-bezhevyi-zheltyi-s-m-lte/</t>
  </si>
  <si>
    <t>https://mgg.stores-apple.com/catalog/smart-chasy-apple-watch-se-3-40-mm-bezhevyi-zheltyi-m-l-lte/</t>
  </si>
  <si>
    <t>Планшет Apple iPad Pro (2024, M4) 13" Wi-Fi + Cellular 512 ГБ черный космос</t>
  </si>
  <si>
    <t>Смарт-часы Apple Watch SE 3 44 mm черный синий SM GPS 1</t>
  </si>
  <si>
    <t>https://mgg.stores-apple.com/catalog/smart-chasy-apple-watch-se-3-40-mm-chernyi-sinii-m-l-lte/</t>
  </si>
  <si>
    <t>Смарт-часы Apple Watch SE 3 44 mm черныйчерный SM GPS 1</t>
  </si>
  <si>
    <t>https://mgg.stores-apple.com/catalog/smart-chasy-apple-watch-se-3-40-mm-chernyi-chernyi-m-l-lte/</t>
  </si>
  <si>
    <t>Планшет Apple iPad Pro (2024, M4) 11" Wi-Fi + Cellular 512 ГБ черный космос</t>
  </si>
  <si>
    <t>https://mgg.stores-apple.com/catalog/smart-chasy-apple-watch-se-3-40-mm-chernyi-chernyi-s-m-lte/</t>
  </si>
  <si>
    <t>Планшет Apple iPad Pro (2024, M4) 11" Wi-Fi + Cellular 512 ГБ серебристый</t>
  </si>
  <si>
    <t>https://mgg.stores-apple.com/catalog/smart-chasy-apple-watch-se-3-40-mm-chernyi-sinii-s-m-lte/</t>
  </si>
  <si>
    <t>Планшет Apple iPad Pro (2025, М5) 11" Wi-Fi 1024 ГБ серый космос</t>
  </si>
  <si>
    <t>https://mgg.stores-apple.com/catalog/smart-chasy-apple-watch-se-3-40-mm-chernyi-sinii-s-m-gps/</t>
  </si>
  <si>
    <t>Планшет Apple iPad Pro (2025, М5) 11" Wi-Fi 1024 ГБ серебристый</t>
  </si>
  <si>
    <t>https://mgg.stores-apple.com/catalog/smart-chasy-apple-watch-se-3-40-mm-bezhevyi-zheltyi-s-m-gps/</t>
  </si>
  <si>
    <t>Планшет Apple iPad Pro (2024, M4) 11" Wi-Fi 1024 ГБ серебристый</t>
  </si>
  <si>
    <t>Смарт-часы Apple Watch SE 3 44 mm бежевый/бежевый S/M GPS</t>
  </si>
  <si>
    <t>https://mgg.stores-apple.com/catalog/smart-chasy-apple-watch-se-3-44-mm-bezhevyi-bezhevyi-s-m-gps/</t>
  </si>
  <si>
    <t>Планшет Apple iPad Pro (2024, M4) 11" Wi-Fi 1024 ГБ черный космос</t>
  </si>
  <si>
    <t>Смарт-часы Apple Watch SE 3 40 mm бежевый/бежевый M/L GPS</t>
  </si>
  <si>
    <t>https://mgg.stores-apple.com/catalog/smart-chasy-apple-watch-se-3-40-mm-bezhevyi-bezhevyi-m-l-gps/</t>
  </si>
  <si>
    <t>Планшет Apple iPad Pro (2025, М5) 11" Wi-Fi 1024 ГБ серый космос Nano</t>
  </si>
  <si>
    <t>https://mgg.stores-apple.com/catalog/smart-chasy-apple-watch-se-3-40-mm-bezhevyi-zheltyi-m-l-gps/</t>
  </si>
  <si>
    <t>https://mgg.stores-apple.com/catalog/smart-chasy-apple-watch-se-3-40-mm-chernyi-chernyi-m-l-gps/</t>
  </si>
  <si>
    <t>Планшет Apple iPad Pro (2025, М5) 11" Wi-Fi 1024 ГБ серебристый Nano</t>
  </si>
  <si>
    <t>https://mgg.stores-apple.com/catalog/smart-chasy-apple-watch-se-3-40-mm-chernyi-sinii-m-l-gps/</t>
  </si>
  <si>
    <t>https://mgg.stores-apple.com/catalog/smart-chasy-apple-watch-se-3-44-mm-chernyi-chernyi-s-m-gps/</t>
  </si>
  <si>
    <t>https://mgg.stores-apple.com/catalog/smart-chasy-apple-watch-se-3-44-mm-chernyi-sinii-m-l-gps/</t>
  </si>
  <si>
    <t>Планшет Apple iPad Pro (2025, М5) 11" Wi-Fi + Cellular 1024 ГБ серый космос</t>
  </si>
  <si>
    <t>https://mgg.stores-apple.com/catalog/smart-chasy-apple-watch-se-3-44-mm-bezhevyi-zheltyi-m-l-gps/</t>
  </si>
  <si>
    <t>Планшет Apple iPad Pro (2024, M4) 13" Wi-Fi + Cellular 1024 ГБ черный космос</t>
  </si>
  <si>
    <t>https://mgg.stores-apple.com/catalog/smart-chasy-apple-watch-se-3-44-mm-bezhevyi-zheltyi-m-l-lte/</t>
  </si>
  <si>
    <t>https://mgg.stores-apple.com/catalog/smart-chasy-apple-watch-se-3-44-mm-bezhevyi-zheltyi-s-m-lte/</t>
  </si>
  <si>
    <t>Планшет Apple iPad Pro (2024, M4) 13" Wi-Fi + Cellular 1024 ГБ серебристый</t>
  </si>
  <si>
    <t>Смарт-часы Apple Watch SE 3 44 mm бежевый/бежевый M/L LTE</t>
  </si>
  <si>
    <t>https://mgg.stores-apple.com/catalog/smart-chasy-apple-watch-se-3-44-mm-bezhevyi-bezhevyi-m-l-lte/</t>
  </si>
  <si>
    <t>Планшет Apple iPad Pro (2025, М5) 11" Wi-Fi + Cellular 1024 ГБ серебристый</t>
  </si>
  <si>
    <t>https://mgg.stores-apple.com/catalog/smart-chasy-apple-watch-se-3-44-mm-chernyi-sinii-s-m-lte/</t>
  </si>
  <si>
    <t>Планшет Apple iPad Pro (2025, М5) 11" Wi-Fi + Cellular 1024 ГБ серый космос Nano</t>
  </si>
  <si>
    <t>https://mgg.stores-apple.com/catalog/smart-chasy-apple-watch-se-3-44-mm-chernyi-sinii-m-l-lte/</t>
  </si>
  <si>
    <t>Планшет Apple iPad Pro (2025, М5) 11" Wi-Fi + Cellular 1024 ГБ серебристый Nano</t>
  </si>
  <si>
    <t>https://mgg.stores-apple.com/catalog/smart-chasy-apple-watch-se-3-44-mm-chernyi-chernyi-s-m-lte/</t>
  </si>
  <si>
    <t>https://mgg.stores-apple.com/catalog/smart-chasy-apple-watch-se-3-44-mm-chernyi-chernyi-m-l-lte/</t>
  </si>
  <si>
    <t>Планшет Apple iPad Pro (2025, М5) 13" Wi-Fi + Cellular 512 ГБ серый космос</t>
  </si>
  <si>
    <t>https://mgg.stores-apple.com/catalog/smart-chasy-apple-watch-se-3-44-mm-bezhevyi-zheltyi-s-m-gps/</t>
  </si>
  <si>
    <t>Планшет Apple iPad Pro (2025, М5) 13" Wi-Fi + Cellular 512 ГБ серебристый</t>
  </si>
  <si>
    <t>https://mgg.stores-apple.com/catalog/smart-chasy-apple-watch-se-3-44-mm-chernyi-sinii-s-m-gps/</t>
  </si>
  <si>
    <t>Планшет Apple iPad Pro (2024, M4) 13" Wi-Fi 1024 ГБ черный космос</t>
  </si>
  <si>
    <t>Смарт-часы Apple Watch Ultra 2 Satin Black, 49 мм, Trail Loop, черный, размер M/L</t>
  </si>
  <si>
    <t>https://mgg.stores-apple.com/catalog/smart_chasy_apple_watch_ultra_2_satin_black_49_mm_trail_loop_chernyy_razmer_m_l/</t>
  </si>
  <si>
    <t>Смарт-часы Apple Watch Ultra 2, Black Titanium, 49мм, Milanese Loop Black L</t>
  </si>
  <si>
    <t>https://mgg.stores-apple.com/catalog/smart_chasy_apple_watch_ultra_2_black_titanium_49mm_milanese_loop_black_l/</t>
  </si>
  <si>
    <t>Планшет Apple iPad Pro (2024, M4) 13" Wi-Fi 1024 ГБ серебристый</t>
  </si>
  <si>
    <t>Смарт-часы Apple Watch Ultra 2 Satin Black, 49 мм, Trail Loop, черный, размер S/M</t>
  </si>
  <si>
    <t>https://mgg.stores-apple.com/catalog/smart_chasy_apple_watch_ultra_2_satin_black_49_mm_trail_loop_chernyy_razmer_s_m/</t>
  </si>
  <si>
    <t>Смарт-часы Apple Watch Ultra 2, 49 мм, Trail Loop, оранжево-бежевый, размер S/M</t>
  </si>
  <si>
    <t>https://mgg.stores-apple.com/catalog/apple-watch-ultra-2-trail-loop-orange-beige-sm/</t>
  </si>
  <si>
    <t>Смарт-часы Apple Watch Ultra 3, 49 мм, Black Titanium Bl/Charcoal Trail Loop S/M 5G</t>
  </si>
  <si>
    <t>https://mgg.stores-apple.com/catalog/smart-chasy-apple-watch-ultra-3-49-mm-black-titanium-bl-charcoal-trail-loop-s-m-5g/</t>
  </si>
  <si>
    <t>Смарт-часы Apple Watch Ultra 3, 49 мм, Black Titanium Bl/Charcoal Trail Loop M/L 5G</t>
  </si>
  <si>
    <t>https://mgg.stores-apple.com/catalog/smart-chasy-apple-watch-ultra-3-49-mm-black-titanium-bl-charcoal-trail-loop-m-l-5g/</t>
  </si>
  <si>
    <t>Планшет Apple iPad Pro (2025, М5) 11" Wi-Fi 2048 ГБ серый космос</t>
  </si>
  <si>
    <t>Смарт-часы Apple Watch Ultra 3, 49 мм, Natural Titanium Bright Blue Trail ML 5G 1</t>
  </si>
  <si>
    <t>https://mgg.stores-apple.com/catalog/smart-chasy-apple-watch-ultra-3-49-mm-natural-titanium-bright-blue-trail-m-l-5g/</t>
  </si>
  <si>
    <t>Планшет Apple iPad Pro (2025, М5) 11" Wi-Fi 2048 ГБ серебристый</t>
  </si>
  <si>
    <t>Смарт-часы Apple Watch Ultra 2 Satin Black, 49 мм, Ocean Band, черный</t>
  </si>
  <si>
    <t>https://mgg.stores-apple.com/catalog/smart_chasy_apple_watch_ultra_2_satin_black_49_mm_ocean_band_chernyy_/</t>
  </si>
  <si>
    <t>Смарт-часы Apple Watch Ultra 2 Satin Black, 49 мм, Trail Loop, зелено-серый, размер M/L</t>
  </si>
  <si>
    <t>https://mgg.stores-apple.com/catalog/apple-watch-ultra-2-satin-black-trail-loop-green-gray-ml/</t>
  </si>
  <si>
    <t>https://mgg.stores-apple.com/catalog/apple-watch-ultra-2-satin-black-alpine-loop-sinij-l/</t>
  </si>
  <si>
    <t>Смарт-часы Apple Watch Ultra 2 Satin Black, 49 мм, Trail Loop, зелено-серый, размер S/M</t>
  </si>
  <si>
    <t>https://mgg.stores-apple.com/catalog/apple-watch-ultra-2-satin-black-trail-loop-green-gray-sm/</t>
  </si>
  <si>
    <t>https://mgg.stores-apple.com/catalog/apple-watch-ultra-2-satin-black-alpine-loop-olive-m/</t>
  </si>
  <si>
    <t>Планшет Apple iPad Pro (2025, М5) 11" Wi-Fi 2048 ГБ серый космос Nano</t>
  </si>
  <si>
    <t>Смарт-часы Apple Watch Ultra 2 Satin Black, 49 мм, Trail Loop, оранжево-бежевый, размер S/M</t>
  </si>
  <si>
    <t>https://mgg.stores-apple.com/catalog/apple-watch-ultra-2-satin-black-trail-loop-orange-beige-sm/</t>
  </si>
  <si>
    <t>Планшет Apple iPad Pro (2025, М5) 11" Wi-Fi 2048 ГБ серебристый Nano</t>
  </si>
  <si>
    <t>Смарт-часы Apple Watch Ultra 2 Satin Black, 49 мм, Trail Loop, сине-черный, размер S/M</t>
  </si>
  <si>
    <t>https://mgg.stores-apple.com/catalog/apple-watch-ultra-2-satin-black-trail-loop-blue-black-sm/</t>
  </si>
  <si>
    <t>Планшет Apple iPad Pro (2025, М5) 11" Wi-Fi + Cellular 2048 ГБ серый космос</t>
  </si>
  <si>
    <t>Смарт-часы Apple Watch Ultra 2 Satin Black, 49 мм, Alpine Loop, индиго, размер M</t>
  </si>
  <si>
    <t>https://mgg.stores-apple.com/catalog/apple-watch-ultra-2-satin-black-alpine-loop-indigo-m/</t>
  </si>
  <si>
    <t>Планшет Apple iPad Pro (2025, М5) 11" Wi-Fi + Cellular 2048 ГБ серебристый</t>
  </si>
  <si>
    <t>https://mgg.stores-apple.com/catalog/apple-watch-ultra-2-satin-black-alpine-loop-indigo-l/</t>
  </si>
  <si>
    <t>Смарт-часы Apple Watch Ultra 2 Satin Black, 49 мм, Ocean Band, белый</t>
  </si>
  <si>
    <t>https://mgg.stores-apple.com/catalog/apple-watch-ultra-2-satin-black-ocean-band-white/</t>
  </si>
  <si>
    <t>Смарт-часы Apple Watch Ultra 2 Satin Black, 49 мм, Alpine Loop, индиго, размер S</t>
  </si>
  <si>
    <t>https://mgg.stores-apple.com/catalog/apple-watch-ultra-2-satin-black-alpine-loop-indigo-s/</t>
  </si>
  <si>
    <t>Смарт-часы Apple Watch Ultra 2 Satin Black, 49 мм, Ocean Band, оранжевый</t>
  </si>
  <si>
    <t>https://mgg.stores-apple.com/catalog/apple-watch-ultra-2-satin-black-ocean-band-orange/</t>
  </si>
  <si>
    <t>Смарт-часы Apple Watch Ultra 2 Satin Black, 49 мм, Trail Loop, оранжево-бежевый, размер M/L</t>
  </si>
  <si>
    <t>https://mgg.stores-apple.com/catalog/apple-watch-ultra-2-satin-black-trail-loop-orange-beige-ml/</t>
  </si>
  <si>
    <t>Смарт-часы Apple Watch Ultra 2 Satin Black, 49 мм, Alpine Loop, синий, размер S</t>
  </si>
  <si>
    <t>https://mgg.stores-apple.com/catalog/apple-watch-ultra-2-satin-black-alpine-loop-sinij-s/</t>
  </si>
  <si>
    <t>Смарт-часы Apple Watch Ultra 2 Satin Black, 49 мм, Trail Loop, сине-черный, размер M/L</t>
  </si>
  <si>
    <t>https://mgg.stores-apple.com/catalog/apple-watch-ultra-2-satin-black-trail-loop-blue-black-ml/</t>
  </si>
  <si>
    <t>Планшет Apple iPad Pro (2025, М5) 11" Wi-Fi + Cellular 2048 ГБ серебристый Nano</t>
  </si>
  <si>
    <t>Смарт-часы Apple Watch Ultra 2, 49 мм, Ocean Band, белый</t>
  </si>
  <si>
    <t>https://mgg.stores-apple.com/catalog/apple-watch-ultra-2-ocean-band-white/</t>
  </si>
  <si>
    <t>Планшет Apple iPad Pro (2025, М5) 11" Wi-Fi + Cellular 2048 ГБ серый космос Nano</t>
  </si>
  <si>
    <t>Смарт-часы Apple Watch Ultra 2, 49 мм, Ocean Band, синий</t>
  </si>
  <si>
    <t>https://mgg.stores-apple.com/catalog/apple-watch-ultra-2-ocean-band-blue/</t>
  </si>
  <si>
    <t>Смарт-часы Apple Watch Ultra 2, 49 мм, Trail Loop, сине-черный, размер S/M</t>
  </si>
  <si>
    <t>https://mgg.stores-apple.com/catalog/apple-watch-ultra-2-trail-loop-blue-black-sm/</t>
  </si>
  <si>
    <t>Смарт-часы Apple Watch Ultra 2, 49 мм, Trail Loop, сине-черный, размер M/L</t>
  </si>
  <si>
    <t>https://mgg.stores-apple.com/catalog/apple-watch-ultra-2-trail-loop-blue-black-ml/</t>
  </si>
  <si>
    <t>Смарт-часы Apple Watch Ultra 2, 49 мм, Trail Loop, зелено-серый, размер M/L</t>
  </si>
  <si>
    <t>https://mgg.stores-apple.com/catalog/apple-watch-ultra-2-trail-loop-green-gray-ml/</t>
  </si>
  <si>
    <t>Смарт-часы Apple Watch Ultra 2, 49 мм, Trail Loop, зелено-серый, размер S/M</t>
  </si>
  <si>
    <t>https://mgg.stores-apple.com/catalog/apple-watch-ultra-2-trail-loop-green-gray-sm/</t>
  </si>
  <si>
    <t>Смарт-часы Apple Watch Ultra 2, 49 мм, Alpine Loop, оливковый, размер S</t>
  </si>
  <si>
    <t>https://mgg.stores-apple.com/catalog/apple-watch-ultra-2-alpine-loop-olive-s/</t>
  </si>
  <si>
    <t>Смарт-часы Apple Watch Ultra 2, 49 мм, Alpine Loop, оливковый, размер M</t>
  </si>
  <si>
    <t>https://mgg.stores-apple.com/catalog/apple-watch-ultra-2-alpine-loop-olive-m/</t>
  </si>
  <si>
    <t>Смарт-часы Apple Watch Ultra 2, 49 мм, Alpine Loop, оливковый, размер L</t>
  </si>
  <si>
    <t>https://mgg.stores-apple.com/catalog/apple-watch-ultra-2-alpine-loop-olive-l/</t>
  </si>
  <si>
    <t>Смарт-часы Apple Watch Ultra 2, 49 мм, Alpine Loop, индиго, размер S</t>
  </si>
  <si>
    <t>https://mgg.stores-apple.com/catalog/apple-watch-ultra-2-alpine-loop-indigo-s/</t>
  </si>
  <si>
    <t>Смарт-часы Apple Watch Ultra 2, 49 мм, Alpine Loop, индиго, размер M</t>
  </si>
  <si>
    <t>https://mgg.stores-apple.com/catalog/apple-watch-ultra-2-alpine-loop-indigo-m/</t>
  </si>
  <si>
    <t>Смарт-часы Apple Watch Ultra 2, 49 мм, Alpine Loop, индиго, размер L</t>
  </si>
  <si>
    <t>https://mgg.stores-apple.com/catalog/apple-watch-ultra-2-alpine-loop-indigo-l/</t>
  </si>
  <si>
    <t>Смарт-часы Apple Watch Ultra 2, 49 мм, Alpine Loop, синий, размер S</t>
  </si>
  <si>
    <t>https://mgg.stores-apple.com/catalog/apple-watch-ultra-2-alpine-loop-sinij-s/</t>
  </si>
  <si>
    <t>Смарт-часы Apple Watch Ultra 2, 49 мм, Alpine Loop, синий, размер M</t>
  </si>
  <si>
    <t>https://mgg.stores-apple.com/catalog/apple-watch-ultra-2-alpine-loop-sinij-m/</t>
  </si>
  <si>
    <t>Смарт-часы Apple Watch Ultra 2, 49 мм, Alpine Loop, синий, размер L</t>
  </si>
  <si>
    <t>https://mgg.stores-apple.com/catalog/apple-watch-ultra-2-alpine-loop-sinij-l/</t>
  </si>
  <si>
    <t>Смарт-часы Apple Watch Ultra 2 Satin Black, 49 мм, Ocean Band, синий</t>
  </si>
  <si>
    <t>https://mgg.stores-apple.com/catalog/apple-watch-ultra-2-satin-black-ocean-band-blue/</t>
  </si>
  <si>
    <t>Смарт-часы Apple Watch Ultra 2 Satin Black, 49 мм, Alpine Loop, синий, размер M</t>
  </si>
  <si>
    <t>https://mgg.stores-apple.com/catalog/apple-watch-ultra-2-satin-black-alpine-loop-sinij-m/</t>
  </si>
  <si>
    <t>Смарт-часы Apple Watch Ultra 2 Satin Black, 49 мм, Alpine Loop, оливковый, размер S</t>
  </si>
  <si>
    <t>https://mgg.stores-apple.com/catalog/apple-watch-ultra-2-satin-black-alpine-loop-olive-s/</t>
  </si>
  <si>
    <t>Смарт-часы Apple Watch Ultra 2 Satin Black, 49 мм, Alpine Loop, оливковый, размер L</t>
  </si>
  <si>
    <t>https://mgg.stores-apple.com/catalog/apple-watch-ultra-2-satin-black-alpine-loop-olive-l/</t>
  </si>
  <si>
    <t>iPad Air</t>
  </si>
  <si>
    <t>Планшет Apple iPad Air (2025, M3) 11" Wi-Fi 128 ГБ голубой</t>
  </si>
  <si>
    <t>Смарт-часы Apple Watch Ultra 2, 49 мм, Ocean Band, оранжевый</t>
  </si>
  <si>
    <t>https://mgg.stores-apple.com/catalog/apple-watch-ultra-2-ocean-band-orange/</t>
  </si>
  <si>
    <t>Планшет Apple iPad Air (2025, M3) 11" Wi-Fi + Cellular 128 ГБ голубой</t>
  </si>
  <si>
    <t>Смарт-часы Apple Watch Ultra 2, 49 мм, Trail Loop, оранжево-бежевый, размер M/L</t>
  </si>
  <si>
    <t>https://mgg.stores-apple.com/catalog/apple-watch-ultra-2-trail-loop-orange-beige-ml/</t>
  </si>
  <si>
    <t>Планшет Apple iPad Air (2025, M3) 11" Wi-Fi + Cellular 128 ГБ серый космос</t>
  </si>
  <si>
    <t>Смарт-часы Apple Watch Ultra 3 49 mm серыйсиний SM 5G 1</t>
  </si>
  <si>
    <t>https://mgg.stores-apple.com/catalog/smart-chasy-apple-watch-ultra-3-49-mm-seryi-sinii-5g/</t>
  </si>
  <si>
    <t>Планшет Apple iPad Air (2025, M3) 13" Wi-Fi 128 ГБ голубой</t>
  </si>
  <si>
    <t>Смарт-часы Apple Watch Ultra 3, 49 мм, Black Titanium Black Alpine Loop L 5G</t>
  </si>
  <si>
    <t>https://mgg.stores-apple.com/catalog/smart-chasy-apple-watch-ultra-3-49-mm-black-titanium-black-alpine-loop-l-5g/</t>
  </si>
  <si>
    <t>Планшет Apple iPad Air (2025, M3) 13" Wi-Fi 256 ГБ фиолетовый</t>
  </si>
  <si>
    <t>Смарт-часы Apple Watch Ultra 3, 49 мм, Black Titanium Black Alpine Loop S 5G</t>
  </si>
  <si>
    <t>https://mgg.stores-apple.com/catalog/smart-chasy-apple-watch-ultra-3-49-mm-black-titanium-black-alpine-loop-s-5g/</t>
  </si>
  <si>
    <t>Планшет Apple iPad Air (2026, М4) 11" Wi-Fi + Cellular 128 ГБ серый космос</t>
  </si>
  <si>
    <t>Смарт-часы Apple Watch Ultra 3, 49 мм, Natural Titanium Light Blue Alpine Loop M 5G</t>
  </si>
  <si>
    <t>https://mgg.stores-apple.com/catalog/smart-chasy-apple-watch-ultra-3-49-mm-natural-titanium-light-blue-alpine-loop-m-5g/</t>
  </si>
  <si>
    <t>Планшет Apple iPad Air (2026, М4) 11" Wi-Fi + Cellular 128 ГБ голубой</t>
  </si>
  <si>
    <t>https://mgg.stores-apple.com/catalog/smart-chasy-apple-watch-ultra-3-49-mm-natural-titanium-bright-blue-trail-s-m-5g/</t>
  </si>
  <si>
    <t>Планшет Apple iPad Air (2025, M3) 13" Wi-Fi + Cellular 128 ГБ голубой</t>
  </si>
  <si>
    <t>Смарт-часы Apple Watch Ultra 3, 49 мм, Natural Titanium Light Blue Alpine Loop S 5G</t>
  </si>
  <si>
    <t>https://mgg.stores-apple.com/catalog/smart-chasy-apple-watch-ultra-3-49-mm-natural-titanium-light-blue-alpine-loop-s-5g/</t>
  </si>
  <si>
    <t>Планшет Apple iPad Air (2025, M3) 13" Wi-Fi + Cellular 128 ГБ серый космос</t>
  </si>
  <si>
    <t>Смарт-часы Apple Watch Ultra 3, 49 мм, Natural Titanium Light Blue Alpine Loop L 5G</t>
  </si>
  <si>
    <t>https://mgg.stores-apple.com/catalog/smart-chasy-apple-watch-ultra-3-49-mm-natural-titanium-light-blue-alpine-loop-l-5g/</t>
  </si>
  <si>
    <t>Планшет Apple iPad Air (2025, M3) 13" Wi-Fi + Cellular 128 ГБ фиолетовый</t>
  </si>
  <si>
    <t>Планшет Apple iPad Air (2025, M3) 13" Wi-Fi + Cellular 128 ГБ сияющая звезда</t>
  </si>
  <si>
    <t>Планшет Apple iPad Air (2025, M3) 11" Wi-Fi + Cellular 256 ГБ голубой</t>
  </si>
  <si>
    <t>https://mgg.stores-apple.com/catalog/smart-chasy-apple-watch-ultra-3-49-mm-black-titanium-black-alpine-loop-m-5g/</t>
  </si>
  <si>
    <t>Планшет Apple iPad Air (2025, M3) 11" Wi-Fi + Cellular 256 ГБ сияющая звезда</t>
  </si>
  <si>
    <t>Планшет Apple iPad Air (2025, M3) 11" Wi-Fi + Cellular 256 ГБ фиолетовый</t>
  </si>
  <si>
    <t>Смарт-часы Apple Watch Ultra 2 Satin Black + Cellular, 49 мм, Ocean Band, темно-синий</t>
  </si>
  <si>
    <t>https://mgg.stores-apple.com/catalog/smart_chasy_apple_watch_ultra_2_satin_black_cellular_49_mm_ocean_band_temno_siniy/</t>
  </si>
  <si>
    <t>Планшет Apple iPad Air (2025, M3) 11" Wi-Fi + Cellular 256 ГБ серый космос</t>
  </si>
  <si>
    <t>Планшет Apple iPad Air (2026, М4) 13" Wi-Fi 128 ГБ серый космос</t>
  </si>
  <si>
    <t>Смарт-часы Apple Watch Ultra 2 Satin Black + Cellular , 49 мм, Trail Loop, черный, размер L</t>
  </si>
  <si>
    <t>https://mgg.stores-apple.com/catalog/smart_chasy_apple_watch_ultra_2_satin_black_cellular_49_mm_trail_loop_chernyy_razmer_l/</t>
  </si>
  <si>
    <t>Планшет Apple iPad Air (2026, М4) 13" Wi-Fi 128 ГБ фиолетовый</t>
  </si>
  <si>
    <t>Планшет Apple iPad Air (2026, М4) 13" Wi-Fi 128 ГБ голубой</t>
  </si>
  <si>
    <t>Планшет Apple iPad Air (2026, М4) 13" Wi-Fi 128 ГБ сияющая звезда</t>
  </si>
  <si>
    <t>Смарт-часы Apple Watch Ultra 2 Satin Black + Cellular , 49 мм, Trail Loop, черный, размер S/M</t>
  </si>
  <si>
    <t>https://mgg.stores-apple.com/catalog/smart_chasy_apple_watch_ultra_2_satin_black_cellular_49_mm_trail_loop_chernyy_razmer_s_m/</t>
  </si>
  <si>
    <t>Планшет Apple iPad Air (2025, M3) 13" Wi-Fi 256 ГБ серый космос</t>
  </si>
  <si>
    <t>Смарт-часы Apple Watch Ultra 3, 49 мм, Black Titanium Milanese Loop Black S 5G</t>
  </si>
  <si>
    <t>https://mgg.stores-apple.com/catalog/smart-chasy-apple-watch-ultra-3-49-mm-black-titanium-milanese-loop-black-s-5g/</t>
  </si>
  <si>
    <t>Планшет Apple iPad Air (2026, М4) 13" Wi-Fi 256 ГБ голубой</t>
  </si>
  <si>
    <t>Планшет Apple iPad Air (2026, М4) 13" Wi-Fi 256 ГБ фиолетовый</t>
  </si>
  <si>
    <t>Планшет Apple iPad Air (2026, М4) 13" Wi-Fi + Cellular 128 ГБ голубой</t>
  </si>
  <si>
    <t>Планшет Apple iPad Air (2026, М4) 13" Wi-Fi + Cellular 128 ГБ серый космос</t>
  </si>
  <si>
    <t>Планшет Apple iPad Air (2026, М4) 13" Wi-Fi + Cellular 128 ГБ сияющая звезда</t>
  </si>
  <si>
    <t>Планшет Apple iPad Air (2026, М4) 13" Wi-Fi + Cellular 128 ГБ фиолетовый</t>
  </si>
  <si>
    <t>Смарт-часы Apple Watch Ultra 3, 49 мм, Black Titanium Milanese Loop Black L 5G</t>
  </si>
  <si>
    <t>Планшет Apple iPad Air (2026, М4) 13" Wi-Fi 256 ГБ сияющая звезда</t>
  </si>
  <si>
    <t>https://mgg.stores-apple.com/catalog/smart-chasy-apple-watch-ultra-3-49-mm-black-titanium-milanese-loop-black-l-5g/</t>
  </si>
  <si>
    <t>Планшет Apple iPad Air (2026, М4) 11" Wi-Fi + Cellular 256 ГБ голубой</t>
  </si>
  <si>
    <t>Планшет Apple iPad Air (2026, М4) 11" Wi-Fi + Cellular 256 ГБ фиолетовый</t>
  </si>
  <si>
    <t>Планшет Apple iPad Air (2026, М4) 13" Wi-Fi + Cellular 256 ГБ голубой</t>
  </si>
  <si>
    <t>Планшет Apple iPad Air (2026, М4) 13" Wi-Fi + Cellular 256 ГБ серый космос</t>
  </si>
  <si>
    <t>Планшет Apple iPad Air (2026, М4) 13" Wi-Fi + Cellular 256 ГБ фиолетовый</t>
  </si>
  <si>
    <t>Планшет Apple iPad Air (2026, М4) 11" Wi-Fi + Cellular 256 ГБ серый космос</t>
  </si>
  <si>
    <t>Планшет Apple iPad Air (2026, М4) 11" Wi-Fi + Cellular 256 ГБ сияющая звезда</t>
  </si>
  <si>
    <t>Смарт-часы Apple Watch Ultra 3, 49 мм, Black Titanium Milanese Loop Black M 5G</t>
  </si>
  <si>
    <t>https://mgg.stores-apple.com/catalog/smart-chasy-apple-watch-ultra-3-49-mm-black-titanium-milanese-loop-black-m-5g/</t>
  </si>
  <si>
    <t>Смарт-часы Apple Watch Ultra 3, 49 мм, Natural Titanium Milanese Natural Loop M 5G</t>
  </si>
  <si>
    <t>https://mgg.stores-apple.com/catalog/smart-chasy-apple-watch-ultra-3-49-mm-natural-titanium-milanese-natural-loop-m-5g/</t>
  </si>
  <si>
    <t>Смарт-часы Apple Watch Ultra 3, 49 мм, Natural Titanium Milanese Natural Loop L 5G</t>
  </si>
  <si>
    <t>https://mgg.stores-apple.com/catalog/smart-chasy-apple-watch-ultra-3-49-mm-natural-titanium-milanese-natural-loop-l-5g/</t>
  </si>
  <si>
    <t>Смарт-часы Apple Watch Ultra 3, 49 мм, Natural Titanium Milanese Natural Loop S 5G</t>
  </si>
  <si>
    <t>https://mgg.stores-apple.com/catalog/smart-chasy-apple-watch-ultra-3-49-mm-natural-titanium-milanese-natural-loop-s-5g/</t>
  </si>
  <si>
    <t>Смарт-часы Apple Watch Series 12, Black</t>
  </si>
  <si>
    <t>https://mgg.stores-apple.com/catalog/smart_chasy_apple_watch_series_12_black/</t>
  </si>
  <si>
    <t>Смарт-часы Apple Watch Series 12, Light Gold</t>
  </si>
  <si>
    <t>https://mgg.stores-apple.com/catalog/smart_chasy_apple_watch_series_12_light_gold/</t>
  </si>
  <si>
    <t>Смарт-часы Apple Watch Series 12, Dark Bronze</t>
  </si>
  <si>
    <t>https://mgg.stores-apple.com/catalog/smart_chasy_apple_watch_series_12_dark_bronze/</t>
  </si>
  <si>
    <t>Смарт-часы Apple Watch Ultra 4, Natural Titanium</t>
  </si>
  <si>
    <t>https://mgg.stores-apple.com/catalog/smart_chasy_apple_watch_ultra_4_natural_titanium__1/</t>
  </si>
  <si>
    <t>https://mgg.stores-apple.com/catalog/smart_chasy_apple_watch_ultra_4_natural_titanium_/</t>
  </si>
  <si>
    <t>ЧАСЫ SAMSUNG</t>
  </si>
  <si>
    <t>Смарт-часы Samsung Galaxy Watch FE 40 мм Черный</t>
  </si>
  <si>
    <t>https://mgg.stores-apple.com/catalog/smart-chasy-samsung-galaxy-watch-fe-40mm-chernyy/</t>
  </si>
  <si>
    <t>Смарт-часы Samsung Galaxy Watch 8 LTE 40 мм графит</t>
  </si>
  <si>
    <t>https://mgg.stores-apple.com/catalog/smart-chasy-samsung-galaxy-watch-8-lte-40-mm-grafit/</t>
  </si>
  <si>
    <t>Смарт-часы Samsung Galaxy Watch 8 LTE 40 мм серебрянный</t>
  </si>
  <si>
    <t>Планшет Apple iPad Air (2025, M3) 13" Wi-Fi + Cellular 256 ГБ голубой</t>
  </si>
  <si>
    <t>https://mgg.stores-apple.com/catalog/smart-chasy-samsung-galaxy-watch-8-lte-40-mm-serebryannyi/</t>
  </si>
  <si>
    <t>Планшет Apple iPad Air (2025, M3) 13" Wi-Fi + Cellular 256 ГБ серый космос</t>
  </si>
  <si>
    <t>Смарт-часы Samsung Galaxy Watch 8 Classic LTE 46 мм белый</t>
  </si>
  <si>
    <t>https://mgg.stores-apple.com/catalog/smart-chasy-samsung-galaxy-watch-8-classic-lte-46-mm-belyi/</t>
  </si>
  <si>
    <t>Планшет Apple iPad Air (2025, M3) 13" Wi-Fi + Cellular 256 ГБ сияющая звезда</t>
  </si>
  <si>
    <t>Смарт-часы Samsung Galaxy Watch 8 LTE 44 мм графит</t>
  </si>
  <si>
    <t>Планшет Apple iPad Air (2025, M3) 13" Wi-Fi + Cellular 256 ГБ фиолетовый</t>
  </si>
  <si>
    <t>https://mgg.stores-apple.com/catalog/smart-chasy-samsung-galaxy-watch-8-lte-44-mm-grafit/</t>
  </si>
  <si>
    <t>Смарт-часы Samsung Galaxy Watch 8 LTE 44 мм серебрянный</t>
  </si>
  <si>
    <t>https://mgg.stores-apple.com/catalog/smart-chasy-samsung-galaxy-watch-8-lte-44-mm-serebryannyi/</t>
  </si>
  <si>
    <t>Смарт-часы Samsung Galaxy Watch 8 Classic LTE 46 мм черный</t>
  </si>
  <si>
    <t>https://mgg.stores-apple.com/catalog/smart-chasy-samsung-galaxy-watch-8-classic-lte-46-mm-chernyi/</t>
  </si>
  <si>
    <t>Смарт-часы Samsung Galaxy Watch Ultra 47 мм LTE черный</t>
  </si>
  <si>
    <t>https://mgg.stores-apple.com/catalog/smart-chasy-samsung-galaxy-watch-ultra-47mm-lte-chernyi/</t>
  </si>
  <si>
    <t>Смарт-часы Samsung Galaxy Watch Ultra (2025) 47 мм LTE, Titanium Blue | Синий титан</t>
  </si>
  <si>
    <t>https://mgg.stores-apple.com/catalog/smart_chasy_samsung_galaxy_watch_ultra_2025_47_mm_lte_titanium_blue_siniy_titan/</t>
  </si>
  <si>
    <t>Смарт-часы Samsung Galaxy Watch Ultra 47 мм LTE белый</t>
  </si>
  <si>
    <t>https://mgg.stores-apple.com/catalog/smart-chasy-samsung-galaxy-watch-ultra-47mm-lte-belyy/</t>
  </si>
  <si>
    <t>Смарт-часы Samsung Galaxy Watch Ultra 47 мм LTE синий</t>
  </si>
  <si>
    <t>https://mgg.stores-apple.com/catalog/smart-chasy-samsung-galaxy-watch-ultra-47mm-lte-sinii/</t>
  </si>
  <si>
    <t>Смарт-часы Samsung Galaxy Watch Ultra 2025 LTE 47 мм синий</t>
  </si>
  <si>
    <t>https://mgg.stores-apple.com/catalog/smart-chasy-samsung-galaxy-watch-ultra-2025-lte-47mm-sinii/</t>
  </si>
  <si>
    <t>Смарт-часы Samsung Galaxy Watch Ultra 47 мм LTE серый</t>
  </si>
  <si>
    <t>https://mgg.stores-apple.com/catalog/smart-chasy-samsung-galaxy-watch-ultra-47mm-lte-seryy/</t>
  </si>
  <si>
    <t>WHOOP</t>
  </si>
  <si>
    <t>Фитнес-браслет WHOOP One (5.0) 1</t>
  </si>
  <si>
    <t>https://mgg.stores-apple.com/catalog/fitnes-braslet-whoop-one-5-0/</t>
  </si>
  <si>
    <t>Фитнес-браслет WHOOP Peak (5.0) 1</t>
  </si>
  <si>
    <t>https://mgg.stores-apple.com/catalog/fitnes-braslet-whoop-peak-5-0/</t>
  </si>
  <si>
    <t>Фитнес-браслет WHOOP Life (MG) 1</t>
  </si>
  <si>
    <t>https://mgg.stores-apple.com/catalog/fitnes-braslet-whoop-life-mg/</t>
  </si>
  <si>
    <t>Фитнесс браслеты</t>
  </si>
  <si>
    <t>Фитнес-трекер Google Fitbit Air Obsidan Black | Обсидианово-черный</t>
  </si>
  <si>
    <t>https://mgg.stores-apple.com/catalog/fitnes_treker_google_fitbit_air_obsidan_black_obsidianovo_chernyy/</t>
  </si>
  <si>
    <t>Фитнес-трекер Google Fitbit Air Berry Pink | Ягодный розовый</t>
  </si>
  <si>
    <t>https://mgg.stores-apple.com/catalog/fitnes_treker_google_fitbit_air_berry_pink_yagodnyy_rozovyy/</t>
  </si>
  <si>
    <t>Фитнес-трекер Google Fitbit Air Lavender Blue | Лавандово-голубой</t>
  </si>
  <si>
    <t>https://mgg.stores-apple.com/catalog/fitnes_treker_google_fitbit_air_lavender_blue_lavandovo_goluboy/</t>
  </si>
  <si>
    <t>Спортивные часы Garmin FORERUNNER 70 Citron | лимонный</t>
  </si>
  <si>
    <t>https://mgg.stores-apple.com/catalog/sportivnye_chasy_garmin_forerunner_70_citron_limonnyy/</t>
  </si>
  <si>
    <t>Спортивные часы Garmin VIVOACTIVE 6 Green | зеленый (010-02985-42)</t>
  </si>
  <si>
    <t>https://mgg.stores-apple.com/catalog/sportivnye_chasy_garmin_vivoactive_6_green_zelenyy_010_02985_42/</t>
  </si>
  <si>
    <t>Спортивные часы Garmin VIVOACTIVE 6 Gold | золотой (010-02985-41)</t>
  </si>
  <si>
    <t>https://mgg.stores-apple.com/catalog/sportivnye_chasy_garmin_vivoactive_6_gold_zolotoy_010_02985_41/</t>
  </si>
  <si>
    <t>Спортивные часы Garmin VIVOACTIVE 6 Pink | розовый (010-02985-43)</t>
  </si>
  <si>
    <t>https://mgg.stores-apple.com/catalog/sportivnye_chasy_garmin_vivoactive_6_pink_rozovyy_010_02985_43/</t>
  </si>
  <si>
    <t>Спортивные часы Garmin VIVOACTIVE 6 Black | черный (010-02985-00)</t>
  </si>
  <si>
    <t>https://mgg.stores-apple.com/catalog/sportivnye_chasy_garmin_vivoactive_6_black_chernyy_010_02985_00/</t>
  </si>
  <si>
    <t>Планшет Apple iPad Air (2026, М4) 11" Wi-Fi 256 ГБ серый космос</t>
  </si>
  <si>
    <t>Спортивные часы Garmin FORERUNNER 170 Music Teal Green with Teal Green/Citron Band | зелено-лимонный</t>
  </si>
  <si>
    <t>https://mgg.stores-apple.com/catalog/sportivnye_chasy_garmin_forerunner_170_music_teal_green_with_teal_green_citron_band_zeleno_limonnyy/</t>
  </si>
  <si>
    <t>iPad</t>
  </si>
  <si>
    <t>Планшет Apple iPad 11" (A16) 2025 Wi‑Fi 128 ГБ голубой</t>
  </si>
  <si>
    <t>Планшет Apple iPad 11" (A16) 2025 Wi‑Fi 128 ГБ розовый</t>
  </si>
  <si>
    <t>Планшет Apple iPad 11" (A16) 2025 Wi‑Fi 128 ГБ серебристый</t>
  </si>
  <si>
    <t>Спортивные часы Garmin FORERUNNER 170 Music Music Red Pink with Red Pink/Mango Band | красно-розовый</t>
  </si>
  <si>
    <t>https://mgg.stores-apple.com/catalog/sportivnye_chasy_garmin_forerunner_170_music_music_red_pink_with_red_pink_mango_band_krasno_rozovyy/</t>
  </si>
  <si>
    <t>Планшет Apple iPad 11" (A16) 2025 Wi‑Fi 256 ГБ голубой</t>
  </si>
  <si>
    <t>Планшет Apple iPad 11" (A16) 2025 Wi‑Fi 256 ГБ серебристый</t>
  </si>
  <si>
    <t>Спортивные часы Garmin FORERUNNER 170 Music Black with Black/Amp Yellow Band | черно-желтый</t>
  </si>
  <si>
    <t>https://mgg.stores-apple.com/catalog/sportivnye_chasy_garmin_forerunner_170_music_black_with_black_amp_yellow_band_cherno_zheltyy_/</t>
  </si>
  <si>
    <t>Планшет Apple iPad 11" (A16) 2025 Wi‑Fi 128 ГБ желтый</t>
  </si>
  <si>
    <t>Планшет Apple iPad 11" (A16) 2025 Wi‑Fi + Cellular 128 ГБ голубой</t>
  </si>
  <si>
    <t>Спортивные часы Garmin FORERUNNER 170 Whitestone with Whitestone/Cloud Blue Band | бело-голубой</t>
  </si>
  <si>
    <t>https://mgg.stores-apple.com/catalog/sportivnye_chasy_garmin_forerunner_170_whitestone_with_whitestone_cloud_blue_band_belo_goluboy/</t>
  </si>
  <si>
    <t>Планшет Apple iPad 11" (A16) 2025 Wi‑Fi + Cellular 128 ГБ желтый</t>
  </si>
  <si>
    <t>Планшет Apple iPad 11" (A16) 2025 Wi‑Fi + Cellular 128 ГБ розовый</t>
  </si>
  <si>
    <t>Спортивные часы Garmin FORERUNNER 170 Black with Black/Amp Yellow Band | черно-желтый</t>
  </si>
  <si>
    <t>Планшет Apple iPad 11" (A16) 2025 Wi‑Fi + Cellular 128 ГБ серебристый</t>
  </si>
  <si>
    <t>https://mgg.stores-apple.com/catalog/sportivnye_chasy_garmin_forerunner_170_black_with_black_amp_yellow_band_cherno_zheltyy_/</t>
  </si>
  <si>
    <t>Планшет Apple iPad 11" (A16) 2025 Wi‑Fi 256 ГБ желтый</t>
  </si>
  <si>
    <t>Планшет Apple iPad 11" (A16) 2025 Wi‑Fi 256 ГБ розовый</t>
  </si>
  <si>
    <t>Ремешок стальной uBear Spark для Apple Watch M/L 42/44/45/49 (серебро)</t>
  </si>
  <si>
    <t>https://mgg.stores-apple.com/catalog/remeshok_stalnoy_ubear_spark_dlya_apple_watch_m_l_42_44_45_49_serebro/</t>
  </si>
  <si>
    <t>Планшет Apple iPad 11" (A16) 2025 Wi‑Fi + Cellular 256 ГБ голубой</t>
  </si>
  <si>
    <t>Планшет Apple iPad 11" (A16) 2025 Wi‑Fi + Cellular 256 ГБ желтый</t>
  </si>
  <si>
    <t>Ремешок стальной uBear Spark для Apple Watch S/M 38/40/41 (серебро)</t>
  </si>
  <si>
    <t>https://mgg.stores-apple.com/catalog/remeshok_stalnoy_ubear_spark_dlya_apple_watch_s_m_38_40_41_serebro/</t>
  </si>
  <si>
    <t>Планшет Apple iPad 11" (A16) 2025 Wi‑Fi + Cellular 256 ГБ розовый</t>
  </si>
  <si>
    <t>Планшет Apple iPad 11" (A16) 2025 Wi‑Fi + Cellular 256 ГБ серебристый</t>
  </si>
  <si>
    <t>MACBOOK</t>
  </si>
  <si>
    <t>Планшет Apple iPad 11" (A16) 2025 Wi‑Fi 512 ГБ голубой</t>
  </si>
  <si>
    <t>https://mgg.stores-apple.com/catalog/noutbuk-apple-macbook-pro-14-m4-2024-10-core-gpu-16-gb-512-gb-serebristyj-mw2w3/</t>
  </si>
  <si>
    <t>Планшет Apple iPad 11" (A16) 2025 Wi‑Fi 512 ГБ серебристый</t>
  </si>
  <si>
    <t>Планшет Apple iPad 11" (A16) 2025 Wi‑Fi 512 ГБ желтый</t>
  </si>
  <si>
    <t>https://mgg.stores-apple.com/catalog/noutbuk-apple-macbook-pro-14-m4-2024-10-core-gpu-16-gb-512-gb-chernyj-kosmos-mw2u3/</t>
  </si>
  <si>
    <t>Планшет Apple iPad 11" (A16) 2025 Wi‑Fi 512 ГБ розовый</t>
  </si>
  <si>
    <t>Планшет Apple iPad 11" (A16) 2025 Wi‑Fi + Cellular 512 ГБ серебристый</t>
  </si>
  <si>
    <t>Ноутбук Apple MacBook Pro 14" (M4, 2024) 10 Core GPU, 16 ГБ, 1024 ГБ, серебристый, MW2X3</t>
  </si>
  <si>
    <t>https://mgg.stores-apple.com/catalog/noutbuk-apple-macbook-pro-14-m4-2024-10-core-gpu-16-gb-1024-gb-serebristyy-mw2x3/</t>
  </si>
  <si>
    <t>Планшет Apple iPad 11" (A16) 2025 Wi‑Fi + Cellular 512 ГБ желтый</t>
  </si>
  <si>
    <t>Планшет Apple iPad 11" (A16) 2025 Wi‑Fi + Cellular 512 ГБ голубой</t>
  </si>
  <si>
    <t>Ноутбук Apple MacBook Pro 14" (M4, 2024) 10 Core GPU, 16 ГБ, 1024 ГБ, черный космос, MW2V3</t>
  </si>
  <si>
    <t>https://mgg.stores-apple.com/catalog/noutbuk-apple-macbook-pro-14-m4-2024-10-core-gpu-16-gb-1024-gb-chernyj-kosmos-mw2v3/</t>
  </si>
  <si>
    <t>Планшет Apple iPad 11" (A16) 2025 Wi‑Fi + Cellular 512 ГБ розовый</t>
  </si>
  <si>
    <t>iPad mini</t>
  </si>
  <si>
    <t>Ноутбук Apple MacBook Pro 14" (M5, 2025) 10 Core GPU, 16 ГБ, 512 ГБ, серебристый, MDE44</t>
  </si>
  <si>
    <t>https://mgg.stores-apple.com/catalog/noutbuk-apple-macbook-pro-14-m5-2025-10-core-gpu-16-gb-512-gb-serebristyi-mde44/</t>
  </si>
  <si>
    <t>Ноутбук Apple MacBook Pro 14" (M5, 2025) 10 Core GPU, 16 ГБ, 512 ГБ, черный космос, MDE04</t>
  </si>
  <si>
    <t>https://mgg.stores-apple.com/catalog/noutbuk-apple-macbook-pro-14-m5-2025-10-core-gpu-16-gb-512-gb-chernyi-mde04/</t>
  </si>
  <si>
    <t>Ноутбук Apple MacBook Pro 14" (M5, 2025) 10 Core GPU, 16 ГБ, 1024 ГБ, серебристый, MDE54</t>
  </si>
  <si>
    <t>https://mgg.stores-apple.com/catalog/noutbuk-apple-macbook-pro-14-m5-2025-10-core-gpu-16-gb-1000-gb-serebristyi-mde54/</t>
  </si>
  <si>
    <t>Ноутбук Apple MacBook Pro 14" (M5, 2025) 10 Core GPU, 16 ГБ, 1024 ГБ, черный космос, MDE14</t>
  </si>
  <si>
    <t>https://mgg.stores-apple.com/catalog/noutbuk-apple-macbook-pro-14-m5-2025-10-core-gpu-16-gb-1000-gb-chernyi-mde14/</t>
  </si>
  <si>
    <t>Ноутбук Apple MacBook Pro 14" (M4 Pro, 2024) 16 Core GPU, 24 ГБ, 512 ГБ, серебристый, MX2E3</t>
  </si>
  <si>
    <t>https://mgg.stores-apple.com/catalog/noutbuk-apple-macbook-pro-14-m4-pro-2024-16-core-gpu-24-gb-512-gb-serebristyy-mx2e3/</t>
  </si>
  <si>
    <t>Ноутбук Apple MacBook Pro 14" (M5, 2025) 10 Core GPU, 24 ГБ, 1024 ГБ, черный космос, MDE34</t>
  </si>
  <si>
    <t>https://mgg.stores-apple.com/catalog/noutbuk-apple-macbook-pro-14-m5-2025-10-core-gpu-24-gb-1000-gb-chernyi-mde34/</t>
  </si>
  <si>
    <t>Ноутбук Apple MacBook Pro 14" (M5, 2025) 10 Core GPU, 24 ГБ, 1024 ГБ, серебристый, MDE64</t>
  </si>
  <si>
    <t>https://mgg.stores-apple.com/catalog/noutbuk-apple-macbook-pro-14-m5-2025-10-core-gpu-24-gb-1024-gb-serebristyi-mde64/</t>
  </si>
  <si>
    <t>Ноутбук Apple MacBook Pro 14" (M4, 2024) 10 Core GPU, 24 ГБ, 1024 ГБ, черный космос, MCX04</t>
  </si>
  <si>
    <t>https://mgg.stores-apple.com/catalog/noutbuk-apple-macbook-pro-14-m4-2024-10-core-gpu-24-gb-1024-gb-chernyj-kosmos-mcx04/</t>
  </si>
  <si>
    <t>Ноутбук Apple MacBook Pro 14" (M4 Pro, 2024) 16 Core GPU, 24 ГБ, 512 ГБ, черный космос, MX2H3</t>
  </si>
  <si>
    <t>https://mgg.stores-apple.com/catalog/noutbuk-apple-macbook-pro-14-m4-pro-2024-16-core-gpu-24-gb-512-gb-chernyj-kosmos-mx2h3/</t>
  </si>
  <si>
    <t>https://mgg.stores-apple.com/catalog/noutbuk-apple-macbook-pro-14-m4-2024-10-core-gpu-24-gb-1024-gb-serebristyj-mcx14/</t>
  </si>
  <si>
    <t>https://mgg.stores-apple.com/catalog/noutbuk-apple-macbook-pro-16-m4-pro-2024-20-core-gpu-24-gb-512-gb-chernyy-kosmos-mx2x3/</t>
  </si>
  <si>
    <t>https://mgg.stores-apple.com/catalog/noutbuk-apple-macbook-pro-16-m4-pro-2024-20-core-gpu-24-gb-512-gb-serebristyy-mx2t3/</t>
  </si>
  <si>
    <t>Ноутбук Apple MacBook Pro 14" (M4 Pro, 2024) 20 Core GPU, 24 ГБ, 1024 ГБ, серебристый, MX2F3</t>
  </si>
  <si>
    <t>https://mgg.stores-apple.com/catalog/noutbuk-apple-macbook-pro-14-m4-pro-2024-20-core-gpu-24-gb-1024-gb-serebristyy-mx2f3/</t>
  </si>
  <si>
    <t>Ноутбук Apple MacBook Pro 14" (M4 Pro, 2024) 20 Core GPU, 24 ГБ, 1024 ГБ, черный космос, MX2J3</t>
  </si>
  <si>
    <t>https://mgg.stores-apple.com/catalog/noutbuk-apple-macbook-pro-14-m4-pro-2024-20-core-gpu-24-gb-1024-gb-chernyy-kosmos-mx2j3/</t>
  </si>
  <si>
    <t>Ноутбук Apple MacBook Pro 16" (M4 Pro, 2024) 20 Core GPU, 48 ГБ, 512 ГБ, черный космос, MX2Y3</t>
  </si>
  <si>
    <t>https://mgg.stores-apple.com/catalog/noutbuk-apple-macbook-pro-16-m4-pro-2024-20-core-gpu-48-gb-512-gb-chernyy-kosmos-mx2y3/</t>
  </si>
  <si>
    <t>https://mgg.stores-apple.com/catalog/noutbuk-apple-macbook-pro-16-m4-max-2024-32-core-gpu-36-gb-1024-gb-chernyy-kosmos-mx303/</t>
  </si>
  <si>
    <t>Ноутбук Apple MacBook Pro 16" (M4 Pro, 2024) 20 Core GPU, 48 ГБ, 512 ГБ, серебристый, MX2U3</t>
  </si>
  <si>
    <t>https://mgg.stores-apple.com/catalog/noutbuk-apple-macbook-pro-16-m4-pro-2024-20-core-gpu-48-gb-512-gb-serebristyy-mx2u3/</t>
  </si>
  <si>
    <t>Планшеты Samsung</t>
  </si>
  <si>
    <t>https://mgg.stores-apple.com/catalog/noutbuk-apple-macbook-pro-16-m4-max-2024-32-core-gpu-36-gb-1024-gb-serebristyy-mx2v3/</t>
  </si>
  <si>
    <t>Ноутбук Apple MacBook Pro 14" (M4 Max, 2024) 32 Core GPU, 36 ГБ, 1024 ГБ, черный космос, MX2K3</t>
  </si>
  <si>
    <t>https://mgg.stores-apple.com/catalog/noutbuk-apple-macbook-pro-14-m4-max-2024-32-core-gpu-36-gb-1024-gb-chernyy-kosmos-mx2k3/</t>
  </si>
  <si>
    <t>Ноутбук Apple MacBook Pro 14" (M4 Max, 2024) 32 Core GPU, 36 ГБ, 1024 ГБ, серебристый, MX2G3</t>
  </si>
  <si>
    <t>https://mgg.stores-apple.com/catalog/noutbuk-apple-macbook-pro-14-m4-max-2024-32-core-gpu-36-gb-1024-gb-serebristyy-mx2g3/</t>
  </si>
  <si>
    <t>Ноутбук Apple MacBook Pro 16" (M4 Max, 2024) 40 Core GPU, 48 ГБ, 1024 ГБ, серебристый, MX2W3</t>
  </si>
  <si>
    <t>https://mgg.stores-apple.com/catalog/noutbuk-apple-macbook-pro-16-m4-max-2024-40-core-gpu-48-gb-1024-gb-serebristyy-mx2w3/</t>
  </si>
  <si>
    <t>Ноутбук Apple MacBook Pro 16"  (M5 Max, 18C CPU, 32C GPU, 2026) , 36/2048 ГБ, черный космос, MGED4</t>
  </si>
  <si>
    <t>https://mgg.stores-apple.com/catalog/noutbuk_apple_macbook_pro_16_m5_max_18c_cpu_32c_gpu_2026_36_2048_gb_chernyy_kosmos_mge74/</t>
  </si>
  <si>
    <t>Ноутбук Apple MacBook Pro 16" (M4 Max, 2024) 40 Core GPU, 48 ГБ, 1024 ГБ, черный космос, MX313</t>
  </si>
  <si>
    <t>https://mgg.stores-apple.com/catalog/noutbuk-apple-macbook-pro-16-m4-max-2024-40-core-gpu-48-gb-1024-gb-chernyy-kosmos-mx313/</t>
  </si>
  <si>
    <t>Ноутбук Apple MacBook Pro 16"  (M5 Max, 18C CPU, 40C GPU, 2026) , 48/2048 ГБ, черный космос, MDE94</t>
  </si>
  <si>
    <t>https://mgg.stores-apple.com/catalog/noutbuk_apple_macbook_pro_16_m5_max_18c_cpu_40c_gpu_2026_48_2048_gb_chernyy_kosmos_mde94/</t>
  </si>
  <si>
    <t>Моноблок Apple iMac 24" (M4, 2024), 2 порта, 8C CPU/8C GPU, 16 ГБ, 256 ГБ SSD, желтый, MWUD3</t>
  </si>
  <si>
    <t>https://mgg.stores-apple.com/catalog/monoblok-apple-imac-24-m4-2024-2-porta-8c-cpu-8c-gpu-16-gb-256-gb-ssd-zheltyy-mwud3/</t>
  </si>
  <si>
    <t>Моноблок Apple iMac 24" (M4, 2024), 2 порта, 8C CPU/8C GPU, 16 ГБ, 256 ГБ SSD, серебристый, MWUC3</t>
  </si>
  <si>
    <t>https://mgg.stores-apple.com/catalog/monoblok-apple-imac-24-m4-2024-2-porta-8c-cpu-8c-gpu-16-gb-256-gb-ssd-serebristyy-mwuc3/</t>
  </si>
  <si>
    <t>Моноблок Apple iMac 24" (M4, 2024), 2 порта, 8C CPU/8C GPU, 16 ГБ, 256 ГБ SSD, голубой, MWUF3</t>
  </si>
  <si>
    <t>https://mgg.stores-apple.com/catalog/monoblok-apple-imac-24-m4-2024-2-porta-8c-cpu-8c-gpu-16-gb-256-gb-ssd-goluboy-mwuf3/</t>
  </si>
  <si>
    <t>Моноблок Apple iMac 24" (M4, 2024), 2 порта, 8C CPU/8C GPU, 16 ГБ, 256 ГБ SSD, оранжевый, MWUJ3</t>
  </si>
  <si>
    <t>https://mgg.stores-apple.com/catalog/monoblok-apple-imac-24-m4-2024-2-porta-8c-cpu-8c-gpu-16-gb-256-gb-ssd-oranzhevyy-mwuj3/</t>
  </si>
  <si>
    <t>Моноблок Apple iMac 24" (M4, 2024), 2 порта, 8C CPU/8C GPU, 16 ГБ, 256 ГБ SSD, фиолетовый, MWUH3</t>
  </si>
  <si>
    <t>https://mgg.stores-apple.com/catalog/monoblok-apple-imac-24-m4-2024-2-porta-8c-cpu-8c-gpu-16-gb-256-gb-ssd-fioletovyy-mwuh3/</t>
  </si>
  <si>
    <t>Моноблок Apple iMac 24" (M4, 2024), 2 порта, 8C CPU/8C GPU, 16 ГБ, 256 ГБ SSD, розовый, MWUG3</t>
  </si>
  <si>
    <t>https://mgg.stores-apple.com/catalog/monoblok-apple-imac-24-m4-2024-2-porta-8c-cpu-8c-gpu-16-gb-256-gb-ssd-rozovyy-mwug3/</t>
  </si>
  <si>
    <t>Моноблок Apple iMac 24" (M4, 2024), 2 порта, 8C CPU/8C GPU, 16 ГБ, 256 ГБ SSD, зеленый, MWUE3</t>
  </si>
  <si>
    <t>https://mgg.stores-apple.com/catalog/monoblok-apple-imac-24-m4-2024-2-porta-8c-cpu-8c-gpu-16-gb-256-gb-ssd-zelenyy-mwue3/</t>
  </si>
  <si>
    <t>Моноблок Apple iMac 24" (M4, 2024), 4 порта, 10C CPU/10C GPU, 16 ГБ, 256 ГБ SSD, зеленый, MWUY3</t>
  </si>
  <si>
    <t>https://mgg.stores-apple.com/catalog/monoblok-apple-imac-24-m4-2024-4-porta-10c-cpu-10c-gpu-16-gb-256-gb-ssd-zelyonyy-mwuy3/</t>
  </si>
  <si>
    <t>Моноблок Apple iMac 24" (M4, 2024), 4 порта, 10C CPU/10C GPU, 16 ГБ, 256 ГБ SSD, серебристый, MWUU3</t>
  </si>
  <si>
    <t>https://mgg.stores-apple.com/catalog/monoblok-apple-imac-24-m4-2024-4-porta-10c-cpu-10c-gpu-16-gb-256-gb-ssd-serebristyy-mwuu3/</t>
  </si>
  <si>
    <t>Моноблок Apple iMac 24" (M4, 2024), 4 порта, 10C CPU/10C GPU, 16 ГБ, 256 ГБ SSD, голубой, MWV13</t>
  </si>
  <si>
    <t>https://mgg.stores-apple.com/catalog/monoblok-apple-imac-24-m4-2024-4-porta-10c-cpu-10c-gpu-16-gb-256-gb-ssd-goluboy-mwv13/</t>
  </si>
  <si>
    <t>Моноблок Apple iMac 24" (M4, 2024), 4 порта, 10C CPU/10C GPU, 16 ГБ, 256 ГБ SSD, оранжевый, MWV83</t>
  </si>
  <si>
    <t>https://mgg.stores-apple.com/catalog/monoblok-apple-imac-24-m4-2024-4-porta-10c-cpu-10c-gpu-16-gb-256-gb-ssd-oranzhevyy-mwv83/</t>
  </si>
  <si>
    <t>Моноблок Apple iMac 24" (M4, 2024), 4 порта, 10C CPU/10C GPU, 16 ГБ, 256 ГБ SSD, желтый, MWUW3</t>
  </si>
  <si>
    <t>https://mgg.stores-apple.com/catalog/monoblok-apple-imac-24-m4-2024-4-porta-10c-cpu-10c-gpu-16-gb-256-gb-ssd-zheltyy-mwuw3/</t>
  </si>
  <si>
    <t>Моноблок Apple iMac 24" (M4, 2024), 4 порта, 10C CPU/10C GPU, 16 ГБ, 256 ГБ SSD, розовый, MWV43</t>
  </si>
  <si>
    <t>https://mgg.stores-apple.com/catalog/monoblok-apple-imac-24-m4-2024-4-porta-10c-cpu-10c-gpu-16-gb-256-gb-ssd-rozovyy-mwv43/</t>
  </si>
  <si>
    <t>Планшеты Xiaomi</t>
  </si>
  <si>
    <t>Моноблок Apple iMac 24" (M4, 2024), 4 порта, 10C CPU/10C GPU, 16 ГБ, 256 ГБ SSD, фиолетовый, MWV63</t>
  </si>
  <si>
    <t>https://mgg.stores-apple.com/catalog/monoblok-apple-imac-24-m4-2024-4-porta-10c-cpu-10c-gpu-16-gb-256-gb-ssd-fioletovyy-mwv63/</t>
  </si>
  <si>
    <t>Моноблок Apple iMac 24" (M4, 2024), 4 порта, 10C CPU/10C GPU, 16 ГБ, 512 ГБ SSD, розовый, MWV53</t>
  </si>
  <si>
    <t>https://mgg.stores-apple.com/catalog/monoblok-apple-imac-24-m4-2024-4-porta-10c-cpu-10c-gpu-16-gb-512-gb-ssd-rozovyy-mwv53/</t>
  </si>
  <si>
    <t>Моноблок Apple iMac 24" (M4, 2024), 4 порта, 10C CPU/10C GPU, 16 ГБ, 512 ГБ SSD, фиолетовый, MWV73</t>
  </si>
  <si>
    <t>https://mgg.stores-apple.com/catalog/monoblok-apple-imac-24-m4-2024-4-porta-10c-cpu-10c-gpu-16-gb-512-gb-ssd-fioletovyy-mwv73/</t>
  </si>
  <si>
    <t>Моноблок Apple iMac 24" (M4, 2024), 4 порта, 10C CPU/10C GPU, 16 ГБ, 512 ГБ SSD, желтый, MWUX3</t>
  </si>
  <si>
    <t>https://mgg.stores-apple.com/catalog/monoblok-apple-imac-24-m4-2024-4-porta-10c-cpu-10c-gpu-16-gb-512-gb-ssd-zheltyy-mwux3/</t>
  </si>
  <si>
    <t>Моноблок Apple iMac 24" (M4, 2024), 4 порта, 10C CPU/10C GPU, 16 ГБ, 512 ГБ SSD, голубой, MWV33</t>
  </si>
  <si>
    <t>https://mgg.stores-apple.com/catalog/monoblok-apple-imac-24-m4-2024-4-porta-10c-cpu-10c-gpu-16-gb-512-gb-ssd-goluboy-mwv33/</t>
  </si>
  <si>
    <t>Моноблок Apple iMac 24" (M4, 2024), 4 порта, 10C CPU/10C GPU, 16 ГБ, 512 ГБ SSD, оранжевый, MWV93</t>
  </si>
  <si>
    <t>https://mgg.stores-apple.com/catalog/monoblok-apple-imac-24-m4-2024-4-porta-10c-cpu-10c-gpu-16-gb-512-gb-ssd-oranzhevyy-mwv93/</t>
  </si>
  <si>
    <t>Моноблок Apple iMac 24" (M4, 2024), 4 порта, 10C CPU/10C GPU, 16 ГБ, 512 ГБ SSD, зеленый, MWV03</t>
  </si>
  <si>
    <t>https://mgg.stores-apple.com/catalog/monoblok-apple-imac-24-m4-2024-4-porta-10c-cpu-10c-gpu-16-gb-512-gb-ssd-zelenyy-mwv03/</t>
  </si>
  <si>
    <t>Моноблок Apple iMac 24" (M4, 2024), 4 порта, 10C CPU/10C GPU, 16 ГБ, 512 ГБ SSD, серебристый, MWUV3</t>
  </si>
  <si>
    <t>https://mgg.stores-apple.com/catalog/monoblok-apple-imac-24-m4-2024-4-porta-10c-cpu-10c-gpu-16-gb-512-gb-ssd-serebristyy-mwuv3/</t>
  </si>
  <si>
    <t>Моноблок Apple iMac 24" (M4, 2024), 4 порта, 10C CPU/10C GPU, 24 ГБ, 512 ГБ SSD, зеленый, MD2Q4</t>
  </si>
  <si>
    <t>https://mgg.stores-apple.com/catalog/monoblok-apple-imac-24-m4-2024-4-porta-10c-cpu-10c-gpu-24-gb-512-gb-ssd-zelenyj-md2q4/</t>
  </si>
  <si>
    <t>Моноблок Apple iMac 24" (M4, 2024), 4 порта, 10C CPU/10C GPU, 24 ГБ, 512 ГБ SSD, фиолетовый</t>
  </si>
  <si>
    <t>https://mgg.stores-apple.com/catalog/monoblok-apple-imac-24-m4-2024-4-porta-10c-cpu-10c-gpu-24-gb-512-gb-ssd-fiioletovyj/</t>
  </si>
  <si>
    <t>Моноблок Apple iMac 24" (M4, 2024), 4 порта, 10C CPU/10C GPU, 24 ГБ, 512 ГБ SSD, желтый</t>
  </si>
  <si>
    <t>https://mgg.stores-apple.com/catalog/monoblok-apple-imac-24-m4-2024-4-porta-10c-cpu-10c-gpu-24-gb-512-gb-ssd-zheltyj/</t>
  </si>
  <si>
    <t>Моноблок Apple iMac 24" (M4, 2024), 4 порта, 10C CPU/10C GPU, 24 ГБ, 512 ГБ SSD, голубой, MD2T4</t>
  </si>
  <si>
    <t>https://mgg.stores-apple.com/catalog/monoblok-apple-imac-24-m4-2024-4-porta-10c-cpu-10c-gpu-24-gb-512-gb-ssd-goluboy-md2t4/</t>
  </si>
  <si>
    <t>Аксессуары</t>
  </si>
  <si>
    <t>Стилус Apple Pencil (USB-C) 1</t>
  </si>
  <si>
    <t>Моноблок Apple iMac 24" (M4, 2024), 4 порта, 10C CPU/10C GPU, 24 ГБ, 512 ГБ SSD, оранжевый</t>
  </si>
  <si>
    <t>https://mgg.stores-apple.com/catalog/monoblok-apple-imac-24-m4-2024-4-porta-10c-cpu-10c-gpu-24-gb-512-gb-ssd-oranzhevyj/</t>
  </si>
  <si>
    <t>Стилус Apple Pencil Pro 1</t>
  </si>
  <si>
    <t>Моноблок Apple iMac 24" (M4, 2024), 4 порта, 10C CPU/10C GPU, 24 ГБ, 512 ГБ SSD, серебристый, MCR24</t>
  </si>
  <si>
    <t>https://mgg.stores-apple.com/catalog/monoblok-apple-imac-24-m4-2024-4-porta-10c-cpu-10c-gpu-24-gb-512-gb-ssd-serebristyj-mcr24/</t>
  </si>
  <si>
    <t>Моноблок Apple iMac 24" (M4, 2024), 4 порта, 10C CPU/10C GPU, 24 ГБ, 512 ГБ SSD, розовый, MD2U4</t>
  </si>
  <si>
    <t>https://mgg.stores-apple.com/catalog/monoblok-apple-imac-24-m4-2024-4-porta-10c-cpu-10c-gpu-24-gb-512-gb-ssd-rozovyj-md2u4/</t>
  </si>
  <si>
    <t>Смарт-часы и браслеты</t>
  </si>
  <si>
    <t>Смарт-часы  Watch</t>
  </si>
  <si>
    <t>Смарт-часы Apple Watch SE 3 40 mm бежевый/бежевый S/M GPS</t>
  </si>
  <si>
    <t>https://mgg.stores-apple.com/catalog/noutbuk_apple_macbook_neo_2026_8_gb_512_gb_serebristyy_angliyskaya_raskladka/</t>
  </si>
  <si>
    <t>https://mgg.stores-apple.com/catalog/noutbuk_apple_macbook_neo_2026_8_gb_256_gb_tsitrus_angliyskaya_raskladka/</t>
  </si>
  <si>
    <t>Смарт-часы Apple Watch SE 3 44 mm бежевый/бежевый M/L GPS</t>
  </si>
  <si>
    <t>https://mgg.stores-apple.com/catalog/noutbuk_apple_macbook_neo_2026_8_gb_256_gb_indigo_angliyskaya_raskladka/</t>
  </si>
  <si>
    <t>Смарт-часы Apple Watch Series 11 46mm черныйчерный резина 1</t>
  </si>
  <si>
    <t>https://mgg.stores-apple.com/catalog/noutbuk_apple_macbook_neo_2026_8_gb_256_gb_rozovyy_rumyanets_angliyskaya_raskladka/</t>
  </si>
  <si>
    <t>Смарт-часы Apple Watch Series 11 42mm золотистыйбежевый 42 резина 1</t>
  </si>
  <si>
    <t>https://mgg.stores-apple.com/catalog/noutbuk_apple_macbook_neo_2026_8_gb_256_gb_serebristyy_angliyskaya_raskladka/</t>
  </si>
  <si>
    <t>https://mgg.stores-apple.com/catalog/noutbuk_apple_macbook_neo_2026_8_gb_512_gb_tsitrus_angliyskaya_raskladka/</t>
  </si>
  <si>
    <t>https://mgg.stores-apple.com/catalog/noutbuk_apple_macbook_neo_2026_8_gb_512_gb_rozovyy_rumyanets_angliyskaya_raskladka/</t>
  </si>
  <si>
    <t>https://mgg.stores-apple.com/catalog/noutbuk_apple_macbook_neo_2026_8_gb_512_gb_indigo_angliyskaya_raskladka/</t>
  </si>
  <si>
    <t>https://mgg.stores-apple.com/catalog/noutbuk-apple-macbook-air-13-m4-2025-10c-cpu-8c-gpu-16gb-256-gb-ssd-siyayushchaya-zvezda-mw0y3/</t>
  </si>
  <si>
    <t>https://mgg.stores-apple.com/catalog/noutbuk-apple-macbook-air-13-m4-2025-10c-cpu-8c-gpu-16gb-256-gb-ssd-goluboe-nebo-mc6t4/</t>
  </si>
  <si>
    <t>https://mgg.stores-apple.com/catalog/noutbuk-apple-macbook-air-13-m4-2025-10c-cpu-8c-gpu-16gb-256-gb-ssd-temnaya-noch-mw123/</t>
  </si>
  <si>
    <t>https://mgg.stores-apple.com/catalog/noutbuk-apple-macbook-air-13-m4-2025-10c-cpu-8c-gpu-16gb-256-gb-ssd-serebristyy-mw0w3/</t>
  </si>
  <si>
    <t>https://mgg.stores-apple.com/catalog/notebook-apple-macbook-air-15-m4-2025-10c-cpu-10c-gpu-16gb-256-gb-ssd-siyayushchaya-zvezda-mw1j3/</t>
  </si>
  <si>
    <t>https://mgg.stores-apple.com/catalog/notebook-apple-macbook-air-15-m4-2025-10c-cpu-10c-gpu-16gb-256-gb-ssd-goluboe-nebo-mc7a4/</t>
  </si>
  <si>
    <t>https://mgg.stores-apple.com/catalog/noutbuk-apple-macbook-air-13-m4-2025-10c-cpu-10c-gpu-16gb-512-gb-ssd-siyayushchaya-zvezda-mw103/</t>
  </si>
  <si>
    <t>https://mgg.stores-apple.com/catalog/notebook-apple-macbook-air-15-m4-2025-10c-cpu-10c-gpu-16gb-256-gb-ssd-temnaya-noch-mw1l3/</t>
  </si>
  <si>
    <t>https://mgg.stores-apple.com/catalog/notebook-apple-macbook-air-15-m4-2025-10c-cpu-10c-gpu-16gb-256-gb-ssd-serebristyi-mw1g3/</t>
  </si>
  <si>
    <t>https://mgg.stores-apple.com/catalog/noutbuk-apple-macbook-air-13-m4-2025-10c-cpu-10c-gpu-16gb-512-gb-ssd-temnaya-noch-mw133/</t>
  </si>
  <si>
    <t>https://mgg.stores-apple.com/catalog/noutbuk-apple-macbook-air-13-m4-2025-10c-cpu-10c-gpu-16gb-512-gb-ssd-goluboe-nebo-mc6u4/</t>
  </si>
  <si>
    <t>https://mgg.stores-apple.com/catalog/noutbuk-apple-macbook-air-13-m4-2025-10c-cpu-10c-gpu-16gb-512-gb-ssd-serebristyy-mw0x3/</t>
  </si>
  <si>
    <t>https://mgg.stores-apple.com/catalog/noutbuk-apple-macbook-air-13-m4-2025-10c-cpu-10c-gpu-24gb-512-gb-ssd-siyayushchaya-zvezda-mc6a4/</t>
  </si>
  <si>
    <t>https://mgg.stores-apple.com/catalog/noutbuk-apple-macbook-air-13-m4-2025-10c-cpu-10c-gpu-24gb-512-gb-ssd-serebristyj-mc654/</t>
  </si>
  <si>
    <t>https://mgg.stores-apple.com/catalog/noutbuk-apple-macbook-air-13-m4-2025-10c-cpu-10c-gpu-24gb-512-gb-ssd-temnaya-noch-mc6c4/</t>
  </si>
  <si>
    <t>https://mgg.stores-apple.com/catalog/noutbuk-apple-macbook-air-15-m4-2025-10c-cpu-10c-gpu-16gb-512-gb-ssd-temnaya-noch-mw1m3/</t>
  </si>
  <si>
    <t>https://mgg.stores-apple.com/catalog/noutbuk-apple-macbook-air-13-m4-2025-10c-cpu-10c-gpu-24gb-512-gb-ssd-goluboe-nebo-mc6v4/</t>
  </si>
  <si>
    <t>https://mgg.stores-apple.com/catalog/noutbuk-apple-macbook-air-15-m4-2025-10c-cpu-10c-gpu-16gb-512-gb-ssd-siyayushchaya-zvezda-mw1k3/</t>
  </si>
  <si>
    <t>https://mgg.stores-apple.com/catalog/noutbuk-apple-macbook-air-15-m4-2025-10c-cpu-10c-gpu-16gb-512-gb-ssd-goluboe-nebo-mc7c4/</t>
  </si>
  <si>
    <t>https://mgg.stores-apple.com/catalog/noutbuk-apple-macbook-air-15-m4-2025-10c-cpu-10c-gpu-16gb-512-gb-ssd-serebristyy-mw1h3/</t>
  </si>
  <si>
    <t>https://mgg.stores-apple.com/catalog/noutbuk-apple-macbook-air-15-m4-2025-10c-cpu-10c-gpu-24gb-512-gb-ssd-goluboe-nebo-mc7d4/</t>
  </si>
  <si>
    <t>https://mgg.stores-apple.com/catalog/noutbuk-apple-macbook-air-15-m4-2025-10c-cpu-10c-gpu-24gb-512-gb-ssd-siyayushchaya-zvezda-mc6k4/</t>
  </si>
  <si>
    <t>https://mgg.stores-apple.com/catalog/noutbuk-apple-macbook-air-15-m4-2025-10c-cpu-10c-gpu-24gb-512-gb-ssd-serebristyi-mc6j4/</t>
  </si>
  <si>
    <t>https://mgg.stores-apple.com/catalog/noutbuk-apple-macbook-air-15-m4-2025-10c-cpu-10c-gpu-24gb-512-gb-ssd-temnaya-noch-mc6l4/</t>
  </si>
  <si>
    <t>https://mgg.stores-apple.com/catalog/noutbuk_apple_macbook_air_13_m5_2026_16_gb_512_gb_ssd_serebristyy/</t>
  </si>
  <si>
    <t>https://mgg.stores-apple.com/catalog/noutbuk_apple_macbook_air_15_m5_2026_16_gb_512_gb_ssd_serebristyy/</t>
  </si>
  <si>
    <t>https://mgg.stores-apple.com/catalog/noutbuk_apple_macbook_air_13_m5_2026_16_gb_512_gb_ssd_siyayushchaya_zvezda/</t>
  </si>
  <si>
    <t>https://mgg.stores-apple.com/catalog/noutbuk_apple_macbook_air_13_m5_2026_16_gb_512_gb_ssd_nebesno_goluboy/</t>
  </si>
  <si>
    <t>https://mgg.stores-apple.com/catalog/noutbuk_apple_macbook_air_13_m5_2026_16_gb_512_gb_ssd_temnaya_noch/</t>
  </si>
  <si>
    <t>https://mgg.stores-apple.com/catalog/noutbuk_apple_macbook_air_13_m5_2026_16_gb_1024_gb_ssd_nebesno_goluboy/</t>
  </si>
  <si>
    <t>https://mgg.stores-apple.com/catalog/noutbuk_apple_macbook_air_13_m5_2026_16_gb_1024_gb_ssd_serebristyy/</t>
  </si>
  <si>
    <t>https://mgg.stores-apple.com/catalog/noutbuk_apple_macbook_air_15_m5_2026_16_gb_512_gb_ssd_temnaya_noch/</t>
  </si>
  <si>
    <t>https://mgg.stores-apple.com/catalog/noutbuk_apple_macbook_air_13_m5_2026_16_gb_1024_gb_ssd_siyayushchaya_zvezda/</t>
  </si>
  <si>
    <t>https://mgg.stores-apple.com/catalog/noutbuk_apple_macbook_air_13_m5_2026_16_gb_1024_gb_ssd_temnaya_noch/</t>
  </si>
  <si>
    <t>https://mgg.stores-apple.com/catalog/noutbuk_apple_macbook_air_15_m5_2026_16_gb_512_gb_ssd_siyayushchaya_zvezda/</t>
  </si>
  <si>
    <t>https://mgg.stores-apple.com/catalog/noutbuk_apple_macbook_air_15_m5_2026_16_gb_512_gb_ssd_nebesno_goluboy/</t>
  </si>
  <si>
    <t>https://mgg.stores-apple.com/catalog/noutbuk_apple_macbook_air_13_m5_2026_24_gb_1024_gb_ssd_nebesno_goluboy/</t>
  </si>
  <si>
    <t>https://mgg.stores-apple.com/catalog/noutbuk_apple_macbook_air_13_m5_2026_24_gb_1024_gb_ssd_temnaya_noch/</t>
  </si>
  <si>
    <t>Смарт-часы Apple Watch Ultra 2 Satin Black, 49 мм, Alpine Loop, синий, размер L</t>
  </si>
  <si>
    <t>https://mgg.stores-apple.com/catalog/noutbuk_apple_macbook_air_13_m5_2026_24_gb_1024_gb_ssd_serebristyy/</t>
  </si>
  <si>
    <t>Смарт-часы Apple Watch Ultra 2 Satin Black, 49 мм, Alpine Loop, оливковый, размер M</t>
  </si>
  <si>
    <t>https://mgg.stores-apple.com/catalog/noutbuk_apple_macbook_air_13_m5_2026_24_gb_1024_gb_ssd_siyayushchaya_zvezda/</t>
  </si>
  <si>
    <t>https://mgg.stores-apple.com/catalog/noutbuk_apple_macbook_air_15_m5_2026_16_gb_1024_gb_ssd_serebristyy/</t>
  </si>
  <si>
    <t>https://mgg.stores-apple.com/catalog/noutbuk_apple_macbook_air_15_m5_2026_16_gb_1024_gb_ssd_siyayushchaya_zvezda/</t>
  </si>
  <si>
    <t>https://mgg.stores-apple.com/catalog/noutbuk_apple_macbook_air_15_m5_2026_16_gb_1024_gb_ssd_nebesno_goluboy/</t>
  </si>
  <si>
    <t>Смарт-часы Apple Watch Ultra 2 Satin Black, 49 мм, Alpine Loop, индиго, размер L</t>
  </si>
  <si>
    <t>https://mgg.stores-apple.com/catalog/noutbuk_apple_macbook_air_15_m5_2026_16_gb_1024_gb_ssd_temnaya_noch/</t>
  </si>
  <si>
    <t>https://mgg.stores-apple.com/catalog/noutbuk_apple_macbook_air_15_m5_2026_24_gb_1024_gb_ssd_serebristyy/</t>
  </si>
  <si>
    <t>https://mgg.stores-apple.com/catalog/noutbuk_apple_macbook_air_15_m5_2026_24_gb_1024_gb_ssd_siyayushchaya_zvezda/</t>
  </si>
  <si>
    <t>https://mgg.stores-apple.com/catalog/noutbuk_apple_macbook_air_15_m5_2026_24_gb_1024_gb_ssd_temnaya_noch/</t>
  </si>
  <si>
    <t>https://mgg.stores-apple.com/catalog/noutbuk_apple_macbook_air_15_m5_2026_24_gb_1024_gb_ssd_nebesno_goluboy/</t>
  </si>
  <si>
    <t>Мини ПК Apple Mac mini (M4, 2024), 10C CPU/10C GPU, 16 ГБ, 256 ГБ SSD, серебристый, MU9D3</t>
  </si>
  <si>
    <t>https://mgg.stores-apple.com/catalog/mini-pk-apple-mac-mini-m4-2024-10c-cpu-10c-gpu-16-gb-256-gb-ssd-serebristyy-mu9d3/</t>
  </si>
  <si>
    <t>Мини ПК Apple Mac mini (M4, 2024), 10C CPU/10C GPU, 16 ГБ, 512 ГБ SSD, серебристый, MU9E3</t>
  </si>
  <si>
    <t>https://mgg.stores-apple.com/catalog/mini-pk-apple-mac-mini-m4-2024-10c-cpu-10c-gpu-16-gb-512-gb-ssd-serebristyy-mu9e3/</t>
  </si>
  <si>
    <t>Мини ПК Apple Mac mini (M4, 2024), 10C CPU/10C GPU, 24 ГБ, 512 ГБ SSD, серебристый, MCYT4</t>
  </si>
  <si>
    <t>https://mgg.stores-apple.com/catalog/mini-pk-apple-mac-mini-m4-2024-10c-cpu-10c-gpu-24-gb-512-gb-ssd-serebristyy-mcyt4/</t>
  </si>
  <si>
    <t>Мини ПК Apple Mac mini (M4 Pro, 2024), 12C CPU/16C GPU, 24 ГБ, 512 ГБ SSD, серебристый, MCX44</t>
  </si>
  <si>
    <t>https://mgg.stores-apple.com/catalog/mini-pk-apple-mac-mini-m4-pro-2024-12c-cpu-16c-gpu-24-gb-512-gb-ssd-serebristyy-mcx44/</t>
  </si>
  <si>
    <t>Конверт Gurdini Felt Для MacBook Air 13/Neo Серый</t>
  </si>
  <si>
    <t>https://mgg.stores-apple.com/catalog/konvert_gurdini_felt_dlya_macbook_air_13_neo_seryy/</t>
  </si>
  <si>
    <t>Конверт Gurdini Felt Для MacBook Air 15 Серый</t>
  </si>
  <si>
    <t>https://mgg.stores-apple.com/catalog/konvert_gurdini_felt_dlya_macbook_air_15_seryy/</t>
  </si>
  <si>
    <t>https://mgg.stores-apple.com/catalog/magic-mouse-mk2e3/</t>
  </si>
  <si>
    <t>Беспроводная мышь Apple Magic Mouse Wireless 3, черная, MMMQ3</t>
  </si>
  <si>
    <t>https://mgg.stores-apple.com/catalog/magic-mouse-mmmq3/</t>
  </si>
  <si>
    <t>Трекпад Apple Magic Trackpad 2, белый, MK2D3 1</t>
  </si>
  <si>
    <t>https://mgg.stores-apple.com/catalog/magic-trackpad-mk2d3/</t>
  </si>
  <si>
    <t>Трекпад Apple Magic Trackpad, черный, MMMP3 1</t>
  </si>
  <si>
    <t>https://mgg.stores-apple.com/catalog/magic-trackpad-mmmp3/</t>
  </si>
  <si>
    <t>Клавиатура беспроводная Apple Magic Keyboard с Touch ID, MK293 1</t>
  </si>
  <si>
    <t>https://mgg.stores-apple.com/catalog/magic-keyboard-with-touch-id-mk293/</t>
  </si>
  <si>
    <t>Клавиатура беспроводная Apple Magic Keyboard and Numeric Keypad, белая, MK2C3</t>
  </si>
  <si>
    <t>https://mgg.stores-apple.com/catalog/magic-keyboard-with-touch-id-mk2c3/</t>
  </si>
  <si>
    <t>Клавиатура беспроводная Apple Magic Keyboard and Numeric Keypad с Touch ID, черная, MMMR3</t>
  </si>
  <si>
    <t>https://mgg.stores-apple.com/catalog/magic-keyboard-with-touch-id-mmmr3/</t>
  </si>
  <si>
    <t>Клавиатура беспроводная Apple Magic Keyboard, MK2A3 1</t>
  </si>
  <si>
    <t>https://mgg.stores-apple.com/catalog/magic-keyboard-mk2a3/</t>
  </si>
  <si>
    <t>Клавиатура беспроводная Apple Magic Keyboard с Touch ID, MQ052 1</t>
  </si>
  <si>
    <t>https://mgg.stores-apple.com/catalog/magic-keyboard-mq052/</t>
  </si>
  <si>
    <t>Чехол Magnetic для iPhone 17 Air Прозрачый (1)</t>
  </si>
  <si>
    <t>https://mgg.stores-apple.com/catalog/chekhol_magnetic_dlya_iphone_17_air_prozrachyy/</t>
  </si>
  <si>
    <t>DYSON</t>
  </si>
  <si>
    <t>Вертикальный пылесос Dyson V10 Cyclon Absolute (Nickel/Cooper)</t>
  </si>
  <si>
    <t>https://mgg.stores-apple.com/catalog/vertikalnyy_pylesos_dyson_v10_cyclon_absolute_nickel_cooper/</t>
  </si>
  <si>
    <t>Вертикальный пылесос Dyson G1 Wash (Blue/Black)</t>
  </si>
  <si>
    <t>https://mgg.stores-apple.com/catalog/dyson_g1_wash_blue_black/</t>
  </si>
  <si>
    <t>Вертикальный пылесос Dyson V10 Total Clean Vacuum (Black/Nickel)</t>
  </si>
  <si>
    <t>https://mgg.stores-apple.com/catalog/vertikalnyy_pylesos_dyson_v10_total_clean_vacuum_black_nickel/</t>
  </si>
  <si>
    <t>Вертикальный пылесос Dyson G1 Wash (Blue/Black) Вилка EU</t>
  </si>
  <si>
    <t>https://mgg.stores-apple.com/catalog/dyson_g1_wash_blue_black_vilka_eu/</t>
  </si>
  <si>
    <t>Проводной пылесос Dyson Cinetic Big Ball CY23 (Iron/Satin Red)</t>
  </si>
  <si>
    <t>https://mgg.stores-apple.com/catalog/provodnoy_pylesos_dyson_cinetic_big_ball_cy23_iron_satin_red/</t>
  </si>
  <si>
    <t>Проводной пылесос Dyson Big Ball Multifloor 2 (Grey/Orange) Вилка EU</t>
  </si>
  <si>
    <t>https://mgg.stores-apple.com/catalog/provodnoy_pylesos_dyson_big_ball_multifloor_2_grey_orange_vilka_eu/</t>
  </si>
  <si>
    <t>Проводной пылесос Dyson Big Ball Multifloor 2 (Grey/Orange)</t>
  </si>
  <si>
    <t>https://mgg.stores-apple.com/catalog/provodnoy_pylesos_dyson_big_ball_multifloor_2_grey_orange/</t>
  </si>
  <si>
    <t>Проводной пылесос Dyson Big Ball Parquet 2 (Iron/Purple) Вилка EU</t>
  </si>
  <si>
    <t>https://mgg.stores-apple.com/catalog/provodnoy_pylesos_dyson_big_ball_parquet_2_iron_purple_vilka_eu/</t>
  </si>
  <si>
    <t>Вертикальный пылесос Dyson V12s Slim Absolute Detected Submarine (Yellow/Nickel)</t>
  </si>
  <si>
    <t>https://mgg.stores-apple.com/catalog/dyson_v12s_slim_absolute_detected_submarine_yellow_nicke_l/</t>
  </si>
  <si>
    <t>https://mgg.stores-apple.com/catalog/vertikalnyy_pylesos_dyson_v12_sv46_detect_slim_absolute_yellow_nickel/</t>
  </si>
  <si>
    <t>Вертикальный пылесос Dyson SV50 FC PencilVac Vacuum Cleaner (Black)</t>
  </si>
  <si>
    <t>https://mgg.stores-apple.com/catalog/vertikalnyy_pylesos_dyson_sv50_fc_pencilvac_vacuum_cleaner_black/</t>
  </si>
  <si>
    <t>Вертикальный пылесос Dyson SV50 PencilVac Fluffy (Black) Вилка Eu</t>
  </si>
  <si>
    <t>https://mgg.stores-apple.com/catalog/vertikalnyy_pylesos_dyson_sv50_pencilvac_fluffy_black_vilka_eu/</t>
  </si>
  <si>
    <t>Проводной пылесос Dyson Big Ball Absolute 2 CY28 (Satin Blue) Вилка EU</t>
  </si>
  <si>
    <t>https://mgg.stores-apple.com/catalog/provodnoy_pylesos_dyson_big_ball_absolute_2_cy28_satin_blue_vilka_eu/</t>
  </si>
  <si>
    <t>Проводной пылесос Dyson Big Ball Absolute 2 CY26 (Nickel/Silver) Вилка EU</t>
  </si>
  <si>
    <t>https://mgg.stores-apple.com/catalog/provodnoy_pylesos_dyson_big_ball_absolute_2_cy26_nickel_silver_vilka_eu/</t>
  </si>
  <si>
    <t>Вертикальный пылесос Dyson V12 SV46 Detect Slim Absolute (Yellow/Nickel) Вилка EU</t>
  </si>
  <si>
    <t>https://mgg.stores-apple.com/catalog/vertikalnyy_pylesos_dyson_v12_sv46_detect_slim_absolute_yellow_nickel_vilka_eu/</t>
  </si>
  <si>
    <t>Проводной пылесос Dyson Ball Animal Multi-floor  (Cooper/Silver)</t>
  </si>
  <si>
    <t>https://mgg.stores-apple.com/catalog/provodnoy_pylesos_dyson_ball_animal_multi_floor_cooper_silver/</t>
  </si>
  <si>
    <t>https://mgg.stores-apple.com/catalog/vertikalnyy_pylesos_dyson_v15_sv47_detect_absolute_yellow_nickel_full_complete/</t>
  </si>
  <si>
    <t>Вертикальный пылесос Dyson V15 SV47 Detect Absolute (Yellow/Nickel)</t>
  </si>
  <si>
    <t>https://mgg.stores-apple.com/catalog/vertikalnyy_pylesos_dyson_v15_sv47_detect_absolute_yellow_nickel/</t>
  </si>
  <si>
    <t>Вертикальный пылесос Dyson V15 SV47 Detect Absolute (Gold) Вилка EU</t>
  </si>
  <si>
    <t>https://mgg.stores-apple.com/catalog/vertikalnyy_pylesos_dyson_v15_sv47_detect_absolute_gold_vilka_eu/</t>
  </si>
  <si>
    <t>Вертикальный пылесос Dyson V15 SV47 Detect Absolute (Yellow/Nickel) Вилка EU</t>
  </si>
  <si>
    <t>https://mgg.stores-apple.com/catalog/vertikalnyy_pylesos_dyson_v15_sv47_detect_absolute_yellow_nickel_vilka_eu/</t>
  </si>
  <si>
    <t>Вертикальный пылесос Dyson V15 SV47 Detect Total Clean (Black/Nickel) Full Complete</t>
  </si>
  <si>
    <t>https://mgg.stores-apple.com/catalog/vertikalnyy_pylesos_dyson_v15_sv47_detect_total_clean_black_nickel_full_complete/</t>
  </si>
  <si>
    <t>Вертикальный пылесос Dyson V15s SV 47 Detected  Submarine (Yellow/Nickel)</t>
  </si>
  <si>
    <t>https://mgg.stores-apple.com/catalog/dyson_v15s_sv_47_detected_submarine_yellow_nickel/</t>
  </si>
  <si>
    <t>Смарт-часы Samsung</t>
  </si>
  <si>
    <t>Вертикальный пылесос Dyson V16 DS60 SV53-A Piston Animal (Cooper/Black)</t>
  </si>
  <si>
    <t>https://mgg.stores-apple.com/catalog/dyson_v16_ds60_sv53_a_piston_animal_cooper_black/</t>
  </si>
  <si>
    <t>https://mgg.stores-apple.com/catalog/dyson_v15s_sv_47_detected_submarine_yellow_nickel_vilka_eu/</t>
  </si>
  <si>
    <t>Вертикальный пылесос Dyson V16 DS60 SV53-A Piston Animal+Detail Cleaning Kit (Black/Gold) Вилка EU</t>
  </si>
  <si>
    <t>https://mgg.stores-apple.com/catalog/dyson_v16_ds60_sv53_a_piston_animal_detail_cleaning_kit_black_gold_vilka_eu/</t>
  </si>
  <si>
    <t>Вертикальный пылесос Dyson V16 DS60 SV53-A Piston Animal (Cooper/Black) Вилка EU</t>
  </si>
  <si>
    <t>https://mgg.stores-apple.com/catalog/dyson_v16_ds60_sv53_a_piston_animal_cooper_black_vilka_eu/</t>
  </si>
  <si>
    <t>Вертикальный пылесос Dyson Gen5 SV23 Detect Absolut (Cooper/Blue) Вилка EU</t>
  </si>
  <si>
    <t>https://mgg.stores-apple.com/catalog/vertikalnyy_pylesos_dyson_gen5_sv23_detect_absolut_cooper_blue_vilka_eu/</t>
  </si>
  <si>
    <t>Вертикальный пылесос Dyson Gen5 SV23 Detect Absolute Vacuum (Purple) Вилка EU</t>
  </si>
  <si>
    <t>https://mgg.stores-apple.com/catalog/vertikalnyy_pylesos_dyson_gen5_sv23_detect_absolute_vacuum_purple_vilka_eu/</t>
  </si>
  <si>
    <t>Вертикальный пылесос Dyson Gen5 SV23 Detect Absolut (Cooper/Blue)</t>
  </si>
  <si>
    <t>https://mgg.stores-apple.com/catalog/vertikalnyy_pylesos_dyson_gen5_sv23_detect_absolut_cooper_blue/</t>
  </si>
  <si>
    <t>Вертикальный пылесос Dyson SV50 FC PencilVac Vacuum Cleaner  (Black) Вилка Eu</t>
  </si>
  <si>
    <t>https://mgg.stores-apple.com/catalog/vertikalnyy_pylesos_dyson_sv50_fc_pencilvac_vacuum_cleaner_black_vilka_eu/</t>
  </si>
  <si>
    <t>Вертикальный пылесос Dyson Gen5 SV23 Detect Absolute Vacuum (Purple)</t>
  </si>
  <si>
    <t>https://mgg.stores-apple.com/catalog/dyson-gen5-vs23-decert-absolute-vacuum-purple/</t>
  </si>
  <si>
    <t>Вертикальный пылесос Dyson V16 DS60 SV53-A Piston Animal Submarine Wash (Cooper/Black) без подставки</t>
  </si>
  <si>
    <t>https://mgg.stores-apple.com/catalog/dyson_v16_ds60_sv53_a_piston_animal_submarine_wash_cooper_black_vilka_eu_bez_podstavki/</t>
  </si>
  <si>
    <t>Смарт-часы WHOOP</t>
  </si>
  <si>
    <t>Вертикальный пылесос Dyson V16 DS60 SV53-A Piston Animal Submarine Wash (Cooper/Black) Вилка EU</t>
  </si>
  <si>
    <t>https://mgg.stores-apple.com/catalog/dyson_v16_ds60_sv53_a_piston_animal_submarine_wash_cooper_black_vilka_eu_s_podstavkoy/</t>
  </si>
  <si>
    <t>Робот-пылесос Dreame X60 Ultra Complete (Черный) 1</t>
  </si>
  <si>
    <t>https://mgg.stores-apple.com/catalog/robot_pylesos_dreame_x60_ultra_complete_chernyy/</t>
  </si>
  <si>
    <t>Выпрямитель Dyson Airstrait HT01 (BlueCooper) 1</t>
  </si>
  <si>
    <t>https://mgg.stores-apple.com/catalog/vypryamitel-dyson-airstrait-ht01-blue-cooper/</t>
  </si>
  <si>
    <t>Фитнес-трекер Google Fitbit</t>
  </si>
  <si>
    <t>https://mgg.stores-apple.com/catalog/stayler-dyson-airwrap-id-long-hs08-straight-wavy-vinca-blue-topaz/</t>
  </si>
  <si>
    <t>https://mgg.stores-apple.com/catalog/stayler_dyson_airwrap_coanda2x_hs09_multi_styler_dryer_jasper_plum/</t>
  </si>
  <si>
    <t>https://mgg.stores-apple.com/catalog/fen-dyson-supersonic-nural-hd16-vinca-blue-topaz/</t>
  </si>
  <si>
    <t>Спортивные часы Garmin</t>
  </si>
  <si>
    <t>Фен Dyson Supersonic Nural HD16 (Ceramic PinkRose Gold) 1</t>
  </si>
  <si>
    <t>https://mgg.stores-apple.com/catalog/fen-dyson-supersonic-nural-hd16-ceramic-pink-rose-gold/</t>
  </si>
  <si>
    <t>https://mgg.stores-apple.com/catalog/vypryamitel-dyson-airstrait-ht01-ceramic-pink-sakura-gold/</t>
  </si>
  <si>
    <t>https://mgg.stores-apple.com/catalog/fen-dyson-supersonic-nural-hd16-ceramic-patina-topaz/</t>
  </si>
  <si>
    <t>Фен Dyson Supersonic Nural HD16 (Jasper Plum) 1</t>
  </si>
  <si>
    <t>https://mgg.stores-apple.com/catalog/fen-dyson-supersonic-nural-hd16-jasper-plum/</t>
  </si>
  <si>
    <t>https://mgg.stores-apple.com/catalog/stayler-dyson-airwrap-id-long-hs08-straight-wavy-ceramic-patina-topaz/</t>
  </si>
  <si>
    <t>Выпрямитель Dyson Airstrait HT01 (Jasper Plum) 1</t>
  </si>
  <si>
    <t>https://mgg.stores-apple.com/catalog/vypryamitel-dyson-airstrait-ht01-jasper-plum/</t>
  </si>
  <si>
    <t>Выпрямитель Dyson Airstrait HT01 (Strawberry BronzeBlush Pink) 1</t>
  </si>
  <si>
    <t>https://mgg.stores-apple.com/catalog/vypryamitel-dyson-airstrait-ht01-strawberry-bronze-blush-pink/</t>
  </si>
  <si>
    <t>Фен Dyson Supersonic Nural HD16 (Strawberry BronzeBlush Pink) 1</t>
  </si>
  <si>
    <t>https://mgg.stores-apple.com/catalog/fen-dyson-supersonic-nural-hd16-strawberry-bronze-blush-pink/</t>
  </si>
  <si>
    <t>https://mgg.stores-apple.com/catalog/vypryamitel-dyson-airstrait-ht01-nickel-cooper/</t>
  </si>
  <si>
    <t>https://mgg.stores-apple.com/catalog/stayler-dyson-airwrap-id-long-hs08-straight-wavy-red-velvet-gold/</t>
  </si>
  <si>
    <t>https://mgg.stores-apple.com/catalog/fen-dyson-supersonic-nural-hd16-red-velvet-gold/</t>
  </si>
  <si>
    <t>Аксессуары для смарт-часов и браслетов</t>
  </si>
  <si>
    <t>https://mgg.stores-apple.com/catalog/vypryamitel-dyson-airstrait-ht01-red-velvet-gold/</t>
  </si>
  <si>
    <t>https://mgg.stores-apple.com/catalog/stayler-dyson-airwrap-id-long-hs08-straight-wavy-jasper-plum/</t>
  </si>
  <si>
    <t>Mac</t>
  </si>
  <si>
    <t>MacBook Pro</t>
  </si>
  <si>
    <t>Ноутбук Apple MacBook Pro 14" (M4, 2024) 10 Core GPU, 16 ГБ, 512 ГБ, серебристый, MW2W3</t>
  </si>
  <si>
    <t>https://mgg.stores-apple.com/catalog/vypryamitel_dyson_airstrait_ht01_prussian_blue_cooper/</t>
  </si>
  <si>
    <t>Ноутбук Apple MacBook Pro 14" (M4, 2024) 10 Core GPU, 16 ГБ, 512 ГБ, черный космос, MW2U3</t>
  </si>
  <si>
    <t>Выпрямитель Dyson Airstrait HT01 (OnyxGold) 1</t>
  </si>
  <si>
    <t>https://mgg.stores-apple.com/catalog/vypryamitel-dyson-airstrait-ht01-onyx-gold/</t>
  </si>
  <si>
    <t>https://mgg.stores-apple.com/catalog/stayler_dyson_airwrap_coanda2x_hs09_apricot_topaz/</t>
  </si>
  <si>
    <t>https://mgg.stores-apple.com/catalog/stayler_dyson_airwrap_coanda2x_hs09_multi_styler_dryer_amber_silk/</t>
  </si>
  <si>
    <t>https://mgg.stores-apple.com/catalog/stayler_dyson_airwrap_coanda2x_hs09_multi_styler_dryer_ceramic_pink_rose_gold/</t>
  </si>
  <si>
    <t>Стайлер Dyson Airwrap Coanda2x HS09 Multi Styler &amp; Dryer (Jasper Plum) Вилка EU</t>
  </si>
  <si>
    <t>https://mgg.stores-apple.com/catalog/stayler_dyson_airwrap_coanda2x_hs09_multi_styler_dryer_jasper_plum_vilka_eu/</t>
  </si>
  <si>
    <t>Стайлер Dyson Airwrap Coanda2x HS09 Multi Styler &amp; Dryer (Ceramic Pink/Rose Gold) Вилка EU</t>
  </si>
  <si>
    <t>https://mgg.stores-apple.com/catalog/stayler_dyson_airwrap_coanda2x_hs09_multi_styler_dryer_ceramic_pink_rose_gold_vilka_eu/</t>
  </si>
  <si>
    <t>Стайлер Dyson Airwrap Coanda2x HS09 Multi Styler &amp; Dryer (Amber Silk) Вилка EU</t>
  </si>
  <si>
    <t>https://mgg.stores-apple.com/catalog/stayler_dyson_airwrap_coanda2x_hs09_multi_styler_dryer_amber_silk_vilka_eu/</t>
  </si>
  <si>
    <t>Стайлер Dyson Airwrap i.d. Long HS08 Straight+Wavy (Strawberry BronzeBlush Pink) 1</t>
  </si>
  <si>
    <t>https://mgg.stores-apple.com/catalog/stayler-dyson-airwrap-id-long-hs08-straight-wavy-strawberry-bronze-blush-pink/</t>
  </si>
  <si>
    <t>НАУШНИКИ И КОЛОНКИ</t>
  </si>
  <si>
    <t>https://mgg.stores-apple.com/catalog/besprovodnye-naushniki-marshall-major-5-chernyi/</t>
  </si>
  <si>
    <t>https://mgg.stores-apple.com/catalog/naushniki-apple-airpods-4/</t>
  </si>
  <si>
    <t>Беспроводные наушники Samsung Galaxy Buds 4 Pro черные</t>
  </si>
  <si>
    <t>https://mgg.stores-apple.com/catalog/besprovodnye_naushniki_samsung_galaxy_buds_4_pro_chernye/</t>
  </si>
  <si>
    <t>https://mgg.stores-apple.com/catalog/naushniki-apple-airpods-4-belye-s-shumopodavleniem/</t>
  </si>
  <si>
    <t>Ноутбук Apple MacBook Pro 14" (M4, 2024) 10 Core GPU, 24 ГБ, 1024 ГБ, серебристый, MCX14</t>
  </si>
  <si>
    <t>https://mgg.stores-apple.com/catalog/naushniki-apple-airpods-pro-2-type-c/</t>
  </si>
  <si>
    <t>Ноутбук Apple MacBook Pro 16" (M4 Pro, 2024) 20 Core GPU, 24 ГБ, 512 ГБ, черный космос, MX2X3</t>
  </si>
  <si>
    <t>https://mgg.stores-apple.com/catalog/naushniki-apple-airpods-pro-3/</t>
  </si>
  <si>
    <t>Ноутбук Apple MacBook Pro 16" (M4 Pro, 2024) 20 Core GPU, 24 ГБ, 512 ГБ, серебристый, MX2T3</t>
  </si>
  <si>
    <t>https://mgg.stores-apple.com/catalog/besprovodnye-naushniki-apple-airpods-max-polnoch/</t>
  </si>
  <si>
    <t>Наушники Apple EarPods с разъемом USB-C (белые)</t>
  </si>
  <si>
    <t>https://mgg.stores-apple.com/catalog/naushniki_apple_earpods_s_razemom_usb_c_belye/</t>
  </si>
  <si>
    <t>https://mgg.stores-apple.com/catalog/besprovodnye-naushniki-marshall-major-5-korichnevyj/</t>
  </si>
  <si>
    <t>https://mgg.stores-apple.com/catalog/besprovodnye_naushniki_marshall_major_5_kremovyy/</t>
  </si>
  <si>
    <t>https://mgg.stores-apple.com/catalog/besprovodnye-naushniki-marshall-major-5-belyj/</t>
  </si>
  <si>
    <t>Ноутбук Apple MacBook Pro 16" (M4 Max, 2024) 32 Core GPU, 36 ГБ, 1024 ГБ, черный космос, MX303</t>
  </si>
  <si>
    <t>Яндекс станция мини без часов красный гранат 1</t>
  </si>
  <si>
    <t>https://mgg.stores-apple.com/catalog/kolonka-yandeks-stanciya-mini-bez-chasov-krasnyj-granat/</t>
  </si>
  <si>
    <t>https://mgg.stores-apple.com/catalog/kolonka-yandeks-stanciya-mini-bez-chasov-ceryj-opal/</t>
  </si>
  <si>
    <t>Ноутбук Apple MacBook Pro 16" (M4 Max, 2024) 32 Core GPU, 36 ГБ, 1024 ГБ, серебристый, MX2V3</t>
  </si>
  <si>
    <t>Яндекс станция мини без часов cиний сапфир 1</t>
  </si>
  <si>
    <t>https://mgg.stores-apple.com/catalog/kolonka-yandeks-stanciya-mini-bez-chasov-cinij-sapfir/</t>
  </si>
  <si>
    <t>https://mgg.stores-apple.com/catalog/kolonka-yandeks-stanciya-mini-bez-chasov-chernyj-oniks/</t>
  </si>
  <si>
    <t>https://mgg.stores-apple.com/catalog/kolonka-yandeks-stanciya-mini-cinij-sapfir/</t>
  </si>
  <si>
    <t>https://mgg.stores-apple.com/catalog/kolonka-yandeks-stanciya-mini-krasnyj-granat/</t>
  </si>
  <si>
    <t>Яндекс станция мини черный оникс 1</t>
  </si>
  <si>
    <t>https://mgg.stores-apple.com/catalog/kolonka-yandeks-stanciya-mini-chernyj-oniks/</t>
  </si>
  <si>
    <t>Яндекс станция мини cерый опал 1</t>
  </si>
  <si>
    <t>https://mgg.stores-apple.com/catalog/kolonka-yandeks-stanciya-mini-ceryj-opal/</t>
  </si>
  <si>
    <t>Портативная колонка JBL Charge 5 красная</t>
  </si>
  <si>
    <t>https://mgg.stores-apple.com/catalog/portativnaya-kolonka-jbl-charge-5-krasnaya/</t>
  </si>
  <si>
    <t>Портативная колонка JBL Charge 5 зеленая</t>
  </si>
  <si>
    <t>https://mgg.stores-apple.com/catalog/portativnaya-kolonka-jbl-charge-5-zelenaya/</t>
  </si>
  <si>
    <t>Портативная колонка JBL Charge 5 бирюзовая</t>
  </si>
  <si>
    <t>https://mgg.stores-apple.com/catalog/portativnaya-kolonka-jbl-charge-5-biryuzovaya/</t>
  </si>
  <si>
    <t>iMac</t>
  </si>
  <si>
    <t>Портативная колонка JBL Charge 5 розовая</t>
  </si>
  <si>
    <t>https://mgg.stores-apple.com/catalog/portativnaya-kolonka-jbl-charge-5-rozovaya/</t>
  </si>
  <si>
    <t>Портативная колонка JBL Charge 5 серая</t>
  </si>
  <si>
    <t>https://mgg.stores-apple.com/catalog/portativnaya-kolonka-jbl-charge-5-seraya/</t>
  </si>
  <si>
    <t>Портативная колонка JBL Charge 5 синяя</t>
  </si>
  <si>
    <t>https://mgg.stores-apple.com/catalog/portativnaya-kolonka-jbl-charge-5-sinyaya/</t>
  </si>
  <si>
    <t>Портативная колонка JBL Charge 5 белая</t>
  </si>
  <si>
    <t>https://mgg.stores-apple.com/catalog/portativnaya-kolonka-jbl-charge-5-belaya/</t>
  </si>
  <si>
    <t>Портативная колонка JBL Charge 5 хаки</t>
  </si>
  <si>
    <t>https://mgg.stores-apple.com/catalog/portativnaya-kolonka-jbl-charge-5-haki/</t>
  </si>
  <si>
    <t>Портативная колонка JBL Charge 5 черная</t>
  </si>
  <si>
    <t>https://mgg.stores-apple.com/catalog/portativnaya-kolonka-jbl-charge-5-chernaya/</t>
  </si>
  <si>
    <t>Беспроводные наушники Samsung Galaxy Buds 3 Pro белые 1</t>
  </si>
  <si>
    <t>https://mgg.stores-apple.com/catalog/besprovodnye-naushniki-samsung-galaxy-buds-3-pro-belyje/</t>
  </si>
  <si>
    <t>Беспроводные наушники Samsung Galaxy Buds 3 Pro серебристые 1</t>
  </si>
  <si>
    <t>https://mgg.stores-apple.com/catalog/besprovodnye-naushniki-samsung-galaxy-buds-3-pro-serebristyje/</t>
  </si>
  <si>
    <t>Беспроводные наушники Marshall Matif 2 ANC</t>
  </si>
  <si>
    <t>https://mgg.stores-apple.com/catalog/besprovodnye-naushniki-marshall-matif-2-anc/</t>
  </si>
  <si>
    <t>https://mgg.stores-apple.com/catalog/kolonka-yandeks-stanciya-midi-oranzhevyj/</t>
  </si>
  <si>
    <t>https://mgg.stores-apple.com/catalog/kolonka-yandeks-stanciya-midi-izumrudnyj/</t>
  </si>
  <si>
    <t>https://mgg.stores-apple.com/catalog/kolonka-yandeks-stanciya-midi-malinovyj/</t>
  </si>
  <si>
    <t>https://mgg.stores-apple.com/catalog/kolonka-yandeks-stanciya-midi-chernyj/</t>
  </si>
  <si>
    <t>Беспроводные наушники Samsung Galaxy Buds 4 Pro белые</t>
  </si>
  <si>
    <t>https://mgg.stores-apple.com/catalog/besprovodnye_naushniki_samsung_galaxy_buds_4_pro_belye/</t>
  </si>
  <si>
    <t>Яндекс станция миди серый 1</t>
  </si>
  <si>
    <t>https://mgg.stores-apple.com/catalog/kolonka-yandeks-stanciya-midi-seryj/</t>
  </si>
  <si>
    <t>Умная колонка Apple HomePod mini желтая 1</t>
  </si>
  <si>
    <t>https://mgg.stores-apple.com/catalog/umnaya-kolonka-apple-homepod-mini-zheltaya/</t>
  </si>
  <si>
    <t>Умная колонка Apple HomePod mini оранжевая 1</t>
  </si>
  <si>
    <t>https://mgg.stores-apple.com/catalog/umnaya-kolonka-apple-homepod-mini-oranzhevaya/</t>
  </si>
  <si>
    <t>Умная колонка Apple HomePod mini синяя 1</t>
  </si>
  <si>
    <t>https://mgg.stores-apple.com/catalog/umnaya-kolonka-apple-homepod-mini-sinyaya/</t>
  </si>
  <si>
    <t>Умная колонка Apple HomePod mini темная ночь 1</t>
  </si>
  <si>
    <t>https://mgg.stores-apple.com/catalog/umnaya-kolonka-apple-homepod-mini-seraja/</t>
  </si>
  <si>
    <t>Умная колонка Apple HomePod mini белая 1</t>
  </si>
  <si>
    <t>https://mgg.stores-apple.com/catalog/umnaya-kolonka-apple-homepod-mini-belaya/</t>
  </si>
  <si>
    <t>Беспроводные наушники Marshall Monitor 2 A.N.C. чёрный</t>
  </si>
  <si>
    <t>https://mgg.stores-apple.com/catalog/besprovodnye-naushniki-marshall-monitor-2-anc-chernyi/</t>
  </si>
  <si>
    <t>Портативная аудиосистема uBear Groove 160Вт Bluetooth 5.3</t>
  </si>
  <si>
    <t>https://mgg.stores-apple.com/catalog/portativnaya_audiosistema_ubear_groove_160vt_bluetooth_5_3/</t>
  </si>
  <si>
    <t>https://mgg.stores-apple.com/catalog/kolonka-yandeks-stanciya-2-sinij-kobalt/</t>
  </si>
  <si>
    <t>Яндекс станция 2 красный рубин 1</t>
  </si>
  <si>
    <t>https://mgg.stores-apple.com/catalog/kolonka-yandeks-stanciya-2-krasnyj-rubin/</t>
  </si>
  <si>
    <t>https://mgg.stores-apple.com/catalog/kolonka-yandeks-stanciya-2-pesochnyj/</t>
  </si>
  <si>
    <t>Яндекс станция 2 Лимитированная серия Кибердеревня, черный антрацит</t>
  </si>
  <si>
    <t>https://mgg.stores-apple.com/catalog/kolonka-yandeks-stanciya-2-limitirovannaya-seriya-kiberderevnya-chernyj-antracit/</t>
  </si>
  <si>
    <t>https://mgg.stores-apple.com/catalog/kolonka-yandeks-stanciya-2-mednyj/</t>
  </si>
  <si>
    <t>https://mgg.stores-apple.com/catalog/kolonka-yandeks-stanciya-2-chernyj-antracit/</t>
  </si>
  <si>
    <t>https://mgg.stores-apple.com/catalog/kolonka-yandeks-stanciya-maks-biryuzovyj/</t>
  </si>
  <si>
    <t>https://mgg.stores-apple.com/catalog/kolonka-yandeks-stanciya-maks-krasnyj/</t>
  </si>
  <si>
    <t>https://mgg.stores-apple.com/catalog/kolonka-yandeks-stanciya-maks-chernyj/</t>
  </si>
  <si>
    <t>https://mgg.stores-apple.com/catalog/kolonka-yandeks-stanciya-maks-zelenyj/</t>
  </si>
  <si>
    <t>MacBook Neo</t>
  </si>
  <si>
    <t>Ноутбук Apple MacBook Neo (2026) 8 ГБ, 512 ГБ, серебристый MHFC4</t>
  </si>
  <si>
    <t>Яндекс станция Макс бежевая 1</t>
  </si>
  <si>
    <t>https://mgg.stores-apple.com/catalog/kolonka-yandeks-stanciya-maks-bezhevaya/</t>
  </si>
  <si>
    <t>Ноутбук Apple MacBook Neo (2026) 8 ГБ, 256 ГБ, цитрус MHFD4</t>
  </si>
  <si>
    <t>Наушники Apple AirPods Max USB-C фиолетовые MWW83</t>
  </si>
  <si>
    <t>https://mgg.stores-apple.com/catalog/besprovodnye-naushniki-apple-airpods-max-fioletovyj/</t>
  </si>
  <si>
    <t>Умная колонка Apple HomePod 2 белая 1</t>
  </si>
  <si>
    <t>https://mgg.stores-apple.com/catalog/umnaya-kolonka-apple-homepod-2-belaya/</t>
  </si>
  <si>
    <t>Ноутбук Apple MacBook Neo (2026) 8 ГБ, 256 ГБ, индиго MHFF4</t>
  </si>
  <si>
    <t>Умная колонка Apple HomePod 2 серая 1</t>
  </si>
  <si>
    <t>https://mgg.stores-apple.com/catalog/umnaya-kolonka-apple-homepod-2-seraja/</t>
  </si>
  <si>
    <t>Ноутбук Apple MacBook Neo (2026) 8 ГБ, 256 ГБ, розовый румянец MHFH4</t>
  </si>
  <si>
    <t>Наушники Apple AirPods Max USB-C оранжевые MWW73</t>
  </si>
  <si>
    <t>https://mgg.stores-apple.com/catalog/besprovodnye-naushniki-apple-airpods-max-apelsin/</t>
  </si>
  <si>
    <t>Ноутбук Apple MacBook Neo (2026) 8 ГБ, 256 ГБ,серебристый MHFA4</t>
  </si>
  <si>
    <t>https://mgg.stores-apple.com/catalog/besprovodnye-naushniki-apple-airpods-max-lunnyj-svet/</t>
  </si>
  <si>
    <t>Ноутбук Apple MacBook Neo (2026) 8 ГБ, 512 ГБ, цитрус MHFE4</t>
  </si>
  <si>
    <t>Наушники Apple AirPods Max USB-C синие MWW63</t>
  </si>
  <si>
    <t>https://mgg.stores-apple.com/catalog/besprovodnye-naushniki-apple-airpods-max-sinij/</t>
  </si>
  <si>
    <t>Ноутбук Apple MacBook Neo (2026) 8 ГБ, 512 ГБ, розовый румянец MHFJ4</t>
  </si>
  <si>
    <t>https://mgg.stores-apple.com/catalog/besprovodnye_naushniki_apple_airpods_max_2_fioletovyy/</t>
  </si>
  <si>
    <t>Беспроводные наушники Apple AirPods Max 2 сияющая звезда</t>
  </si>
  <si>
    <t>https://mgg.stores-apple.com/catalog/besprovodnye_naushniki_apple_airpods_max_2_siyayushchaya_zvezda/</t>
  </si>
  <si>
    <t>Ноутбук Apple MacBook Neo (2026) 8 ГБ, 512 ГБ, индиго MHFG4</t>
  </si>
  <si>
    <t>https://mgg.stores-apple.com/catalog/besprovodnye_naushniki_apple_airpods_max_2_oranzhevyy/</t>
  </si>
  <si>
    <t>Mac mini</t>
  </si>
  <si>
    <t>https://mgg.stores-apple.com/catalog/besprovodnye_naushniki_apple_airpods_max_2_polunochnyy_chernyy/</t>
  </si>
  <si>
    <t>https://mgg.stores-apple.com/catalog/besprovodnye_naushniki_apple_airpods_max_2_siniy/</t>
  </si>
  <si>
    <t>Яндекс станция Дуо Макс зелёный 1</t>
  </si>
  <si>
    <t>https://mgg.stores-apple.com/catalog/kolonka-yandeks-stanciya-duo-maks-zelenyj/</t>
  </si>
  <si>
    <t>Яндекс станция Дуо Макс красный 1</t>
  </si>
  <si>
    <t>https://mgg.stores-apple.com/catalog/kolonka-yandeks-stanciya-duo-maks-krasnyj/</t>
  </si>
  <si>
    <t>Яндекс станция Дуо Макс черный 1</t>
  </si>
  <si>
    <t>https://mgg.stores-apple.com/catalog/kolonka-yandeks-stanciya-duo-maks-chernyj/</t>
  </si>
  <si>
    <t>Яндекс станция Дуо Макс бежевый 1</t>
  </si>
  <si>
    <t>https://mgg.stores-apple.com/catalog/kolonka-yandeks-stanciya-duo-maks-bezhevyj/</t>
  </si>
  <si>
    <t>Наушники Apple AirPods 5 белые (с шумоподавлением)</t>
  </si>
  <si>
    <t>https://mgg.stores-apple.com/catalog/naushniki_apple_airpods_5_belye_s_shumopodavleniem/</t>
  </si>
  <si>
    <t>Беспроводная мышь Apple Magic Mouse Wireless 3, белая, MK2E3</t>
  </si>
  <si>
    <t>Наушники Apple AirPods 5 белые (с шумоподавлением) + зарядный кейс</t>
  </si>
  <si>
    <t>https://mgg.stores-apple.com/catalog/naushniki_apple_airpods_5_belye_s_shumopodavleniem_zaryadnyy_keys/</t>
  </si>
  <si>
    <t>Портативная аудиосистема JBL Partybox 1100 Ultimate черный</t>
  </si>
  <si>
    <t>https://mgg.stores-apple.com/catalog/portativnaya_audiosistema_jbl_partybox_1100_ultimate_chernyy/</t>
  </si>
  <si>
    <t>https://mgg.stores-apple.com/catalog/portativnaya_kolonka_jbl_charge_6_chernaya_oranzhevaya/</t>
  </si>
  <si>
    <t>APPLE TV</t>
  </si>
  <si>
    <t>Медиаплеер Apple TV 4K 64 ГБ (4-го поколения)</t>
  </si>
  <si>
    <t>https://mgg.stores-apple.com/catalog/mediapleer_apple_tv_4k_64_gb_4_go_pokoleniya/</t>
  </si>
  <si>
    <t>Медиаплеер Apple TV 4K 128 ГБ (4-го поколения)</t>
  </si>
  <si>
    <t>https://mgg.stores-apple.com/catalog/mediapleer_apple_tv_4k_128_gb_4_go_pokoleniya/</t>
  </si>
  <si>
    <t>Медиаплеер Apple TV 4K 64Gb (3-го поколения) 1</t>
  </si>
  <si>
    <t>https://mgg.stores-apple.com/catalog/mediapleer-apple-tv-4k-64-gb-3go-pokoleniya/</t>
  </si>
  <si>
    <t>Медиаплеер Apple TV 4K 128Gb (3-го поколения) 1</t>
  </si>
  <si>
    <t>https://mgg.stores-apple.com/catalog/mediapleer-apple-tv-4k-128-gb-3go-pokoleniya/</t>
  </si>
  <si>
    <t>VR и микрофоны</t>
  </si>
  <si>
    <t>Бытовая техника</t>
  </si>
  <si>
    <t>https://mgg.stores-apple.com/catalog/sistema-virtualnoy-realnosti-sony-playstation-vr-2-belyy/</t>
  </si>
  <si>
    <t>Техника для дома</t>
  </si>
  <si>
    <t>Очки виртуальной реальности Oculus Quest 3S 128 ГБ</t>
  </si>
  <si>
    <t>https://mgg.stores-apple.com/catalog/ochki-virtualnoy-realnosti-oculus-quest-3s-128-gb/</t>
  </si>
  <si>
    <t>Очки виртуальной реальности Oculus Quest 3S 256 ГБ</t>
  </si>
  <si>
    <t>https://mgg.stores-apple.com/catalog/ochki-virtualnoy-realnosti-oculus-quest-3s-256-gb/</t>
  </si>
  <si>
    <t>https://mgg.stores-apple.com/catalog/ochki-virtualnoy-realnosti-apple-vision-pro-m5-256-gb/</t>
  </si>
  <si>
    <t>https://mgg.stores-apple.com/catalog/ochki-virtualnoy-realnosti-apple-vision-pro-m5-512-gb/</t>
  </si>
  <si>
    <t>https://mgg.stores-apple.com/catalog/ochki-virtualnoy-realnosti-apple-vision-pro-m5-1024-gb/</t>
  </si>
  <si>
    <t>Микрофонная система DJI Mic Mini (2 TX + 1 RX + Charging Case)</t>
  </si>
  <si>
    <t>https://mgg.stores-apple.com/catalog/mikrofonnaya_sistema_dji_mic_mini_2_tx_1_rx_charging_case/</t>
  </si>
  <si>
    <t>Микрофонная система DJI Mic Mini 2S (2 TX + 1 RX + Charging Case)</t>
  </si>
  <si>
    <t>https://mgg.stores-apple.com/catalog/mikrofonnaya_sistema_dji_mic_mini_2s_2_tx_1_rx_charging_case/</t>
  </si>
  <si>
    <t>Микрофонная система DJI Mic 3 (2 TX + 1 RX + Charging Case)</t>
  </si>
  <si>
    <t>https://mgg.stores-apple.com/catalog/mikrofonnaya_sistema_dji_mic_3_2_tx_1_rx_charging_case/</t>
  </si>
  <si>
    <r>
      <rPr>
        <rFont val="Montserrat, Arial, sans-serif"/>
        <color rgb="FF1155CC"/>
        <sz val="11.0"/>
        <u/>
      </rPr>
      <t>Очки Meta WAYFARER Ray-Ban Gen 2 RW4012 Matte Black | Clear (M)</t>
    </r>
  </si>
  <si>
    <t>https://mgg.stores-apple.com/catalog/ochki_meta_wayfarer_ray_ban_gen_2_rw4012_matte_black_clear_m/</t>
  </si>
  <si>
    <t>https://mgg.stores-apple.com/catalog/ochki_meta_wayfarer_ray_ban_gen_2_rw4012_matte_black_grey_transitions_m/</t>
  </si>
  <si>
    <t>Красота и здоровье</t>
  </si>
  <si>
    <t>Стайлер Dyson Airwrap i.d. Long HS08 Straight+Wavy (Vinca BlueTopaz) 1</t>
  </si>
  <si>
    <t>Стайлер Dyson Airwrap Coanda2x HS09 Multi Styler &amp; Dryer (Jasper Plum)</t>
  </si>
  <si>
    <t>Фен Dyson Supersonic Nural HD16 (Vinca BlueTopaz) 1</t>
  </si>
  <si>
    <t>Фен Dyson Supersonic Nural HD16 (Ceramic PatinaTopaz) 1</t>
  </si>
  <si>
    <t>Стайлер Dyson Airwrap i.d. Long HS08 Straight+Wavy (Ceramic PatinaTopaz) 1</t>
  </si>
  <si>
    <t>Выпрямитель Dyson Airstrait HT01 (NickelCooper) 1</t>
  </si>
  <si>
    <t>Стайлер Dyson Airwrap i.d. Long HS08 Straight+Wavy (Red VelvetGold) 1</t>
  </si>
  <si>
    <t>Фен Dyson Supersonic Nural HD16 (Red VelvetGold) 1</t>
  </si>
  <si>
    <t>Выпрямитель Dyson Airstrait HT01 (Red VelvetGold) 1</t>
  </si>
  <si>
    <t>Стайлер Dyson Airwrap i.d. Long HS08 Straight+Wavy (Jasper Plum) 1</t>
  </si>
  <si>
    <t>Выпрямитель Dyson Airstrait HT01 (Prussian Blue/Cooper)</t>
  </si>
  <si>
    <t>Стайлер Dyson Airwrap HS09 Coanda2x™ Apricot Topaz 1</t>
  </si>
  <si>
    <t>Стайлер Dyson Airwrap Coanda2x HS09 Multi Styler &amp; Dryer (Amber Silk)</t>
  </si>
  <si>
    <t>Стайлер Dyson Airwrap Coanda2x HS09 Multi Styler &amp; Dryer (Ceramic Pink/Rose Gold)</t>
  </si>
  <si>
    <t>ТВ, консоли и аудио</t>
  </si>
  <si>
    <t>Аудиотехника</t>
  </si>
  <si>
    <t>Беспроводные наушники Marshall Major 5 чёрный</t>
  </si>
  <si>
    <t>Наушники Apple AirPods 4 белые</t>
  </si>
  <si>
    <t>Наушники Apple AirPods 4 белые (с шумоподавлением)</t>
  </si>
  <si>
    <t>Наушники Apple AirPods Pro 2 белые (Type-C)</t>
  </si>
  <si>
    <t>Наушники Apple AirPods Pro 3 белые</t>
  </si>
  <si>
    <t>Беспроводные наушники Marshall Major 5 коричневый</t>
  </si>
  <si>
    <t>Беспроводные наушники Marshall Major 5 кремовый</t>
  </si>
  <si>
    <t>Яндекс станция мини без часов cерый опал 1</t>
  </si>
  <si>
    <t>Яндекс станция мини без часов черный оникс 1</t>
  </si>
  <si>
    <t>Яндекс станция мини cиний сапфир 1</t>
  </si>
  <si>
    <t>Яндекс станция мини красный гранат 1</t>
  </si>
  <si>
    <t>Яндекс станция миди оранжевый 1</t>
  </si>
  <si>
    <t>Яндекс станция миди изумрудный 1</t>
  </si>
  <si>
    <t>Яндекс станция миди малиновый 1</t>
  </si>
  <si>
    <t>Яндекс станция миди черный 1</t>
  </si>
  <si>
    <t>Яндекс станция 2 синий кобальт 1</t>
  </si>
  <si>
    <t>Яндекс станция 2 песочный 1</t>
  </si>
  <si>
    <t>Яндекс станция 2 медный 1</t>
  </si>
  <si>
    <t>Яндекс станция 2 черный антрацит 1</t>
  </si>
  <si>
    <t>Яндекс станция Макс красный 1</t>
  </si>
  <si>
    <t>Яндекс станция Макс черный 1</t>
  </si>
  <si>
    <t>Яндекс станция Макс зеленый 1</t>
  </si>
  <si>
    <t>Наушники Apple AirPods Max USB-C сияющая звезда MWW53</t>
  </si>
  <si>
    <t>Беспроводные наушники Apple AirPods Max 2 фиолетовый</t>
  </si>
  <si>
    <t>Беспроводные наушники Apple AirPods Max 2 оранжевый</t>
  </si>
  <si>
    <t>Беспроводные наушники Apple AirPods Max 2 полуночный черный</t>
  </si>
  <si>
    <t>Беспроводные наушники Apple AirPods Max 2 синий</t>
  </si>
  <si>
    <t>Портативная колонка JBL Charge 6 черная | оранжевая</t>
  </si>
  <si>
    <t>TV</t>
  </si>
  <si>
    <t>Консоли и видеоигры</t>
  </si>
  <si>
    <t>Система виртуальной реальности Sony PlayStation VR 2 белый 1</t>
  </si>
  <si>
    <t>Очки виртуальной реальности Apple Vision Pro M5 256 ГБ</t>
  </si>
  <si>
    <t>Очки виртуальной реальности Apple Vision Pro M5 512 ГБ</t>
  </si>
  <si>
    <t>Очки виртуальной реальности Apple Vision Pro M5 1024 ГБ</t>
  </si>
  <si>
    <t>Микрофонная система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</si>
</sst>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Calibri"/>
    </font>
    <font>
      <u/>
      <color rgb="FF0000FF"/>
    </font>
    <font>
      <color rgb="FF9C0006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Calibri"/>
    </font>
    <font>
      <u/>
      <color rgb="FF0000FF"/>
    </font>
    <font>
      <u/>
      <sz val="11.0"/>
      <color rgb="FF555555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2" fontId="4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0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mgg.stores-apple.com/catalog/smartfon-apple-iphone-17-pro-max-1024-gb-serebristyj-esim/" TargetMode="External"/><Relationship Id="rId194" Type="http://schemas.openxmlformats.org/officeDocument/2006/relationships/hyperlink" Target="https://mgg.stores-apple.com/catalog/smartfon-apple-iphone-17-pro-max-2048-gb-oranzevyi-esim/" TargetMode="External"/><Relationship Id="rId193" Type="http://schemas.openxmlformats.org/officeDocument/2006/relationships/hyperlink" Target="https://mgg.stores-apple.com/catalog/smartfon-apple-iphone-17-pro-max-1024-gb-serebristyj/" TargetMode="External"/><Relationship Id="rId192" Type="http://schemas.openxmlformats.org/officeDocument/2006/relationships/hyperlink" Target="https://mgg.stores-apple.com/catalog/smartfon-apple-iphone-17-pro-max-1024-gb-sinij/" TargetMode="External"/><Relationship Id="rId191" Type="http://schemas.openxmlformats.org/officeDocument/2006/relationships/hyperlink" Target="https://mgg.stores-apple.com/catalog/smartfon-apple-iphone-17-pro-max-1024-gb-oranzevyi/" TargetMode="External"/><Relationship Id="rId187" Type="http://schemas.openxmlformats.org/officeDocument/2006/relationships/hyperlink" Target="https://cifrocity.com/catalog/apple/iphone_17_pro_max/apple_iphone_17_pro_max_1tb_esim_siniy_bez_rustore/" TargetMode="External"/><Relationship Id="rId186" Type="http://schemas.openxmlformats.org/officeDocument/2006/relationships/hyperlink" Target="https://mgg.stores-apple.com/catalog/smartfon-apple-iphone-17-pro-max-1024-gb-oranzevyi-esim/" TargetMode="External"/><Relationship Id="rId185" Type="http://schemas.openxmlformats.org/officeDocument/2006/relationships/hyperlink" Target="https://mgg.stores-apple.com/catalog/smartfon-apple-iphone-17-pro-max-512-gb-serebristyj/" TargetMode="External"/><Relationship Id="rId184" Type="http://schemas.openxmlformats.org/officeDocument/2006/relationships/hyperlink" Target="https://mgg.stores-apple.com/catalog/smartfon-apple-iphone-17-pro-max-512-gb-sinij/" TargetMode="External"/><Relationship Id="rId189" Type="http://schemas.openxmlformats.org/officeDocument/2006/relationships/hyperlink" Target="https://cifrocity.com/catalog/apple/iphone_17_pro_max/apple_iphone_17_pro_max_1tb_esim_serebristyy_bez_rustore/" TargetMode="External"/><Relationship Id="rId188" Type="http://schemas.openxmlformats.org/officeDocument/2006/relationships/hyperlink" Target="https://mgg.stores-apple.com/catalog/smartfon-apple-iphone-17-pro-max-1024-gb-sinij-esim/" TargetMode="External"/><Relationship Id="rId183" Type="http://schemas.openxmlformats.org/officeDocument/2006/relationships/hyperlink" Target="https://cifrocity.com/catalog/apple/iphone_17_pro_max/apple_iphone_17_pro_max_256gb_chernyy_titan_/" TargetMode="External"/><Relationship Id="rId182" Type="http://schemas.openxmlformats.org/officeDocument/2006/relationships/hyperlink" Target="https://mgg.stores-apple.com/catalog/smartfon-apple-iphone-17-pro-max-512-gb-oranzevyi/" TargetMode="External"/><Relationship Id="rId181" Type="http://schemas.openxmlformats.org/officeDocument/2006/relationships/hyperlink" Target="https://cifrocity.com/catalog/apple/iphone_17_pro_max/apple_iphone_17_pro_max_512gb_oranzhevyy_bez_rustore/" TargetMode="External"/><Relationship Id="rId180" Type="http://schemas.openxmlformats.org/officeDocument/2006/relationships/hyperlink" Target="https://mgg.stores-apple.com/catalog/smartfon-apple-iphone-17-pro-max-512-gb-serebristyj-esim/" TargetMode="External"/><Relationship Id="rId176" Type="http://schemas.openxmlformats.org/officeDocument/2006/relationships/hyperlink" Target="https://cifrocity.com/catalog/apple/iphone_17_pro_max/apple_iphone_17_pro_max_512gb_esim_oranzhevyy_bez_rustore/" TargetMode="External"/><Relationship Id="rId175" Type="http://schemas.openxmlformats.org/officeDocument/2006/relationships/hyperlink" Target="https://mgg.stores-apple.com/catalog/smartfon-apple-iphone-17-pro-max-256-gb-serebristyj/" TargetMode="External"/><Relationship Id="rId174" Type="http://schemas.openxmlformats.org/officeDocument/2006/relationships/hyperlink" Target="https://cifrocity.com/catalog/apple/iphone_17_pro_max/apple_iphone_17_pro_max_256gb_sim_esim_serebristyy_bez_rustore/" TargetMode="External"/><Relationship Id="rId173" Type="http://schemas.openxmlformats.org/officeDocument/2006/relationships/hyperlink" Target="https://mgg.stores-apple.com/catalog/smartfon-apple-iphone-17-pro-max-256-gb-sinij/" TargetMode="External"/><Relationship Id="rId179" Type="http://schemas.openxmlformats.org/officeDocument/2006/relationships/hyperlink" Target="https://cifrocity.com/catalog/apple/iphone_17_pro_max/apple_iphone_17_pro_max_512gb_esim_serebristyy_bez_rustore/" TargetMode="External"/><Relationship Id="rId178" Type="http://schemas.openxmlformats.org/officeDocument/2006/relationships/hyperlink" Target="https://mgg.stores-apple.com/catalog/smartfon-apple-iphone-17-pro-max-512-gb-sinij-esim/" TargetMode="External"/><Relationship Id="rId177" Type="http://schemas.openxmlformats.org/officeDocument/2006/relationships/hyperlink" Target="https://mgg.stores-apple.com/catalog/smartfon-apple-iphone-17-pro-max-512-gb-oranzevyi-esim/" TargetMode="External"/><Relationship Id="rId198" Type="http://schemas.openxmlformats.org/officeDocument/2006/relationships/hyperlink" Target="https://mgg.stores-apple.com/catalog/smartfon-apple-iphone-17-pro-max-2048-gb-sinij/" TargetMode="External"/><Relationship Id="rId197" Type="http://schemas.openxmlformats.org/officeDocument/2006/relationships/hyperlink" Target="https://mgg.stores-apple.com/catalog/smartfon-apple-iphone-17-pro-max-2048-gb-oranzevyi/" TargetMode="External"/><Relationship Id="rId196" Type="http://schemas.openxmlformats.org/officeDocument/2006/relationships/hyperlink" Target="https://mgg.stores-apple.com/catalog/smartfon-apple-iphone-17-pro-max-2048-gb-serebristyj-esim/" TargetMode="External"/><Relationship Id="rId195" Type="http://schemas.openxmlformats.org/officeDocument/2006/relationships/hyperlink" Target="https://mgg.stores-apple.com/catalog/smartfon-apple-iphone-17-pro-max-2048-gb-sinij-esim/" TargetMode="External"/><Relationship Id="rId199" Type="http://schemas.openxmlformats.org/officeDocument/2006/relationships/hyperlink" Target="https://mgg.stores-apple.com/catalog/smartfon-apple-iphone-17-pro-max-2048-gb-serebristyj/" TargetMode="External"/><Relationship Id="rId150" Type="http://schemas.openxmlformats.org/officeDocument/2006/relationships/hyperlink" Target="https://cifrocity.com/catalog/apple/iphone_17_pro/apple_iphone_17_pro_256gb_seryy/" TargetMode="External"/><Relationship Id="rId392" Type="http://schemas.openxmlformats.org/officeDocument/2006/relationships/hyperlink" Target="https://mgg.stores-apple.com/catalog/smartfon-samsung-galaxy-s25-plus-512-gb-korallovyy/" TargetMode="External"/><Relationship Id="rId391" Type="http://schemas.openxmlformats.org/officeDocument/2006/relationships/hyperlink" Target="https://mgg.stores-apple.com/catalog/smartfon_samsung_galaxy_s26_256_gb_white_belyy_1/" TargetMode="External"/><Relationship Id="rId390" Type="http://schemas.openxmlformats.org/officeDocument/2006/relationships/hyperlink" Target="https://mgg.stores-apple.com/catalog/smartfon_samsung_galaxy_s26_256_gb_blue_goluboy_1/" TargetMode="External"/><Relationship Id="rId1" Type="http://schemas.openxmlformats.org/officeDocument/2006/relationships/hyperlink" Target="https://cifrocity.com/catalog/apple/iphone_13_13_pro_13_pro_max/apple_iphone_13_128gb_seryy/" TargetMode="External"/><Relationship Id="rId2" Type="http://schemas.openxmlformats.org/officeDocument/2006/relationships/hyperlink" Target="https://mgg.stores-apple.com/catalog/apple-iphone-13-128-gb-chernyj/" TargetMode="External"/><Relationship Id="rId3" Type="http://schemas.openxmlformats.org/officeDocument/2006/relationships/hyperlink" Target="https://mgg.stores-apple.com/catalog/apple-iphone-13-128-gb-belyj/" TargetMode="External"/><Relationship Id="rId149" Type="http://schemas.openxmlformats.org/officeDocument/2006/relationships/hyperlink" Target="https://mgg.stores-apple.com/catalog/smartfon-apple-iphone-17-pro-512-gb-sinij-esim/" TargetMode="External"/><Relationship Id="rId4" Type="http://schemas.openxmlformats.org/officeDocument/2006/relationships/hyperlink" Target="https://mgg.stores-apple.com/catalog/apple-iphone-14-128-gb-polnoch/" TargetMode="External"/><Relationship Id="rId148" Type="http://schemas.openxmlformats.org/officeDocument/2006/relationships/hyperlink" Target="https://cifrocity.com/catalog/apple/iphone_17_pro/apple_iphone_17_pro_128gb_chernyy_titan_/" TargetMode="External"/><Relationship Id="rId1090" Type="http://schemas.openxmlformats.org/officeDocument/2006/relationships/hyperlink" Target="https://mgg.stores-apple.com/catalog/apple-watch-ultra-2-satin-black-alpine-loop-sinij-l/" TargetMode="External"/><Relationship Id="rId1091" Type="http://schemas.openxmlformats.org/officeDocument/2006/relationships/hyperlink" Target="https://mgg.stores-apple.com/catalog/apple-watch-ultra-2-satin-black-trail-loop-green-gray-sm/" TargetMode="External"/><Relationship Id="rId1092" Type="http://schemas.openxmlformats.org/officeDocument/2006/relationships/hyperlink" Target="https://mgg.stores-apple.com/catalog/apple-watch-ultra-2-satin-black-alpine-loop-olive-m/" TargetMode="External"/><Relationship Id="rId1093" Type="http://schemas.openxmlformats.org/officeDocument/2006/relationships/hyperlink" Target="https://mgg.stores-apple.com/catalog/apple-watch-ultra-2-satin-black-trail-loop-orange-beige-sm/" TargetMode="External"/><Relationship Id="rId1094" Type="http://schemas.openxmlformats.org/officeDocument/2006/relationships/hyperlink" Target="https://mgg.stores-apple.com/catalog/apple-watch-ultra-2-satin-black-trail-loop-blue-black-sm/" TargetMode="External"/><Relationship Id="rId9" Type="http://schemas.openxmlformats.org/officeDocument/2006/relationships/hyperlink" Target="https://mgg.stores-apple.com/catalog/apple-iphone-15-128-gb-green/" TargetMode="External"/><Relationship Id="rId143" Type="http://schemas.openxmlformats.org/officeDocument/2006/relationships/hyperlink" Target="https://mgg.stores-apple.com/catalog/smartfon-apple-iphone-17-pro-256-gb-sinij/" TargetMode="External"/><Relationship Id="rId385" Type="http://schemas.openxmlformats.org/officeDocument/2006/relationships/hyperlink" Target="https://mgg.stores-apple.com/catalog/smartfon_samsung_galaxy_s26_fe_512_gb_zelenyy/" TargetMode="External"/><Relationship Id="rId1095" Type="http://schemas.openxmlformats.org/officeDocument/2006/relationships/hyperlink" Target="https://mgg.stores-apple.com/catalog/apple-watch-ultra-2-satin-black-alpine-loop-indigo-m/" TargetMode="External"/><Relationship Id="rId142" Type="http://schemas.openxmlformats.org/officeDocument/2006/relationships/hyperlink" Target="https://cifrocity.com/catalog/apple/iphone_17_pro/apple_iphone_17_pro_256gb_siniy/" TargetMode="External"/><Relationship Id="rId384" Type="http://schemas.openxmlformats.org/officeDocument/2006/relationships/hyperlink" Target="https://mgg.stores-apple.com/catalog/smartfon_samsung_galaxy_s26_fe_512_gb_chernyy/" TargetMode="External"/><Relationship Id="rId1096" Type="http://schemas.openxmlformats.org/officeDocument/2006/relationships/hyperlink" Target="https://mgg.stores-apple.com/catalog/apple-watch-ultra-2-satin-black-alpine-loop-indigo-l/" TargetMode="External"/><Relationship Id="rId141" Type="http://schemas.openxmlformats.org/officeDocument/2006/relationships/hyperlink" Target="https://mgg.stores-apple.com/catalog/smartfon-apple-iphone-17-pro-256-gb-oranzevyi/" TargetMode="External"/><Relationship Id="rId383" Type="http://schemas.openxmlformats.org/officeDocument/2006/relationships/hyperlink" Target="https://mgg.stores-apple.com/catalog/smartfon_samsung_galaxy_s26_256_gb_white_belyy/" TargetMode="External"/><Relationship Id="rId1097" Type="http://schemas.openxmlformats.org/officeDocument/2006/relationships/hyperlink" Target="https://mgg.stores-apple.com/catalog/apple-watch-ultra-2-satin-black-ocean-band-white/" TargetMode="External"/><Relationship Id="rId140" Type="http://schemas.openxmlformats.org/officeDocument/2006/relationships/hyperlink" Target="https://cifrocity.com/catalog/apple/iphone_17_pro/apple_iphone_17_pro_256gb_oranzhevyy/" TargetMode="External"/><Relationship Id="rId382" Type="http://schemas.openxmlformats.org/officeDocument/2006/relationships/hyperlink" Target="https://mgg.stores-apple.com/catalog/smartfon_samsung_galaxy_s26_256_gb_blue_goluboy/" TargetMode="External"/><Relationship Id="rId1098" Type="http://schemas.openxmlformats.org/officeDocument/2006/relationships/hyperlink" Target="https://mgg.stores-apple.com/catalog/apple-watch-ultra-2-satin-black-alpine-loop-indigo-s/" TargetMode="External"/><Relationship Id="rId5" Type="http://schemas.openxmlformats.org/officeDocument/2006/relationships/hyperlink" Target="https://cifrocity.com/catalog/apple/iphone_15/apple_iphone_15_128gb_seryy/" TargetMode="External"/><Relationship Id="rId147" Type="http://schemas.openxmlformats.org/officeDocument/2006/relationships/hyperlink" Target="https://mgg.stores-apple.com/catalog/smartfon-apple-iphone-17-pro-512-gb-oranzevyi-esim/" TargetMode="External"/><Relationship Id="rId389" Type="http://schemas.openxmlformats.org/officeDocument/2006/relationships/hyperlink" Target="https://mgg.stores-apple.com/catalog/smartfon_samsung_galaxy_s26_512_gb_blue_goluboy/" TargetMode="External"/><Relationship Id="rId1099" Type="http://schemas.openxmlformats.org/officeDocument/2006/relationships/hyperlink" Target="https://mgg.stores-apple.com/catalog/apple-watch-ultra-2-satin-black-ocean-band-orange/" TargetMode="External"/><Relationship Id="rId6" Type="http://schemas.openxmlformats.org/officeDocument/2006/relationships/hyperlink" Target="https://mgg.stores-apple.com/catalog/apple-iphone-15-128-gb-black/" TargetMode="External"/><Relationship Id="rId146" Type="http://schemas.openxmlformats.org/officeDocument/2006/relationships/hyperlink" Target="https://cifrocity.com/catalog/apple/iphone_17_pro/apple_iphone_17_pro_512gb_oranzhevyy_bez_rustore/" TargetMode="External"/><Relationship Id="rId388" Type="http://schemas.openxmlformats.org/officeDocument/2006/relationships/hyperlink" Target="https://mgg.stores-apple.com/catalog/smartfon_samsung_galaxy_s26_12_256_gb_silver_shadow_serebryanaya_ten/" TargetMode="External"/><Relationship Id="rId7" Type="http://schemas.openxmlformats.org/officeDocument/2006/relationships/hyperlink" Target="https://cifrocity.com/catalog/apple/iphone_15/apple_iphone_15_128gb_siniy/" TargetMode="External"/><Relationship Id="rId145" Type="http://schemas.openxmlformats.org/officeDocument/2006/relationships/hyperlink" Target="https://mgg.stores-apple.com/catalog/smartfon-apple-iphone-17-pro-256-gb-serebristyj/" TargetMode="External"/><Relationship Id="rId387" Type="http://schemas.openxmlformats.org/officeDocument/2006/relationships/hyperlink" Target="https://mgg.stores-apple.com/catalog/smartfon-samsung-galaxy-s25-ultra-256-gb-rozovyy-titan/" TargetMode="External"/><Relationship Id="rId8" Type="http://schemas.openxmlformats.org/officeDocument/2006/relationships/hyperlink" Target="https://mgg.stores-apple.com/catalog/apple-iphone-15-128-gb-siniy/" TargetMode="External"/><Relationship Id="rId144" Type="http://schemas.openxmlformats.org/officeDocument/2006/relationships/hyperlink" Target="https://cifrocity.com/catalog/apple/iphone_17_pro/apple_iphone_17_pro_256gb_belyy/" TargetMode="External"/><Relationship Id="rId386" Type="http://schemas.openxmlformats.org/officeDocument/2006/relationships/hyperlink" Target="https://mgg.stores-apple.com/catalog/smartfon_samsung_galaxy_s26_fe_512_gb_fioletovyy/" TargetMode="External"/><Relationship Id="rId381" Type="http://schemas.openxmlformats.org/officeDocument/2006/relationships/hyperlink" Target="https://mgg.stores-apple.com/catalog/smartfon-samsung-galaxy-s25-edge-12-512gb-chernyi/" TargetMode="External"/><Relationship Id="rId380" Type="http://schemas.openxmlformats.org/officeDocument/2006/relationships/hyperlink" Target="https://mgg.stores-apple.com/catalog/smartfon-samsung-galaxy-s25-edge-12-512gb-serebristyi/" TargetMode="External"/><Relationship Id="rId139" Type="http://schemas.openxmlformats.org/officeDocument/2006/relationships/hyperlink" Target="https://mgg.stores-apple.com/catalog/smartfon-apple-iphone-17-pro-256-gb-serebristyj-esim/" TargetMode="External"/><Relationship Id="rId138" Type="http://schemas.openxmlformats.org/officeDocument/2006/relationships/hyperlink" Target="https://cifrocity.com/catalog/apple/iphone_17_pro/apple_iphone_17_pro_256gb_esim_serebristyy_bez_rustore/" TargetMode="External"/><Relationship Id="rId137" Type="http://schemas.openxmlformats.org/officeDocument/2006/relationships/hyperlink" Target="https://mgg.stores-apple.com/catalog/smartfon-apple-iphone-17-pro-256-gb-sinij-esim/" TargetMode="External"/><Relationship Id="rId379" Type="http://schemas.openxmlformats.org/officeDocument/2006/relationships/hyperlink" Target="https://mgg.stores-apple.com/catalog/smartfon-samsung-galaxy-s25-edge-12-512gb-goluboi/" TargetMode="External"/><Relationship Id="rId1080" Type="http://schemas.openxmlformats.org/officeDocument/2006/relationships/hyperlink" Target="https://mgg.stores-apple.com/catalog/smart-chasy-apple-watch-se-3-44-mm-chernyi-sinii-s-m-gps/" TargetMode="External"/><Relationship Id="rId1081" Type="http://schemas.openxmlformats.org/officeDocument/2006/relationships/hyperlink" Target="https://mgg.stores-apple.com/catalog/smart_chasy_apple_watch_ultra_2_satin_black_49_mm_trail_loop_chernyy_razmer_m_l/" TargetMode="External"/><Relationship Id="rId1082" Type="http://schemas.openxmlformats.org/officeDocument/2006/relationships/hyperlink" Target="https://mgg.stores-apple.com/catalog/smart_chasy_apple_watch_ultra_2_black_titanium_49mm_milanese_loop_black_l/" TargetMode="External"/><Relationship Id="rId1083" Type="http://schemas.openxmlformats.org/officeDocument/2006/relationships/hyperlink" Target="https://mgg.stores-apple.com/catalog/smart_chasy_apple_watch_ultra_2_satin_black_49_mm_trail_loop_chernyy_razmer_s_m/" TargetMode="External"/><Relationship Id="rId132" Type="http://schemas.openxmlformats.org/officeDocument/2006/relationships/hyperlink" Target="https://mgg.stores-apple.com/catalog/smartfon-apple-iphone-air-1024-gb-zolotoi/" TargetMode="External"/><Relationship Id="rId374" Type="http://schemas.openxmlformats.org/officeDocument/2006/relationships/hyperlink" Target="https://mgg.stores-apple.com/catalog/smartfon-samsung-galaxy-s25-plus-256-gb-myatnyy/" TargetMode="External"/><Relationship Id="rId1084" Type="http://schemas.openxmlformats.org/officeDocument/2006/relationships/hyperlink" Target="https://mgg.stores-apple.com/catalog/apple-watch-ultra-2-trail-loop-orange-beige-sm/" TargetMode="External"/><Relationship Id="rId131" Type="http://schemas.openxmlformats.org/officeDocument/2006/relationships/hyperlink" Target="https://mgg.stores-apple.com/catalog/smartfon-apple-iphone-air-1024-gb-chernyi/" TargetMode="External"/><Relationship Id="rId373" Type="http://schemas.openxmlformats.org/officeDocument/2006/relationships/hyperlink" Target="https://mgg.stores-apple.com/catalog/smartfon-samsung-galaxy-s25-plus-256-gb-korallovyy/" TargetMode="External"/><Relationship Id="rId1085" Type="http://schemas.openxmlformats.org/officeDocument/2006/relationships/hyperlink" Target="https://mgg.stores-apple.com/catalog/smart-chasy-apple-watch-ultra-3-49-mm-black-titanium-bl-charcoal-trail-loop-s-m-5g/" TargetMode="External"/><Relationship Id="rId130" Type="http://schemas.openxmlformats.org/officeDocument/2006/relationships/hyperlink" Target="https://mgg.stores-apple.com/catalog/smartfon-apple-iphone-air-1024-gb-goluboi/" TargetMode="External"/><Relationship Id="rId372" Type="http://schemas.openxmlformats.org/officeDocument/2006/relationships/hyperlink" Target="https://mgg.stores-apple.com/catalog/smartfon-samsung-galaxy-s25-edge-12-256gb-serebristyi/" TargetMode="External"/><Relationship Id="rId1086" Type="http://schemas.openxmlformats.org/officeDocument/2006/relationships/hyperlink" Target="https://mgg.stores-apple.com/catalog/smart-chasy-apple-watch-ultra-3-49-mm-black-titanium-bl-charcoal-trail-loop-m-l-5g/" TargetMode="External"/><Relationship Id="rId371" Type="http://schemas.openxmlformats.org/officeDocument/2006/relationships/hyperlink" Target="https://mgg.stores-apple.com/catalog/smartfon-samsung-galaxy-s25-edge-12-256gb-chernyi/" TargetMode="External"/><Relationship Id="rId1087" Type="http://schemas.openxmlformats.org/officeDocument/2006/relationships/hyperlink" Target="https://mgg.stores-apple.com/catalog/smart-chasy-apple-watch-ultra-3-49-mm-natural-titanium-bright-blue-trail-m-l-5g/" TargetMode="External"/><Relationship Id="rId136" Type="http://schemas.openxmlformats.org/officeDocument/2006/relationships/hyperlink" Target="https://cifrocity.com/catalog/apple/iphone_17_pro/apple_iphone_17_pro_256gb_esim_siniy_bez_rustore/" TargetMode="External"/><Relationship Id="rId378" Type="http://schemas.openxmlformats.org/officeDocument/2006/relationships/hyperlink" Target="https://mgg.stores-apple.com/catalog/smartfon-samsung-galaxy-s25-plus-256-gb-siniy/" TargetMode="External"/><Relationship Id="rId1088" Type="http://schemas.openxmlformats.org/officeDocument/2006/relationships/hyperlink" Target="https://mgg.stores-apple.com/catalog/smart_chasy_apple_watch_ultra_2_satin_black_49_mm_ocean_band_chernyy_/" TargetMode="External"/><Relationship Id="rId135" Type="http://schemas.openxmlformats.org/officeDocument/2006/relationships/hyperlink" Target="https://mgg.stores-apple.com/catalog/smartfon-apple-iphone-17-pro-256-gb-oranzevyi-esim/" TargetMode="External"/><Relationship Id="rId377" Type="http://schemas.openxmlformats.org/officeDocument/2006/relationships/hyperlink" Target="https://mgg.stores-apple.com/catalog/smartfon-samsung-galaxy-s25-plus-256-gb-goluboy/" TargetMode="External"/><Relationship Id="rId1089" Type="http://schemas.openxmlformats.org/officeDocument/2006/relationships/hyperlink" Target="https://mgg.stores-apple.com/catalog/apple-watch-ultra-2-satin-black-trail-loop-green-gray-ml/" TargetMode="External"/><Relationship Id="rId134" Type="http://schemas.openxmlformats.org/officeDocument/2006/relationships/hyperlink" Target="https://cifrocity.com/catalog/apple/iphone_17_pro/apple_iphone_17_pro_256gb_esim_oranzhevyy_bez_rustore/" TargetMode="External"/><Relationship Id="rId376" Type="http://schemas.openxmlformats.org/officeDocument/2006/relationships/hyperlink" Target="https://mgg.stores-apple.com/catalog/smartfon-samsung-galaxy-s25-plus-256-gb-rozovyy/" TargetMode="External"/><Relationship Id="rId133" Type="http://schemas.openxmlformats.org/officeDocument/2006/relationships/hyperlink" Target="https://mgg.stores-apple.com/catalog/smartfon-apple-iphone-air-1024-gb-belyi/" TargetMode="External"/><Relationship Id="rId375" Type="http://schemas.openxmlformats.org/officeDocument/2006/relationships/hyperlink" Target="https://mgg.stores-apple.com/catalog/smartfon-samsung-galaxy-s25-plus-256-gb-seryy/" TargetMode="External"/><Relationship Id="rId172" Type="http://schemas.openxmlformats.org/officeDocument/2006/relationships/hyperlink" Target="https://cifrocity.com/catalog/apple/iphone_17_pro_max/apple_iphone_17_pro_max_256gb_siniy/" TargetMode="External"/><Relationship Id="rId171" Type="http://schemas.openxmlformats.org/officeDocument/2006/relationships/hyperlink" Target="https://mgg.stores-apple.com/catalog/smartfon-apple-iphone-17-pro-max-256-gb-oranzevyi/" TargetMode="External"/><Relationship Id="rId170" Type="http://schemas.openxmlformats.org/officeDocument/2006/relationships/hyperlink" Target="https://cifrocity.com/catalog/apple/iphone_17_pro_max/apple_iphone_17_pro_max_256gb_oranzhevyy/" TargetMode="External"/><Relationship Id="rId165" Type="http://schemas.openxmlformats.org/officeDocument/2006/relationships/hyperlink" Target="https://mgg.stores-apple.com/catalog/smartfon-apple-iphone-17-pro-max-256-gb-oranzevyi-esim/" TargetMode="External"/><Relationship Id="rId164" Type="http://schemas.openxmlformats.org/officeDocument/2006/relationships/hyperlink" Target="https://cifrocity.com/catalog/apple/iphone_17_pro_max/apple_iphone_17_pro_max_256gb_esim_oranzhevyy_bez_rustore/" TargetMode="External"/><Relationship Id="rId163" Type="http://schemas.openxmlformats.org/officeDocument/2006/relationships/hyperlink" Target="https://mgg.stores-apple.com/catalog/smartfon-apple-iphone-17-pro-1024-gb-serebristyj/" TargetMode="External"/><Relationship Id="rId162" Type="http://schemas.openxmlformats.org/officeDocument/2006/relationships/hyperlink" Target="https://mgg.stores-apple.com/catalog/smartfon-apple-iphone-17-pro-1024-gb-sinij/" TargetMode="External"/><Relationship Id="rId169" Type="http://schemas.openxmlformats.org/officeDocument/2006/relationships/hyperlink" Target="https://mgg.stores-apple.com/catalog/smartfon-apple-iphone-17-pro-max-256-gb-serebristyj-esim/" TargetMode="External"/><Relationship Id="rId168" Type="http://schemas.openxmlformats.org/officeDocument/2006/relationships/hyperlink" Target="https://cifrocity.com/catalog/apple/iphone_17_pro_max/apple_iphone_17_pro_max_256gb_belyy/" TargetMode="External"/><Relationship Id="rId167" Type="http://schemas.openxmlformats.org/officeDocument/2006/relationships/hyperlink" Target="https://mgg.stores-apple.com/catalog/smartfon-apple-iphone-17-pro-max-256-gb-sinij-esim/" TargetMode="External"/><Relationship Id="rId166" Type="http://schemas.openxmlformats.org/officeDocument/2006/relationships/hyperlink" Target="https://cifrocity.com/catalog/apple/iphone_17_pro_max/apple_iphone_17_pro_max_256gb_esim_siniy_bez_rustore/" TargetMode="External"/><Relationship Id="rId161" Type="http://schemas.openxmlformats.org/officeDocument/2006/relationships/hyperlink" Target="https://mgg.stores-apple.com/catalog/smartfon-apple-iphone-17-pro-1024-gb-oranzevyi/" TargetMode="External"/><Relationship Id="rId160" Type="http://schemas.openxmlformats.org/officeDocument/2006/relationships/hyperlink" Target="https://mgg.stores-apple.com/catalog/smartfon-apple-iphone-17-pro-1024-gb-serebristyj-esim/" TargetMode="External"/><Relationship Id="rId159" Type="http://schemas.openxmlformats.org/officeDocument/2006/relationships/hyperlink" Target="https://cifrocity.com/catalog/apple/iphone_17_pro/apple_iphone_17_pro_1tb_esim_serebristyy_bez_rustore/" TargetMode="External"/><Relationship Id="rId154" Type="http://schemas.openxmlformats.org/officeDocument/2006/relationships/hyperlink" Target="https://mgg.stores-apple.com/catalog/smartfon-apple-iphone-17-pro-512-gb-sinij/" TargetMode="External"/><Relationship Id="rId396" Type="http://schemas.openxmlformats.org/officeDocument/2006/relationships/hyperlink" Target="https://mgg.stores-apple.com/catalog/smartfon-samsung-galaxy-s25-plus-512-gb-seryy/" TargetMode="External"/><Relationship Id="rId153" Type="http://schemas.openxmlformats.org/officeDocument/2006/relationships/hyperlink" Target="https://mgg.stores-apple.com/catalog/smartfon-apple-iphone-17-pro-512-gb-oranzevyi/" TargetMode="External"/><Relationship Id="rId395" Type="http://schemas.openxmlformats.org/officeDocument/2006/relationships/hyperlink" Target="https://mgg.stores-apple.com/catalog/smartfon-samsung-galaxy-s25-plus-512-gb-rozovyy/" TargetMode="External"/><Relationship Id="rId152" Type="http://schemas.openxmlformats.org/officeDocument/2006/relationships/hyperlink" Target="https://cifrocity.com/catalog/apple/iphone_17_pro/apple_iphone_17_pro_512gb_sim_esim_oranzhevyy_bez_rustore/" TargetMode="External"/><Relationship Id="rId394" Type="http://schemas.openxmlformats.org/officeDocument/2006/relationships/hyperlink" Target="https://mgg.stores-apple.com/catalog/smartfon-samsung-galaxy-s25-plus-512-gb-goluboy/" TargetMode="External"/><Relationship Id="rId151" Type="http://schemas.openxmlformats.org/officeDocument/2006/relationships/hyperlink" Target="https://mgg.stores-apple.com/catalog/smartfon-apple-iphone-17-pro-512-gb-serebristyj-esim/" TargetMode="External"/><Relationship Id="rId393" Type="http://schemas.openxmlformats.org/officeDocument/2006/relationships/hyperlink" Target="https://mgg.stores-apple.com/catalog/smartfon-samsung-galaxy-s25-plus-512-gb-myatnyy/" TargetMode="External"/><Relationship Id="rId158" Type="http://schemas.openxmlformats.org/officeDocument/2006/relationships/hyperlink" Target="https://mgg.stores-apple.com/catalog/smartfon-apple-iphone-17-pro-1024-gb-sinij-esim/" TargetMode="External"/><Relationship Id="rId157" Type="http://schemas.openxmlformats.org/officeDocument/2006/relationships/hyperlink" Target="https://mgg.stores-apple.com/catalog/smartfon-apple-iphone-17-pro-1024-gb-oranzevyi-esim/" TargetMode="External"/><Relationship Id="rId399" Type="http://schemas.openxmlformats.org/officeDocument/2006/relationships/hyperlink" Target="https://mgg.stores-apple.com/catalog/smartfon_samsung_galaxy_s26_256_gb_violet_fioletovyy_1/" TargetMode="External"/><Relationship Id="rId156" Type="http://schemas.openxmlformats.org/officeDocument/2006/relationships/hyperlink" Target="https://mgg.stores-apple.com/catalog/smartfon-apple-iphone-17-pro-512-gb-serebristyj/" TargetMode="External"/><Relationship Id="rId398" Type="http://schemas.openxmlformats.org/officeDocument/2006/relationships/hyperlink" Target="https://mgg.stores-apple.com/catalog/smartfon-samsung-galaxy-s25-plus-512-gb-siniy/" TargetMode="External"/><Relationship Id="rId155" Type="http://schemas.openxmlformats.org/officeDocument/2006/relationships/hyperlink" Target="https://cifrocity.com/catalog/apple/iphone_17_pro/apple_iphone_17_pro_512gb_sim_esim_serebristyy_bez_rustore/" TargetMode="External"/><Relationship Id="rId397" Type="http://schemas.openxmlformats.org/officeDocument/2006/relationships/hyperlink" Target="https://mgg.stores-apple.com/catalog/smartfon-samsung-galaxy-s25-plus-512-gb-temno-seryy/" TargetMode="External"/><Relationship Id="rId808" Type="http://schemas.openxmlformats.org/officeDocument/2006/relationships/hyperlink" Target="https://mgg.stores-apple.com/catalog/planshet-apple-ipad-pro-2024-m4-11-wi-fi-2048-gb-serebristyj/" TargetMode="External"/><Relationship Id="rId807" Type="http://schemas.openxmlformats.org/officeDocument/2006/relationships/hyperlink" Target="https://mgg.stores-apple.com/catalog/planshet-apple-ipad-pro-2024-m4-13-wi-fi-1024-gb-serebristyj/" TargetMode="External"/><Relationship Id="rId806" Type="http://schemas.openxmlformats.org/officeDocument/2006/relationships/hyperlink" Target="https://mgg.stores-apple.com/catalog/planshet-apple-ipad-pro-2024-m4-13-wi-fi-1024-gb-chernyj-kosmos/" TargetMode="External"/><Relationship Id="rId805" Type="http://schemas.openxmlformats.org/officeDocument/2006/relationships/hyperlink" Target="https://mgg.stores-apple.com/catalog/planshet-apple-ipad-pro-2025-m5-13-wi-fi-cellular-512-gb-serebristyj/" TargetMode="External"/><Relationship Id="rId809" Type="http://schemas.openxmlformats.org/officeDocument/2006/relationships/hyperlink" Target="https://mgg.stores-apple.com/catalog/planshet-apple-ipad-pro-2024-m4-11-wi-fi-2048-gb-chernyj-kosmos/" TargetMode="External"/><Relationship Id="rId800" Type="http://schemas.openxmlformats.org/officeDocument/2006/relationships/hyperlink" Target="https://mgg.stores-apple.com/catalog/planshet-apple-ipad-pro-2024-m4-13-wi-fi-cellular-1024-gb-serebristyj/" TargetMode="External"/><Relationship Id="rId804" Type="http://schemas.openxmlformats.org/officeDocument/2006/relationships/hyperlink" Target="https://mgg.stores-apple.com/catalog/planshet-apple-ipad-pro-2025-m5-13-wi-fi-cellular-512-gb-seryj-kosmos/" TargetMode="External"/><Relationship Id="rId803" Type="http://schemas.openxmlformats.org/officeDocument/2006/relationships/hyperlink" Target="https://mgg.stores-apple.com/catalog/planshet-apple-ipad-pro-2025-m5-11-wi-fi-cellular-1024-gb-serebristyj-nano/" TargetMode="External"/><Relationship Id="rId802" Type="http://schemas.openxmlformats.org/officeDocument/2006/relationships/hyperlink" Target="https://mgg.stores-apple.com/catalog/planshet-apple-ipad-pro-2025-m5-11-wi-fi-cellular-1024-gb-seryj-kosmos-nano/" TargetMode="External"/><Relationship Id="rId801" Type="http://schemas.openxmlformats.org/officeDocument/2006/relationships/hyperlink" Target="https://mgg.stores-apple.com/catalog/planshet-apple-ipad-pro-2025-m5-11-wi-fi-cellular-1024-gb-serebristyj/" TargetMode="External"/><Relationship Id="rId40" Type="http://schemas.openxmlformats.org/officeDocument/2006/relationships/hyperlink" Target="https://mgg.stores-apple.com/catalog/smartfon-apple-iphone-16-128-gb-biryuzovyj/" TargetMode="External"/><Relationship Id="rId1334" Type="http://schemas.openxmlformats.org/officeDocument/2006/relationships/hyperlink" Target="https://mgg.stores-apple.com/catalog/dyson_v15s_sv_47_detected_submarine_yellow_nickel_vilka_eu/" TargetMode="External"/><Relationship Id="rId1335" Type="http://schemas.openxmlformats.org/officeDocument/2006/relationships/hyperlink" Target="https://mgg.stores-apple.com/catalog/dyson_v16_ds60_sv53_a_piston_animal_detail_cleaning_kit_black_gold_vilka_eu/" TargetMode="External"/><Relationship Id="rId42" Type="http://schemas.openxmlformats.org/officeDocument/2006/relationships/hyperlink" Target="https://mgg.stores-apple.com/catalog/smartfon-apple-iphone-16-256-gb-biryuzovyj-obmen/" TargetMode="External"/><Relationship Id="rId1336" Type="http://schemas.openxmlformats.org/officeDocument/2006/relationships/hyperlink" Target="https://mgg.stores-apple.com/catalog/dyson_v16_ds60_sv53_a_piston_animal_cooper_black_vilka_eu/" TargetMode="External"/><Relationship Id="rId41" Type="http://schemas.openxmlformats.org/officeDocument/2006/relationships/hyperlink" Target="https://cifrocity.com/catalog/apple/iphone_16/apple_iphone_16_256gb_zelenyy/" TargetMode="External"/><Relationship Id="rId1337" Type="http://schemas.openxmlformats.org/officeDocument/2006/relationships/hyperlink" Target="https://mgg.stores-apple.com/catalog/vertikalnyy_pylesos_dyson_gen5_sv23_detect_absolut_cooper_blue_vilka_eu/" TargetMode="External"/><Relationship Id="rId44" Type="http://schemas.openxmlformats.org/officeDocument/2006/relationships/hyperlink" Target="https://cifrocity.com/catalog/apple/iphone_16/apple_iphone_16_256gb_rozovyy/" TargetMode="External"/><Relationship Id="rId1338" Type="http://schemas.openxmlformats.org/officeDocument/2006/relationships/hyperlink" Target="https://mgg.stores-apple.com/catalog/vertikalnyy_pylesos_dyson_gen5_sv23_detect_absolute_vacuum_purple_vilka_eu/" TargetMode="External"/><Relationship Id="rId43" Type="http://schemas.openxmlformats.org/officeDocument/2006/relationships/hyperlink" Target="https://mgg.stores-apple.com/catalog/smartfon-apple-iphone-16-128-gb-rozovyj/" TargetMode="External"/><Relationship Id="rId1339" Type="http://schemas.openxmlformats.org/officeDocument/2006/relationships/hyperlink" Target="https://mgg.stores-apple.com/catalog/vertikalnyy_pylesos_dyson_gen5_sv23_detect_absolut_cooper_blue/" TargetMode="External"/><Relationship Id="rId46" Type="http://schemas.openxmlformats.org/officeDocument/2006/relationships/hyperlink" Target="https://mgg.stores-apple.com/catalog/smartfon-apple-iphone-16-128-gb-chernyj/" TargetMode="External"/><Relationship Id="rId45" Type="http://schemas.openxmlformats.org/officeDocument/2006/relationships/hyperlink" Target="https://mgg.stores-apple.com/catalog/smartfon-apple-iphone-16-256-gb-rozovyj-obmen/" TargetMode="External"/><Relationship Id="rId509" Type="http://schemas.openxmlformats.org/officeDocument/2006/relationships/hyperlink" Target="https://mgg.stores-apple.com/catalog/smartfon_google_pixel_10_12_128_gb_chernyy/" TargetMode="External"/><Relationship Id="rId508" Type="http://schemas.openxmlformats.org/officeDocument/2006/relationships/hyperlink" Target="https://mgg.stores-apple.com/catalog/kollekcionnaya-figurka-pop-mart-labubu-big-into-energy/" TargetMode="External"/><Relationship Id="rId503" Type="http://schemas.openxmlformats.org/officeDocument/2006/relationships/hyperlink" Target="https://mgg.stores-apple.com/catalog/igrovaya-pristavka-valve-steam-deck-oled-512gb-chernaya/" TargetMode="External"/><Relationship Id="rId745" Type="http://schemas.openxmlformats.org/officeDocument/2006/relationships/hyperlink" Target="https://mgg.stores-apple.com/catalog/smartfon_xiaomi_redmi_note_15_pro_5g_8_256_gb_black_chernyy/" TargetMode="External"/><Relationship Id="rId987" Type="http://schemas.openxmlformats.org/officeDocument/2006/relationships/hyperlink" Target="https://mgg.stores-apple.com/catalog/planshet-apple-ipad-mini-2024-wi-fi-256-gb-cellular-seryj-kosmos/" TargetMode="External"/><Relationship Id="rId502" Type="http://schemas.openxmlformats.org/officeDocument/2006/relationships/hyperlink" Target="https://mgg.stores-apple.com/catalog/igrovaya-pristavka-nintendo-switch-oled-belaya/" TargetMode="External"/><Relationship Id="rId744" Type="http://schemas.openxmlformats.org/officeDocument/2006/relationships/hyperlink" Target="https://mgg.stores-apple.com/catalog/smartfon_xiaomi_redmi_note_15_pro_5g_8_256_gb_titanium_titanovyy/" TargetMode="External"/><Relationship Id="rId986" Type="http://schemas.openxmlformats.org/officeDocument/2006/relationships/hyperlink" Target="https://mgg.stores-apple.com/catalog/planshet-apple-ipad-mini-2024-wi-fi-256-gb-cellular-fioletovyj/" TargetMode="External"/><Relationship Id="rId501" Type="http://schemas.openxmlformats.org/officeDocument/2006/relationships/hyperlink" Target="https://mgg.stores-apple.com/catalog/igrovaya-pristavka-nintendo-switch-oled-the-legend-of-zelda-tears-of-the-kingdom-edition/" TargetMode="External"/><Relationship Id="rId743" Type="http://schemas.openxmlformats.org/officeDocument/2006/relationships/hyperlink" Target="https://mgg.stores-apple.com/catalog/smartfon_xiaomi_redmi_note_15_pro_5g_8_256_gb_mist_purple_dymchatyy_fioletovyy/" TargetMode="External"/><Relationship Id="rId985" Type="http://schemas.openxmlformats.org/officeDocument/2006/relationships/hyperlink" Target="https://mgg.stores-apple.com/catalog/planshet-apple-ipad-mini-2024-wi-fi-256-gb-cellular-goluboj/" TargetMode="External"/><Relationship Id="rId500" Type="http://schemas.openxmlformats.org/officeDocument/2006/relationships/hyperlink" Target="https://mgg.stores-apple.com/catalog/igrovaya-pristavka-nintendo-switch-oled-mario-red/" TargetMode="External"/><Relationship Id="rId742" Type="http://schemas.openxmlformats.org/officeDocument/2006/relationships/hyperlink" Target="https://mgg.stores-apple.com/catalog/smartfon_xiaomi_redmi_note_15_pro_5g_8_256_gb_glacier_blue_goluboy_led/" TargetMode="External"/><Relationship Id="rId984" Type="http://schemas.openxmlformats.org/officeDocument/2006/relationships/hyperlink" Target="https://mgg.stores-apple.com/catalog/planshet-apple-ipad-mini-2024-wi-fi-256-gb-cellular-siyayushchaya-zvezda/" TargetMode="External"/><Relationship Id="rId507" Type="http://schemas.openxmlformats.org/officeDocument/2006/relationships/hyperlink" Target="https://mgg.stores-apple.com/catalog/kollekcionnaya-figurka-pop-mart-labubu-exciting-macaron/" TargetMode="External"/><Relationship Id="rId749" Type="http://schemas.openxmlformats.org/officeDocument/2006/relationships/hyperlink" Target="https://mgg.stores-apple.com/catalog/smartfon_xiaomi_redmi_note_15_pro_5g_8_512_gb_titanium_titanovyy/" TargetMode="External"/><Relationship Id="rId506" Type="http://schemas.openxmlformats.org/officeDocument/2006/relationships/hyperlink" Target="https://mgg.stores-apple.com/catalog/kollekcionnaya-figurka-pop-mart-labubu-have-a-seat/" TargetMode="External"/><Relationship Id="rId748" Type="http://schemas.openxmlformats.org/officeDocument/2006/relationships/hyperlink" Target="https://mgg.stores-apple.com/catalog/smartfon_xiaomi_redmi_note_15_pro_5g_8_512_gb_black_chernyy/" TargetMode="External"/><Relationship Id="rId505" Type="http://schemas.openxmlformats.org/officeDocument/2006/relationships/hyperlink" Target="https://mgg.stores-apple.com/catalog/kollekcionnaya-figurka-pop-mart-labubu-coca-cola/" TargetMode="External"/><Relationship Id="rId747" Type="http://schemas.openxmlformats.org/officeDocument/2006/relationships/hyperlink" Target="https://mgg.stores-apple.com/catalog/smartfon_xiaomi_redmi_note_15_pro_5g_8_512_gb_mist_purple_dymchatyy_fioletovyy/" TargetMode="External"/><Relationship Id="rId989" Type="http://schemas.openxmlformats.org/officeDocument/2006/relationships/hyperlink" Target="https://mgg.stores-apple.com/catalog/planshet-apple-ipad-mini-2024-wi-fi-512-gb-cellular-siyayushchaya-zvezda/" TargetMode="External"/><Relationship Id="rId504" Type="http://schemas.openxmlformats.org/officeDocument/2006/relationships/hyperlink" Target="https://mgg.stores-apple.com/catalog/igrovaya-pristavka-valve-steam-deck-oled-1000-gb-chernaya/" TargetMode="External"/><Relationship Id="rId746" Type="http://schemas.openxmlformats.org/officeDocument/2006/relationships/hyperlink" Target="https://mgg.stores-apple.com/catalog/smartfon_xiaomi_redmi_note_15_pro_5g_8_512_gb_glacier_blue_goluboy_led/" TargetMode="External"/><Relationship Id="rId988" Type="http://schemas.openxmlformats.org/officeDocument/2006/relationships/hyperlink" Target="https://mgg.stores-apple.com/catalog/planshet-apple-ipad-mini-2024-wi-fi-512-gb-cellular-fioletovyj/" TargetMode="External"/><Relationship Id="rId48" Type="http://schemas.openxmlformats.org/officeDocument/2006/relationships/hyperlink" Target="https://mgg.stores-apple.com/catalog/smartfon-apple-iphone-16-128-gb-belyj/" TargetMode="External"/><Relationship Id="rId47" Type="http://schemas.openxmlformats.org/officeDocument/2006/relationships/hyperlink" Target="https://mgg.stores-apple.com/catalog/smartfon-apple-iphone-16e-128-gb-chernyj/" TargetMode="External"/><Relationship Id="rId49" Type="http://schemas.openxmlformats.org/officeDocument/2006/relationships/hyperlink" Target="https://mgg.stores-apple.com/catalog/smartfon-apple-iphone-16e-128-gb-belyy/" TargetMode="External"/><Relationship Id="rId741" Type="http://schemas.openxmlformats.org/officeDocument/2006/relationships/hyperlink" Target="https://mgg.stores-apple.com/catalog/smartfon-xiaomi-15-ultra-16-512-gb-serebro/" TargetMode="External"/><Relationship Id="rId983" Type="http://schemas.openxmlformats.org/officeDocument/2006/relationships/hyperlink" Target="https://mgg.stores-apple.com/catalog/planshet-apple-ipad-mini-2024-wi-fi-512-gb-fioletovyj/" TargetMode="External"/><Relationship Id="rId1330" Type="http://schemas.openxmlformats.org/officeDocument/2006/relationships/hyperlink" Target="https://mgg.stores-apple.com/catalog/vertikalnyy_pylesos_dyson_v15_sv47_detect_absolute_yellow_nickel_vilka_eu/" TargetMode="External"/><Relationship Id="rId740" Type="http://schemas.openxmlformats.org/officeDocument/2006/relationships/hyperlink" Target="https://mgg.stores-apple.com/catalog/smartfon-xiaomi-15-ultra-16-512-gb-chernyy/" TargetMode="External"/><Relationship Id="rId982" Type="http://schemas.openxmlformats.org/officeDocument/2006/relationships/hyperlink" Target="https://mgg.stores-apple.com/catalog/planshet-apple-ipad-mini-2024-wi-fi-512-gb-seryj-kosmos/" TargetMode="External"/><Relationship Id="rId1331" Type="http://schemas.openxmlformats.org/officeDocument/2006/relationships/hyperlink" Target="https://mgg.stores-apple.com/catalog/vertikalnyy_pylesos_dyson_v15_sv47_detect_total_clean_black_nickel_full_complete/" TargetMode="External"/><Relationship Id="rId981" Type="http://schemas.openxmlformats.org/officeDocument/2006/relationships/hyperlink" Target="https://mgg.stores-apple.com/catalog/planshet-apple-ipad-mini-2024-wi-fi-512-gb-goluboj/" TargetMode="External"/><Relationship Id="rId1332" Type="http://schemas.openxmlformats.org/officeDocument/2006/relationships/hyperlink" Target="https://mgg.stores-apple.com/catalog/dyson_v15s_sv_47_detected_submarine_yellow_nickel/" TargetMode="External"/><Relationship Id="rId980" Type="http://schemas.openxmlformats.org/officeDocument/2006/relationships/hyperlink" Target="https://mgg.stores-apple.com/catalog/planshet-apple-ipad-mini-2024-wi-fi-512-gb-siyayushchaya-zvezda/" TargetMode="External"/><Relationship Id="rId1333" Type="http://schemas.openxmlformats.org/officeDocument/2006/relationships/hyperlink" Target="https://mgg.stores-apple.com/catalog/dyson_v16_ds60_sv53_a_piston_animal_cooper_black/" TargetMode="External"/><Relationship Id="rId1323" Type="http://schemas.openxmlformats.org/officeDocument/2006/relationships/hyperlink" Target="https://mgg.stores-apple.com/catalog/provodnoy_pylesos_dyson_big_ball_absolute_2_cy28_satin_blue_vilka_eu/" TargetMode="External"/><Relationship Id="rId1324" Type="http://schemas.openxmlformats.org/officeDocument/2006/relationships/hyperlink" Target="https://mgg.stores-apple.com/catalog/provodnoy_pylesos_dyson_big_ball_absolute_2_cy26_nickel_silver_vilka_eu/" TargetMode="External"/><Relationship Id="rId31" Type="http://schemas.openxmlformats.org/officeDocument/2006/relationships/hyperlink" Target="https://mgg.stores-apple.com/catalog/smartfon-apple-iphone-16-128-gb-rozovyj/" TargetMode="External"/><Relationship Id="rId1325" Type="http://schemas.openxmlformats.org/officeDocument/2006/relationships/hyperlink" Target="https://mgg.stores-apple.com/catalog/vertikalnyy_pylesos_dyson_v12_sv46_detect_slim_absolute_yellow_nickel_vilka_eu/" TargetMode="External"/><Relationship Id="rId30" Type="http://schemas.openxmlformats.org/officeDocument/2006/relationships/hyperlink" Target="https://cifrocity.com/catalog/apple/iphone_16/apple_iphone_16_128gb_rozovyy/" TargetMode="External"/><Relationship Id="rId1326" Type="http://schemas.openxmlformats.org/officeDocument/2006/relationships/hyperlink" Target="https://mgg.stores-apple.com/catalog/provodnoy_pylesos_dyson_ball_animal_multi_floor_cooper_silver/" TargetMode="External"/><Relationship Id="rId33" Type="http://schemas.openxmlformats.org/officeDocument/2006/relationships/hyperlink" Target="https://mgg.stores-apple.com/catalog/smartfon-apple-iphone-16-256-gb-ultramarin-obmen/" TargetMode="External"/><Relationship Id="rId1327" Type="http://schemas.openxmlformats.org/officeDocument/2006/relationships/hyperlink" Target="https://mgg.stores-apple.com/catalog/vertikalnyy_pylesos_dyson_v15_sv47_detect_absolute_yellow_nickel_full_complete/" TargetMode="External"/><Relationship Id="rId32" Type="http://schemas.openxmlformats.org/officeDocument/2006/relationships/hyperlink" Target="https://mgg.stores-apple.com/catalog/smartfon-apple-iphone-16-128-gb-ultramarin/" TargetMode="External"/><Relationship Id="rId1328" Type="http://schemas.openxmlformats.org/officeDocument/2006/relationships/hyperlink" Target="https://mgg.stores-apple.com/catalog/vertikalnyy_pylesos_dyson_v15_sv47_detect_absolute_yellow_nickel/" TargetMode="External"/><Relationship Id="rId35" Type="http://schemas.openxmlformats.org/officeDocument/2006/relationships/hyperlink" Target="https://cifrocity.com/catalog/apple/iphone_16/apple_iphone_16_256gb_chernyy/" TargetMode="External"/><Relationship Id="rId1329" Type="http://schemas.openxmlformats.org/officeDocument/2006/relationships/hyperlink" Target="https://mgg.stores-apple.com/catalog/vertikalnyy_pylesos_dyson_v15_sv47_detect_absolute_gold_vilka_eu/" TargetMode="External"/><Relationship Id="rId34" Type="http://schemas.openxmlformats.org/officeDocument/2006/relationships/hyperlink" Target="https://mgg.stores-apple.com/catalog/smartfon-apple-iphone-16-128-gb-chernyj/" TargetMode="External"/><Relationship Id="rId739" Type="http://schemas.openxmlformats.org/officeDocument/2006/relationships/hyperlink" Target="https://mgg.stores-apple.com/catalog/smartfon-xiaomi-15-ultra-16-512-gb-belyy/" TargetMode="External"/><Relationship Id="rId734" Type="http://schemas.openxmlformats.org/officeDocument/2006/relationships/hyperlink" Target="https://mgg.stores-apple.com/catalog/smartfon_xiaomi_17_12_256_gb_chernyy/" TargetMode="External"/><Relationship Id="rId976" Type="http://schemas.openxmlformats.org/officeDocument/2006/relationships/hyperlink" Target="https://mgg.stores-apple.com/catalog/planshet-apple-ipad-mini-2024-wi-fi-128-gb-cellular-seryj-kosmos/" TargetMode="External"/><Relationship Id="rId733" Type="http://schemas.openxmlformats.org/officeDocument/2006/relationships/hyperlink" Target="https://mgg.stores-apple.com/catalog/smartfon_xiaomi_17_12_256_gb_belyy/" TargetMode="External"/><Relationship Id="rId975" Type="http://schemas.openxmlformats.org/officeDocument/2006/relationships/hyperlink" Target="https://mgg.stores-apple.com/catalog/planshet-apple-ipad-mini-2024-wi-fi-256-gb-siyayushchaya-zvezda/" TargetMode="External"/><Relationship Id="rId732" Type="http://schemas.openxmlformats.org/officeDocument/2006/relationships/hyperlink" Target="https://mgg.stores-apple.com/catalog/smartfon_xiaomi_17_12_256_gb_rozovyy/" TargetMode="External"/><Relationship Id="rId974" Type="http://schemas.openxmlformats.org/officeDocument/2006/relationships/hyperlink" Target="https://mgg.stores-apple.com/catalog/planshet-apple-ipad-mini-2024-wi-fi-256-gb-fioletovyj/" TargetMode="External"/><Relationship Id="rId731" Type="http://schemas.openxmlformats.org/officeDocument/2006/relationships/hyperlink" Target="https://mgg.stores-apple.com/catalog/smartfon_xiaomi_17_12_256_gb_goluboy/" TargetMode="External"/><Relationship Id="rId973" Type="http://schemas.openxmlformats.org/officeDocument/2006/relationships/hyperlink" Target="https://mgg.stores-apple.com/catalog/planshet-apple-ipad-mini-2024-wi-fi-256-gb-seryj-kosmos/" TargetMode="External"/><Relationship Id="rId738" Type="http://schemas.openxmlformats.org/officeDocument/2006/relationships/hyperlink" Target="https://mgg.stores-apple.com/catalog/smartfon_xiaomi_17_16_512_gb_chernyy/" TargetMode="External"/><Relationship Id="rId737" Type="http://schemas.openxmlformats.org/officeDocument/2006/relationships/hyperlink" Target="https://mgg.stores-apple.com/catalog/smartfon_xiaomi_17_16_512_gb_rozovyy/" TargetMode="External"/><Relationship Id="rId979" Type="http://schemas.openxmlformats.org/officeDocument/2006/relationships/hyperlink" Target="https://mgg.stores-apple.com/catalog/planshet-apple-ipad-mini-2024-wi-fi-128-gb-cellular-fioletovyj/" TargetMode="External"/><Relationship Id="rId736" Type="http://schemas.openxmlformats.org/officeDocument/2006/relationships/hyperlink" Target="https://mgg.stores-apple.com/catalog/smartfon_xiaomi_17_16_512_gb_belyy/" TargetMode="External"/><Relationship Id="rId978" Type="http://schemas.openxmlformats.org/officeDocument/2006/relationships/hyperlink" Target="https://mgg.stores-apple.com/catalog/planshet-apple-ipad-mini-2024-wi-fi-128-gb-cellular-siyayushchaya-zvezda/" TargetMode="External"/><Relationship Id="rId735" Type="http://schemas.openxmlformats.org/officeDocument/2006/relationships/hyperlink" Target="https://mgg.stores-apple.com/catalog/smartfon_xiaomi_17_16_512_gb_goluboy/" TargetMode="External"/><Relationship Id="rId977" Type="http://schemas.openxmlformats.org/officeDocument/2006/relationships/hyperlink" Target="https://mgg.stores-apple.com/catalog/planshet-apple-ipad-mini-2024-wi-fi-128-gb-cellular-goluboj/" TargetMode="External"/><Relationship Id="rId37" Type="http://schemas.openxmlformats.org/officeDocument/2006/relationships/hyperlink" Target="https://mgg.stores-apple.com/catalog/smartfon-apple-iphone-16-128-gb-belyj/" TargetMode="External"/><Relationship Id="rId36" Type="http://schemas.openxmlformats.org/officeDocument/2006/relationships/hyperlink" Target="https://mgg.stores-apple.com/catalog/smartfon-apple-iphone-16-256-gb-chernyj-obmen/" TargetMode="External"/><Relationship Id="rId39" Type="http://schemas.openxmlformats.org/officeDocument/2006/relationships/hyperlink" Target="https://mgg.stores-apple.com/catalog/smartfon-apple-iphone-16-256-gb-belyj-obmen/" TargetMode="External"/><Relationship Id="rId38" Type="http://schemas.openxmlformats.org/officeDocument/2006/relationships/hyperlink" Target="https://cifrocity.com/catalog/apple/iphone_16/apple_iphone_16_256gb_belyy/" TargetMode="External"/><Relationship Id="rId730" Type="http://schemas.openxmlformats.org/officeDocument/2006/relationships/hyperlink" Target="https://mgg.stores-apple.com/catalog/smartfon-xiaomi-15-12-512-gb-chernyy/" TargetMode="External"/><Relationship Id="rId972" Type="http://schemas.openxmlformats.org/officeDocument/2006/relationships/hyperlink" Target="https://mgg.stores-apple.com/catalog/planshet-apple-ipad-mini-2024-wi-fi-256-gb-goluboj/" TargetMode="External"/><Relationship Id="rId971" Type="http://schemas.openxmlformats.org/officeDocument/2006/relationships/hyperlink" Target="https://mgg.stores-apple.com/catalog/planshet-apple-ipad-mini-2024-wi-fi-128-gb-fioletovyj/" TargetMode="External"/><Relationship Id="rId1320" Type="http://schemas.openxmlformats.org/officeDocument/2006/relationships/hyperlink" Target="https://mgg.stores-apple.com/catalog/vertikalnyy_pylesos_dyson_v12_sv46_detect_slim_absolute_yellow_nickel/" TargetMode="External"/><Relationship Id="rId970" Type="http://schemas.openxmlformats.org/officeDocument/2006/relationships/hyperlink" Target="https://mgg.stores-apple.com/catalog/planshet-apple-ipad-mini-2024-wi-fi-128-gb-seryj-kosmos/" TargetMode="External"/><Relationship Id="rId1321" Type="http://schemas.openxmlformats.org/officeDocument/2006/relationships/hyperlink" Target="https://mgg.stores-apple.com/catalog/vertikalnyy_pylesos_dyson_sv50_fc_pencilvac_vacuum_cleaner_black/" TargetMode="External"/><Relationship Id="rId1322" Type="http://schemas.openxmlformats.org/officeDocument/2006/relationships/hyperlink" Target="https://mgg.stores-apple.com/catalog/vertikalnyy_pylesos_dyson_sv50_pencilvac_fluffy_black_vilka_eu/" TargetMode="External"/><Relationship Id="rId1114" Type="http://schemas.openxmlformats.org/officeDocument/2006/relationships/hyperlink" Target="https://mgg.stores-apple.com/catalog/apple-watch-ultra-2-alpine-loop-indigo-l/" TargetMode="External"/><Relationship Id="rId1356" Type="http://schemas.openxmlformats.org/officeDocument/2006/relationships/hyperlink" Target="https://mgg.stores-apple.com/catalog/fen-dyson-supersonic-nural-hd16-strawberry-bronze-blush-pink/" TargetMode="External"/><Relationship Id="rId1115" Type="http://schemas.openxmlformats.org/officeDocument/2006/relationships/hyperlink" Target="https://mgg.stores-apple.com/catalog/apple-watch-ultra-2-alpine-loop-sinij-s/" TargetMode="External"/><Relationship Id="rId1357" Type="http://schemas.openxmlformats.org/officeDocument/2006/relationships/hyperlink" Target="https://mgg.stores-apple.com/catalog/vypryamitel-dyson-airstrait-ht01-nickel-cooper/" TargetMode="External"/><Relationship Id="rId20" Type="http://schemas.openxmlformats.org/officeDocument/2006/relationships/hyperlink" Target="https://mgg.stores-apple.com/catalog/smartfon-apple-iphone-16-128-gb-chernyj/" TargetMode="External"/><Relationship Id="rId1116" Type="http://schemas.openxmlformats.org/officeDocument/2006/relationships/hyperlink" Target="https://mgg.stores-apple.com/catalog/apple-watch-ultra-2-alpine-loop-sinij-m/" TargetMode="External"/><Relationship Id="rId1358" Type="http://schemas.openxmlformats.org/officeDocument/2006/relationships/hyperlink" Target="https://mgg.stores-apple.com/catalog/stayler-dyson-airwrap-id-long-hs08-straight-wavy-red-velvet-gold/" TargetMode="External"/><Relationship Id="rId1117" Type="http://schemas.openxmlformats.org/officeDocument/2006/relationships/hyperlink" Target="https://mgg.stores-apple.com/catalog/apple-watch-ultra-2-alpine-loop-sinij-l/" TargetMode="External"/><Relationship Id="rId1359" Type="http://schemas.openxmlformats.org/officeDocument/2006/relationships/hyperlink" Target="https://mgg.stores-apple.com/catalog/fen-dyson-supersonic-nural-hd16-red-velvet-gold/" TargetMode="External"/><Relationship Id="rId22" Type="http://schemas.openxmlformats.org/officeDocument/2006/relationships/hyperlink" Target="https://mgg.stores-apple.com/catalog/smartfon-apple-iphone-16-128-gb-chernyj/" TargetMode="External"/><Relationship Id="rId1118" Type="http://schemas.openxmlformats.org/officeDocument/2006/relationships/hyperlink" Target="https://mgg.stores-apple.com/catalog/apple-watch-ultra-2-satin-black-ocean-band-blue/" TargetMode="External"/><Relationship Id="rId21" Type="http://schemas.openxmlformats.org/officeDocument/2006/relationships/hyperlink" Target="https://cifrocity.com/catalog/apple/iphone_16/apple_iphone_16_128gb_chernyy/" TargetMode="External"/><Relationship Id="rId1119" Type="http://schemas.openxmlformats.org/officeDocument/2006/relationships/hyperlink" Target="https://mgg.stores-apple.com/catalog/apple-watch-ultra-2-satin-black-alpine-loop-sinij-m/" TargetMode="External"/><Relationship Id="rId24" Type="http://schemas.openxmlformats.org/officeDocument/2006/relationships/hyperlink" Target="https://cifrocity.com/catalog/apple/iphone_16/apple_iphone_16_128gb_belyy/" TargetMode="External"/><Relationship Id="rId23" Type="http://schemas.openxmlformats.org/officeDocument/2006/relationships/hyperlink" Target="https://mgg.stores-apple.com/catalog/smartfon-apple-iphone-16-128-gb-belyj/" TargetMode="External"/><Relationship Id="rId525" Type="http://schemas.openxmlformats.org/officeDocument/2006/relationships/hyperlink" Target="https://mgg.stores-apple.com/catalog/smartfon-google-pixel-10-pro-16-256-gb-rozovyi/" TargetMode="External"/><Relationship Id="rId767" Type="http://schemas.openxmlformats.org/officeDocument/2006/relationships/hyperlink" Target="https://mgg.stores-apple.com/catalog/planshet-apple-ipad-pro-2024-m4-11-wi-fi-cellular-256-gb-chernyj-kosmos/" TargetMode="External"/><Relationship Id="rId524" Type="http://schemas.openxmlformats.org/officeDocument/2006/relationships/hyperlink" Target="https://mgg.stores-apple.com/catalog/smartfon-google-pixel-10-pro-16-256-gb-chernyi/" TargetMode="External"/><Relationship Id="rId766" Type="http://schemas.openxmlformats.org/officeDocument/2006/relationships/hyperlink" Target="https://mgg.stores-apple.com/catalog/planshet-apple-ipad-pro-2024-m4-11-wi-fi-512-gb-serebristyj/" TargetMode="External"/><Relationship Id="rId523" Type="http://schemas.openxmlformats.org/officeDocument/2006/relationships/hyperlink" Target="https://mgg.stores-apple.com/catalog/smartfon-google-pixel-10-pro-16-256-gb-zelenyi/" TargetMode="External"/><Relationship Id="rId765" Type="http://schemas.openxmlformats.org/officeDocument/2006/relationships/hyperlink" Target="https://mgg.stores-apple.com/catalog/planshet-apple-ipad-pro-2024-m4-13-wi-fi-256-gb-chernyj-kosmos/" TargetMode="External"/><Relationship Id="rId522" Type="http://schemas.openxmlformats.org/officeDocument/2006/relationships/hyperlink" Target="https://mgg.stores-apple.com/catalog/smartfon-google-pixel-10-pro-16-128-gb-chernyi/" TargetMode="External"/><Relationship Id="rId764" Type="http://schemas.openxmlformats.org/officeDocument/2006/relationships/hyperlink" Target="https://mgg.stores-apple.com/catalog/planshet-apple-ipad-pro-2025-m5-11-wi-fi-256-gb-seryj-kosmos/" TargetMode="External"/><Relationship Id="rId529" Type="http://schemas.openxmlformats.org/officeDocument/2006/relationships/hyperlink" Target="https://mgg.stores-apple.com/catalog/smartfon-google-pixel-10-pro-16-512-gb-rozovyi/" TargetMode="External"/><Relationship Id="rId528" Type="http://schemas.openxmlformats.org/officeDocument/2006/relationships/hyperlink" Target="https://mgg.stores-apple.com/catalog/smartfon-google-pixel-10-pro-16-512-gb-fioletovyi/" TargetMode="External"/><Relationship Id="rId527" Type="http://schemas.openxmlformats.org/officeDocument/2006/relationships/hyperlink" Target="https://mgg.stores-apple.com/catalog/smartfon-google-pixel-10-pro-16-512-gb-zelenyi/" TargetMode="External"/><Relationship Id="rId769" Type="http://schemas.openxmlformats.org/officeDocument/2006/relationships/hyperlink" Target="https://mgg.stores-apple.com/catalog/planshet-apple-ipad-pro-2024-m4-13-wi-fi-256-gb-serebristyj/" TargetMode="External"/><Relationship Id="rId526" Type="http://schemas.openxmlformats.org/officeDocument/2006/relationships/hyperlink" Target="https://mgg.stores-apple.com/catalog/smartfon-google-pixel-10-pro-16-256-gb-fioletovyi/" TargetMode="External"/><Relationship Id="rId768" Type="http://schemas.openxmlformats.org/officeDocument/2006/relationships/hyperlink" Target="https://mgg.stores-apple.com/catalog/planshet-apple-ipad-pro-2024-m4-11-wi-fi-cellular-256-gb-serebristyj/" TargetMode="External"/><Relationship Id="rId26" Type="http://schemas.openxmlformats.org/officeDocument/2006/relationships/hyperlink" Target="https://mgg.stores-apple.com/catalog/smartfon-apple-iphone-16-128-gb-biryuzovyj/" TargetMode="External"/><Relationship Id="rId25" Type="http://schemas.openxmlformats.org/officeDocument/2006/relationships/hyperlink" Target="https://mgg.stores-apple.com/catalog/smartfon-apple-iphone-16-128-gb-belyj/" TargetMode="External"/><Relationship Id="rId28" Type="http://schemas.openxmlformats.org/officeDocument/2006/relationships/hyperlink" Target="https://mgg.stores-apple.com/catalog/smartfon-apple-iphone-16-128-gb-biryuzovyj/" TargetMode="External"/><Relationship Id="rId1350" Type="http://schemas.openxmlformats.org/officeDocument/2006/relationships/hyperlink" Target="https://mgg.stores-apple.com/catalog/vypryamitel-dyson-airstrait-ht01-ceramic-pink-sakura-gold/" TargetMode="External"/><Relationship Id="rId27" Type="http://schemas.openxmlformats.org/officeDocument/2006/relationships/hyperlink" Target="https://cifrocity.com/catalog/apple/iphone_16/apple_iphone_16_128gb_zelenyy/" TargetMode="External"/><Relationship Id="rId1351" Type="http://schemas.openxmlformats.org/officeDocument/2006/relationships/hyperlink" Target="https://mgg.stores-apple.com/catalog/fen-dyson-supersonic-nural-hd16-ceramic-patina-topaz/" TargetMode="External"/><Relationship Id="rId521" Type="http://schemas.openxmlformats.org/officeDocument/2006/relationships/hyperlink" Target="https://mgg.stores-apple.com/catalog/smartfon-google-pixel-10-pro-16-128-gb-fioletovyi/" TargetMode="External"/><Relationship Id="rId763" Type="http://schemas.openxmlformats.org/officeDocument/2006/relationships/hyperlink" Target="https://mgg.stores-apple.com/catalog/planshet-apple-ipad-pro-2025-m5-11-wi-fi-256-gb-serebristyj/" TargetMode="External"/><Relationship Id="rId1110" Type="http://schemas.openxmlformats.org/officeDocument/2006/relationships/hyperlink" Target="https://mgg.stores-apple.com/catalog/apple-watch-ultra-2-alpine-loop-olive-m/" TargetMode="External"/><Relationship Id="rId1352" Type="http://schemas.openxmlformats.org/officeDocument/2006/relationships/hyperlink" Target="https://mgg.stores-apple.com/catalog/fen-dyson-supersonic-nural-hd16-jasper-plum/" TargetMode="External"/><Relationship Id="rId29" Type="http://schemas.openxmlformats.org/officeDocument/2006/relationships/hyperlink" Target="https://mgg.stores-apple.com/catalog/smartfon-apple-iphone-16-128-gb-rozovyj/" TargetMode="External"/><Relationship Id="rId520" Type="http://schemas.openxmlformats.org/officeDocument/2006/relationships/hyperlink" Target="https://mgg.stores-apple.com/catalog/smartfon-google-pixel-10-pro-16-128-gb-zelenyi/" TargetMode="External"/><Relationship Id="rId762" Type="http://schemas.openxmlformats.org/officeDocument/2006/relationships/hyperlink" Target="https://mgg.stores-apple.com/catalog/planshet-apple-ipad-pro-2024-m4-11-wi-fi-512-gb-chernyj-kosmos/" TargetMode="External"/><Relationship Id="rId1111" Type="http://schemas.openxmlformats.org/officeDocument/2006/relationships/hyperlink" Target="https://mgg.stores-apple.com/catalog/apple-watch-ultra-2-alpine-loop-olive-l/" TargetMode="External"/><Relationship Id="rId1353" Type="http://schemas.openxmlformats.org/officeDocument/2006/relationships/hyperlink" Target="https://mgg.stores-apple.com/catalog/stayler-dyson-airwrap-id-long-hs08-straight-wavy-ceramic-patina-topaz/" TargetMode="External"/><Relationship Id="rId761" Type="http://schemas.openxmlformats.org/officeDocument/2006/relationships/hyperlink" Target="https://mgg.stores-apple.com/catalog/planshet-apple-ipad-pro-2024-m4-11-wi-fi-256-gb-serebristyj/" TargetMode="External"/><Relationship Id="rId1112" Type="http://schemas.openxmlformats.org/officeDocument/2006/relationships/hyperlink" Target="https://mgg.stores-apple.com/catalog/apple-watch-ultra-2-alpine-loop-indigo-s/" TargetMode="External"/><Relationship Id="rId1354" Type="http://schemas.openxmlformats.org/officeDocument/2006/relationships/hyperlink" Target="https://mgg.stores-apple.com/catalog/vypryamitel-dyson-airstrait-ht01-jasper-plum/" TargetMode="External"/><Relationship Id="rId760" Type="http://schemas.openxmlformats.org/officeDocument/2006/relationships/hyperlink" Target="https://mgg.stores-apple.com/catalog/planshet-apple-ipad-pro-2024-m4-11-wi-fi-256-gb-chernyj-kosmos/" TargetMode="External"/><Relationship Id="rId1113" Type="http://schemas.openxmlformats.org/officeDocument/2006/relationships/hyperlink" Target="https://mgg.stores-apple.com/catalog/apple-watch-ultra-2-alpine-loop-indigo-m/" TargetMode="External"/><Relationship Id="rId1355" Type="http://schemas.openxmlformats.org/officeDocument/2006/relationships/hyperlink" Target="https://mgg.stores-apple.com/catalog/vypryamitel-dyson-airstrait-ht01-strawberry-bronze-blush-pink/" TargetMode="External"/><Relationship Id="rId1103" Type="http://schemas.openxmlformats.org/officeDocument/2006/relationships/hyperlink" Target="https://mgg.stores-apple.com/catalog/apple-watch-ultra-2-ocean-band-white/" TargetMode="External"/><Relationship Id="rId1345" Type="http://schemas.openxmlformats.org/officeDocument/2006/relationships/hyperlink" Target="https://mgg.stores-apple.com/catalog/vypryamitel-dyson-airstrait-ht01-blue-cooper/" TargetMode="External"/><Relationship Id="rId1104" Type="http://schemas.openxmlformats.org/officeDocument/2006/relationships/hyperlink" Target="https://mgg.stores-apple.com/catalog/apple-watch-ultra-2-ocean-band-blue/" TargetMode="External"/><Relationship Id="rId1346" Type="http://schemas.openxmlformats.org/officeDocument/2006/relationships/hyperlink" Target="https://mgg.stores-apple.com/catalog/stayler-dyson-airwrap-id-long-hs08-straight-wavy-vinca-blue-topaz/" TargetMode="External"/><Relationship Id="rId1105" Type="http://schemas.openxmlformats.org/officeDocument/2006/relationships/hyperlink" Target="https://mgg.stores-apple.com/catalog/apple-watch-ultra-2-trail-loop-blue-black-sm/" TargetMode="External"/><Relationship Id="rId1347" Type="http://schemas.openxmlformats.org/officeDocument/2006/relationships/hyperlink" Target="https://mgg.stores-apple.com/catalog/stayler_dyson_airwrap_coanda2x_hs09_multi_styler_dryer_jasper_plum/" TargetMode="External"/><Relationship Id="rId1106" Type="http://schemas.openxmlformats.org/officeDocument/2006/relationships/hyperlink" Target="https://mgg.stores-apple.com/catalog/apple-watch-ultra-2-trail-loop-blue-black-ml/" TargetMode="External"/><Relationship Id="rId1348" Type="http://schemas.openxmlformats.org/officeDocument/2006/relationships/hyperlink" Target="https://mgg.stores-apple.com/catalog/fen-dyson-supersonic-nural-hd16-vinca-blue-topaz/" TargetMode="External"/><Relationship Id="rId11" Type="http://schemas.openxmlformats.org/officeDocument/2006/relationships/hyperlink" Target="https://cifrocity.com/catalog/apple/iphone_15/apple_iphone_15_256gb_chernyy/" TargetMode="External"/><Relationship Id="rId1107" Type="http://schemas.openxmlformats.org/officeDocument/2006/relationships/hyperlink" Target="https://mgg.stores-apple.com/catalog/apple-watch-ultra-2-trail-loop-green-gray-ml/" TargetMode="External"/><Relationship Id="rId1349" Type="http://schemas.openxmlformats.org/officeDocument/2006/relationships/hyperlink" Target="https://mgg.stores-apple.com/catalog/fen-dyson-supersonic-nural-hd16-ceramic-pink-rose-gold/" TargetMode="External"/><Relationship Id="rId10" Type="http://schemas.openxmlformats.org/officeDocument/2006/relationships/hyperlink" Target="https://mgg.stores-apple.com/catalog/apple-iphone-15-128-gb-pink/" TargetMode="External"/><Relationship Id="rId1108" Type="http://schemas.openxmlformats.org/officeDocument/2006/relationships/hyperlink" Target="https://mgg.stores-apple.com/catalog/apple-watch-ultra-2-trail-loop-green-gray-sm/" TargetMode="External"/><Relationship Id="rId13" Type="http://schemas.openxmlformats.org/officeDocument/2006/relationships/hyperlink" Target="https://cifrocity.com/catalog/apple/iphone_15/apple_iphone_15_256gb_siniy/" TargetMode="External"/><Relationship Id="rId1109" Type="http://schemas.openxmlformats.org/officeDocument/2006/relationships/hyperlink" Target="https://mgg.stores-apple.com/catalog/apple-watch-ultra-2-alpine-loop-olive-s/" TargetMode="External"/><Relationship Id="rId12" Type="http://schemas.openxmlformats.org/officeDocument/2006/relationships/hyperlink" Target="https://mgg.stores-apple.com/catalog/apple-iphone-15-256-gb-black/" TargetMode="External"/><Relationship Id="rId519" Type="http://schemas.openxmlformats.org/officeDocument/2006/relationships/hyperlink" Target="https://mgg.stores-apple.com/catalog/smartfon-google-pixel-10-pro-16-128-gb-rozovyi/" TargetMode="External"/><Relationship Id="rId514" Type="http://schemas.openxmlformats.org/officeDocument/2006/relationships/hyperlink" Target="https://mgg.stores-apple.com/catalog/smartfon_google_pixel_10_12_256_gb_chernyy/" TargetMode="External"/><Relationship Id="rId756" Type="http://schemas.openxmlformats.org/officeDocument/2006/relationships/hyperlink" Target="https://mgg.stores-apple.com/catalog/smartfon_xiaomi_redmi_note_15_pro_5g_12_512_gb_black_chernyy/" TargetMode="External"/><Relationship Id="rId998" Type="http://schemas.openxmlformats.org/officeDocument/2006/relationships/hyperlink" Target="https://mgg.stores-apple.com/catalog/planshet_samsung_galaxy_tab_a11_plus_lte_256_gb_serebro/" TargetMode="External"/><Relationship Id="rId513" Type="http://schemas.openxmlformats.org/officeDocument/2006/relationships/hyperlink" Target="https://mgg.stores-apple.com/catalog/smartfon-google-pixel-10-12-128-gb-seryi/" TargetMode="External"/><Relationship Id="rId755" Type="http://schemas.openxmlformats.org/officeDocument/2006/relationships/hyperlink" Target="https://mgg.stores-apple.com/catalog/smartfon_xiaomi_redmi_note_15_pro_5g_12_512_gb_glacier_blue_goluboy_led/" TargetMode="External"/><Relationship Id="rId997" Type="http://schemas.openxmlformats.org/officeDocument/2006/relationships/hyperlink" Target="https://mgg.stores-apple.com/catalog/planshet_samsung_galaxy_tab_a11_plus_wifi_256_gb_serebro/" TargetMode="External"/><Relationship Id="rId512" Type="http://schemas.openxmlformats.org/officeDocument/2006/relationships/hyperlink" Target="https://mgg.stores-apple.com/catalog/smartfon-google-pixel-10-12-128-gb-sinii/" TargetMode="External"/><Relationship Id="rId754" Type="http://schemas.openxmlformats.org/officeDocument/2006/relationships/hyperlink" Target="https://mgg.stores-apple.com/catalog/smartfon_xiaomi_redmi_note_15_pro_5g_12_512_gb_titanium_titanovyy/" TargetMode="External"/><Relationship Id="rId996" Type="http://schemas.openxmlformats.org/officeDocument/2006/relationships/hyperlink" Target="https://mgg.stores-apple.com/catalog/planshet_samsung_galaxy_tab_a11_plus_wifi_256_gb_seryy/" TargetMode="External"/><Relationship Id="rId511" Type="http://schemas.openxmlformats.org/officeDocument/2006/relationships/hyperlink" Target="https://mgg.stores-apple.com/catalog/smartfon-google-pixel-10-12-128-gb-zheltyi/" TargetMode="External"/><Relationship Id="rId753" Type="http://schemas.openxmlformats.org/officeDocument/2006/relationships/hyperlink" Target="https://mgg.stores-apple.com/catalog/smartfon_xiaomi_redmi_note_15_pro_5g_12_512_gb_mist_purple_dymchatyy_fioletovyy/" TargetMode="External"/><Relationship Id="rId995" Type="http://schemas.openxmlformats.org/officeDocument/2006/relationships/hyperlink" Target="https://mgg.stores-apple.com/catalog/planshet_samsung_galaxy_tab_a11_plus_lte_128_gb_seryy/" TargetMode="External"/><Relationship Id="rId518" Type="http://schemas.openxmlformats.org/officeDocument/2006/relationships/hyperlink" Target="https://mgg.stores-apple.com/catalog/smartfon-google-pixel-10-12-256-gb-goluboi/" TargetMode="External"/><Relationship Id="rId517" Type="http://schemas.openxmlformats.org/officeDocument/2006/relationships/hyperlink" Target="https://mgg.stores-apple.com/catalog/smartfon-google-pixel-10-12-256-gb-sinii/" TargetMode="External"/><Relationship Id="rId759" Type="http://schemas.openxmlformats.org/officeDocument/2006/relationships/hyperlink" Target="https://mgg.stores-apple.com/catalog/smartfon_xiaomi_redmi_note_15_pro_5g_12_512_gb_mocha_brown_korichnevyy_mokko/" TargetMode="External"/><Relationship Id="rId516" Type="http://schemas.openxmlformats.org/officeDocument/2006/relationships/hyperlink" Target="https://mgg.stores-apple.com/catalog/smartfon-google-pixel-10-12-256-gb-seryi/" TargetMode="External"/><Relationship Id="rId758" Type="http://schemas.openxmlformats.org/officeDocument/2006/relationships/hyperlink" Target="https://mgg.stores-apple.com/catalog/smartfon_xiaomi_redmi_note_15_pro_5g_12_512_gb_midnight_black_polunochno_chernyy/" TargetMode="External"/><Relationship Id="rId515" Type="http://schemas.openxmlformats.org/officeDocument/2006/relationships/hyperlink" Target="https://mgg.stores-apple.com/catalog/smartfon-google-pixel-10-12-256-gb-zheltyi/" TargetMode="External"/><Relationship Id="rId757" Type="http://schemas.openxmlformats.org/officeDocument/2006/relationships/hyperlink" Target="https://mgg.stores-apple.com/catalog/smartfon_xiaomi_redmi_note_15_pro_5g_12_512_gb_glacier_blue_goluboy_led_1/" TargetMode="External"/><Relationship Id="rId999" Type="http://schemas.openxmlformats.org/officeDocument/2006/relationships/hyperlink" Target="https://mgg.stores-apple.com/catalog/planshet_samsung_galaxy_tab_a11_plus_lte_256_gb_seryy/" TargetMode="External"/><Relationship Id="rId15" Type="http://schemas.openxmlformats.org/officeDocument/2006/relationships/hyperlink" Target="https://mgg.stores-apple.com/catalog/apple-iphone-15-256-gb-green/" TargetMode="External"/><Relationship Id="rId990" Type="http://schemas.openxmlformats.org/officeDocument/2006/relationships/hyperlink" Target="https://mgg.stores-apple.com/catalog/planshet-apple-ipad-mini-2024-wi-fi-512-gb-cellular-goluboj/" TargetMode="External"/><Relationship Id="rId14" Type="http://schemas.openxmlformats.org/officeDocument/2006/relationships/hyperlink" Target="https://mgg.stores-apple.com/catalog/apple-iphone-15-256-gb-siniy/" TargetMode="External"/><Relationship Id="rId17" Type="http://schemas.openxmlformats.org/officeDocument/2006/relationships/hyperlink" Target="https://mgg.stores-apple.com/catalog/smartfon-apple-iphone-16-128-gb-ultramarin/" TargetMode="External"/><Relationship Id="rId16" Type="http://schemas.openxmlformats.org/officeDocument/2006/relationships/hyperlink" Target="https://mgg.stores-apple.com/catalog/apple-iphone-15-256-gb-pink/" TargetMode="External"/><Relationship Id="rId1340" Type="http://schemas.openxmlformats.org/officeDocument/2006/relationships/hyperlink" Target="https://mgg.stores-apple.com/catalog/vertikalnyy_pylesos_dyson_sv50_fc_pencilvac_vacuum_cleaner_black_vilka_eu/" TargetMode="External"/><Relationship Id="rId19" Type="http://schemas.openxmlformats.org/officeDocument/2006/relationships/hyperlink" Target="https://mgg.stores-apple.com/catalog/smartfon-apple-iphone-16-128-gb-ultramarin/" TargetMode="External"/><Relationship Id="rId510" Type="http://schemas.openxmlformats.org/officeDocument/2006/relationships/hyperlink" Target="https://mgg.stores-apple.com/catalog/smartfon-google-pixel-10-12-128-gb-goluboi/" TargetMode="External"/><Relationship Id="rId752" Type="http://schemas.openxmlformats.org/officeDocument/2006/relationships/hyperlink" Target="https://mgg.stores-apple.com/catalog/smartfon_xiaomi_redmi_note_15_pro_5g_8_256_gb_mocha_brown_korichnevyy_mokko/" TargetMode="External"/><Relationship Id="rId994" Type="http://schemas.openxmlformats.org/officeDocument/2006/relationships/hyperlink" Target="https://mgg.stores-apple.com/catalog/planshet_samsung_galaxy_tab_a11_plus_lte_128_gb_serebro/" TargetMode="External"/><Relationship Id="rId1341" Type="http://schemas.openxmlformats.org/officeDocument/2006/relationships/hyperlink" Target="https://mgg.stores-apple.com/catalog/dyson-gen5-vs23-decert-absolute-vacuum-purple/" TargetMode="External"/><Relationship Id="rId18" Type="http://schemas.openxmlformats.org/officeDocument/2006/relationships/hyperlink" Target="https://cifrocity.com/catalog/apple/iphone_16/apple_iphone_16_128gb_ultramarinovyy/" TargetMode="External"/><Relationship Id="rId751" Type="http://schemas.openxmlformats.org/officeDocument/2006/relationships/hyperlink" Target="https://mgg.stores-apple.com/catalog/smartfon_xiaomi_redmi_note_15_pro_5g_8_256_gb_midnight_black_polunochno_chernyy/" TargetMode="External"/><Relationship Id="rId993" Type="http://schemas.openxmlformats.org/officeDocument/2006/relationships/hyperlink" Target="https://mgg.stores-apple.com/catalog/planshet_samsung_galaxy_tab_a11_plus_wifi_128_gb_seryy/" TargetMode="External"/><Relationship Id="rId1100" Type="http://schemas.openxmlformats.org/officeDocument/2006/relationships/hyperlink" Target="https://mgg.stores-apple.com/catalog/apple-watch-ultra-2-satin-black-trail-loop-orange-beige-ml/" TargetMode="External"/><Relationship Id="rId1342" Type="http://schemas.openxmlformats.org/officeDocument/2006/relationships/hyperlink" Target="https://mgg.stores-apple.com/catalog/dyson_v16_ds60_sv53_a_piston_animal_submarine_wash_cooper_black_vilka_eu_bez_podstavki/" TargetMode="External"/><Relationship Id="rId750" Type="http://schemas.openxmlformats.org/officeDocument/2006/relationships/hyperlink" Target="https://mgg.stores-apple.com/catalog/smartfon_xiaomi_redmi_note_15_pro_5g_8_256_gb_glacier_blue_goluboy_led_1/" TargetMode="External"/><Relationship Id="rId992" Type="http://schemas.openxmlformats.org/officeDocument/2006/relationships/hyperlink" Target="https://mgg.stores-apple.com/catalog/planshet_samsung_galaxy_tab_a11_plus_wifi_128_gb_serebro/" TargetMode="External"/><Relationship Id="rId1101" Type="http://schemas.openxmlformats.org/officeDocument/2006/relationships/hyperlink" Target="https://mgg.stores-apple.com/catalog/apple-watch-ultra-2-satin-black-alpine-loop-sinij-s/" TargetMode="External"/><Relationship Id="rId1343" Type="http://schemas.openxmlformats.org/officeDocument/2006/relationships/hyperlink" Target="https://mgg.stores-apple.com/catalog/dyson_v16_ds60_sv53_a_piston_animal_submarine_wash_cooper_black_vilka_eu_s_podstavkoy/" TargetMode="External"/><Relationship Id="rId991" Type="http://schemas.openxmlformats.org/officeDocument/2006/relationships/hyperlink" Target="https://mgg.stores-apple.com/catalog/planshet-apple-ipad-mini-2024-wi-fi-512-gb-cellular-seryj-kosmos/" TargetMode="External"/><Relationship Id="rId1102" Type="http://schemas.openxmlformats.org/officeDocument/2006/relationships/hyperlink" Target="https://mgg.stores-apple.com/catalog/apple-watch-ultra-2-satin-black-trail-loop-blue-black-ml/" TargetMode="External"/><Relationship Id="rId1344" Type="http://schemas.openxmlformats.org/officeDocument/2006/relationships/hyperlink" Target="https://mgg.stores-apple.com/catalog/robot_pylesos_dreame_x60_ultra_complete_chernyy/" TargetMode="External"/><Relationship Id="rId84" Type="http://schemas.openxmlformats.org/officeDocument/2006/relationships/hyperlink" Target="https://mgg.stores-apple.com/catalog/smartfon_apple_iphone_17e_256_gb_belyy/" TargetMode="External"/><Relationship Id="rId83" Type="http://schemas.openxmlformats.org/officeDocument/2006/relationships/hyperlink" Target="https://mgg.stores-apple.com/catalog/smartfon_apple_iphone_17e_256_gb_chernyy/" TargetMode="External"/><Relationship Id="rId86" Type="http://schemas.openxmlformats.org/officeDocument/2006/relationships/hyperlink" Target="https://mgg.stores-apple.com/catalog/smartfon_apple_iphone_17e_256_gb_chernyy_esim/" TargetMode="External"/><Relationship Id="rId85" Type="http://schemas.openxmlformats.org/officeDocument/2006/relationships/hyperlink" Target="https://mgg.stores-apple.com/catalog/smartfon_apple_iphone_17e_256_gb_rozovyy/" TargetMode="External"/><Relationship Id="rId88" Type="http://schemas.openxmlformats.org/officeDocument/2006/relationships/hyperlink" Target="https://mgg.stores-apple.com/catalog/smartfon_apple_iphone_17e_256_gb_rozovyy_esim/" TargetMode="External"/><Relationship Id="rId87" Type="http://schemas.openxmlformats.org/officeDocument/2006/relationships/hyperlink" Target="https://mgg.stores-apple.com/catalog/smartfon_apple_iphone_17e_256_gb_belyy_esim/" TargetMode="External"/><Relationship Id="rId89" Type="http://schemas.openxmlformats.org/officeDocument/2006/relationships/hyperlink" Target="https://cifrocity.com/catalog/apple/iphone_17_17_air/apple_iphone_17_128gb_rozovyy/" TargetMode="External"/><Relationship Id="rId709" Type="http://schemas.openxmlformats.org/officeDocument/2006/relationships/hyperlink" Target="https://mgg.stores-apple.com/catalog/smartfon_poco_x8_pro_12_512_gb_zelenyy/" TargetMode="External"/><Relationship Id="rId708" Type="http://schemas.openxmlformats.org/officeDocument/2006/relationships/hyperlink" Target="https://mgg.stores-apple.com/catalog/smartfon_poco_x8_pro_12_512_gb_belyy/" TargetMode="External"/><Relationship Id="rId707" Type="http://schemas.openxmlformats.org/officeDocument/2006/relationships/hyperlink" Target="https://mgg.stores-apple.com/catalog/smartfon-poco-f7-pro-12-512gb-serebro/" TargetMode="External"/><Relationship Id="rId949" Type="http://schemas.openxmlformats.org/officeDocument/2006/relationships/hyperlink" Target="https://mgg.stores-apple.com/catalog/planshet-apple-ipad-11-a16-2025-wi-fi-128-gb-zheltyj/" TargetMode="External"/><Relationship Id="rId706" Type="http://schemas.openxmlformats.org/officeDocument/2006/relationships/hyperlink" Target="https://mgg.stores-apple.com/catalog/smartfon-poco-f7-pro-12-512gb-goluboy/" TargetMode="External"/><Relationship Id="rId948" Type="http://schemas.openxmlformats.org/officeDocument/2006/relationships/hyperlink" Target="https://mgg.stores-apple.com/catalog/planshet-apple-ipad-11-a16-2025-wi-fi-256-gb-serebristyj/" TargetMode="External"/><Relationship Id="rId80" Type="http://schemas.openxmlformats.org/officeDocument/2006/relationships/hyperlink" Target="https://mgg.stores-apple.com/catalog/smartfon-apple-iphone-16-pro-max-256-gb-belyj-titan-obmen/" TargetMode="External"/><Relationship Id="rId82" Type="http://schemas.openxmlformats.org/officeDocument/2006/relationships/hyperlink" Target="https://mgg.stores-apple.com/catalog/smartfon-apple-iphone-16-pro-max-256-gb-chernyj-titan-obmen/" TargetMode="External"/><Relationship Id="rId81" Type="http://schemas.openxmlformats.org/officeDocument/2006/relationships/hyperlink" Target="https://mgg.stores-apple.com/catalog/smartfon-apple-iphone-16-pro-max-256-gb-naturalnyj-titan-obmen/" TargetMode="External"/><Relationship Id="rId701" Type="http://schemas.openxmlformats.org/officeDocument/2006/relationships/hyperlink" Target="https://mgg.stores-apple.com/catalog/smartfon_poco_x8_pro_8_512_gb_chernyy/" TargetMode="External"/><Relationship Id="rId943" Type="http://schemas.openxmlformats.org/officeDocument/2006/relationships/hyperlink" Target="https://mgg.stores-apple.com/catalog/planshet_apple_ipad_air_2026_m4_11_wi_fi_256_gb_seryy_kosmos/" TargetMode="External"/><Relationship Id="rId700" Type="http://schemas.openxmlformats.org/officeDocument/2006/relationships/hyperlink" Target="https://mgg.stores-apple.com/catalog/smartfon_poco_x8_pro_8_512_gb_zelenyy/" TargetMode="External"/><Relationship Id="rId942" Type="http://schemas.openxmlformats.org/officeDocument/2006/relationships/hyperlink" Target="https://mgg.stores-apple.com/catalog/planshet-apple-ipad-air-2025-m3-13-wi-fi-cellular-1024-gb-goluboj/" TargetMode="External"/><Relationship Id="rId941" Type="http://schemas.openxmlformats.org/officeDocument/2006/relationships/hyperlink" Target="https://mgg.stores-apple.com/catalog/planshet-apple-ipad-air-2025-m3-13-wi-fi-cellular-1024-gb-fioletovyj/" TargetMode="External"/><Relationship Id="rId940" Type="http://schemas.openxmlformats.org/officeDocument/2006/relationships/hyperlink" Target="https://mgg.stores-apple.com/catalog/planshet-apple-ipad-air-2025-m3-13-wi-fi-cellular-1024-gb-seryj-kosmos/" TargetMode="External"/><Relationship Id="rId705" Type="http://schemas.openxmlformats.org/officeDocument/2006/relationships/hyperlink" Target="https://mgg.stores-apple.com/catalog/smartfon-poco-f7-pro-12-512gb-chernyy/" TargetMode="External"/><Relationship Id="rId947" Type="http://schemas.openxmlformats.org/officeDocument/2006/relationships/hyperlink" Target="https://mgg.stores-apple.com/catalog/planshet-apple-ipad-11-a16-2025-wi-fi-256-gb-goluboj/" TargetMode="External"/><Relationship Id="rId704" Type="http://schemas.openxmlformats.org/officeDocument/2006/relationships/hyperlink" Target="https://mgg.stores-apple.com/catalog/smartfon-poco-f7-pro-12-256gb-chernyy/" TargetMode="External"/><Relationship Id="rId946" Type="http://schemas.openxmlformats.org/officeDocument/2006/relationships/hyperlink" Target="https://mgg.stores-apple.com/catalog/planshet-apple-ipad-11-a16-2025-wi-fi-128-gb-serebristyj/" TargetMode="External"/><Relationship Id="rId703" Type="http://schemas.openxmlformats.org/officeDocument/2006/relationships/hyperlink" Target="https://mgg.stores-apple.com/catalog/smartfon-poco-f7-pro-12-256gb-serebro/" TargetMode="External"/><Relationship Id="rId945" Type="http://schemas.openxmlformats.org/officeDocument/2006/relationships/hyperlink" Target="https://mgg.stores-apple.com/catalog/planshet-apple-ipad-11-a16-2025-wi-fi-128-gb-rozovyj/" TargetMode="External"/><Relationship Id="rId702" Type="http://schemas.openxmlformats.org/officeDocument/2006/relationships/hyperlink" Target="https://mgg.stores-apple.com/catalog/smartfon-poco-f7-pro-12-256gb-goluboy/" TargetMode="External"/><Relationship Id="rId944" Type="http://schemas.openxmlformats.org/officeDocument/2006/relationships/hyperlink" Target="https://mgg.stores-apple.com/catalog/planshet-apple-ipad-11-a16-2025-wi-fi-128-gb-goluboj/" TargetMode="External"/><Relationship Id="rId73" Type="http://schemas.openxmlformats.org/officeDocument/2006/relationships/hyperlink" Target="https://mgg.stores-apple.com/catalog/smartfon-apple-iphone-16-128-gb-rozovyj/" TargetMode="External"/><Relationship Id="rId72" Type="http://schemas.openxmlformats.org/officeDocument/2006/relationships/hyperlink" Target="https://mgg.stores-apple.com/catalog/smartfon-apple-iphone-16-plus-256-gb-biryuzovyj/" TargetMode="External"/><Relationship Id="rId75" Type="http://schemas.openxmlformats.org/officeDocument/2006/relationships/hyperlink" Target="https://mgg.stores-apple.com/catalog/smartfon-apple-iphone-16-pro-128-gb-pustynnyj-titan/" TargetMode="External"/><Relationship Id="rId74" Type="http://schemas.openxmlformats.org/officeDocument/2006/relationships/hyperlink" Target="https://mgg.stores-apple.com/catalog/smartfon-apple-iphone-16-plus-256-gb-rozovyj/" TargetMode="External"/><Relationship Id="rId77" Type="http://schemas.openxmlformats.org/officeDocument/2006/relationships/hyperlink" Target="https://mgg.stores-apple.com/catalog/smartfon-apple-iphone-16-pro-128-gb-naturalnyj-titan/" TargetMode="External"/><Relationship Id="rId76" Type="http://schemas.openxmlformats.org/officeDocument/2006/relationships/hyperlink" Target="https://mgg.stores-apple.com/catalog/smartfon-apple-iphone-16-pro-128-gb-belyj-titan/" TargetMode="External"/><Relationship Id="rId79" Type="http://schemas.openxmlformats.org/officeDocument/2006/relationships/hyperlink" Target="https://mgg.stores-apple.com/catalog/smartfon-apple-iphone-16-pro-max-256-gb-pustynnyj-titan/" TargetMode="External"/><Relationship Id="rId78" Type="http://schemas.openxmlformats.org/officeDocument/2006/relationships/hyperlink" Target="https://mgg.stores-apple.com/catalog/smartfon-apple-iphone-16-pro-128-gb-chernyj-titan/" TargetMode="External"/><Relationship Id="rId939" Type="http://schemas.openxmlformats.org/officeDocument/2006/relationships/hyperlink" Target="https://mgg.stores-apple.com/catalog/planshet-apple-ipad-air-2025-m3-13-wi-fi-cellular-1024-gb-siyayushhaya-zvezda/" TargetMode="External"/><Relationship Id="rId938" Type="http://schemas.openxmlformats.org/officeDocument/2006/relationships/hyperlink" Target="https://mgg.stores-apple.com/catalog/planshet_apple_ipad_air_2026_m4_13_wi_fi_cellular_1024_gb_fioletovyy/" TargetMode="External"/><Relationship Id="rId937" Type="http://schemas.openxmlformats.org/officeDocument/2006/relationships/hyperlink" Target="https://mgg.stores-apple.com/catalog/planshet_apple_ipad_air_2026_m4_13_wi_fi_cellular_1024_gb_siyayushchaya_zvezda/" TargetMode="External"/><Relationship Id="rId71" Type="http://schemas.openxmlformats.org/officeDocument/2006/relationships/hyperlink" Target="https://mgg.stores-apple.com/catalog/smartfon-apple-iphone-16-128-gb-biryuzovyj/" TargetMode="External"/><Relationship Id="rId70" Type="http://schemas.openxmlformats.org/officeDocument/2006/relationships/hyperlink" Target="https://mgg.stores-apple.com/catalog/smartfon-apple-iphone-16-plus-256-gb-belyj/" TargetMode="External"/><Relationship Id="rId932" Type="http://schemas.openxmlformats.org/officeDocument/2006/relationships/hyperlink" Target="https://mgg.stores-apple.com/catalog/planshet-apple-ipad-air-2025-m3-13-wi-fi-cellular-512-gb-fioletovyj/" TargetMode="External"/><Relationship Id="rId931" Type="http://schemas.openxmlformats.org/officeDocument/2006/relationships/hyperlink" Target="https://mgg.stores-apple.com/catalog/planshet-apple-ipad-air-2025-m3-13-wi-fi-cellular-512-gb-siyayushhaya-zvezda/" TargetMode="External"/><Relationship Id="rId930" Type="http://schemas.openxmlformats.org/officeDocument/2006/relationships/hyperlink" Target="https://mgg.stores-apple.com/catalog/planshet_apple_ipad_air_2026_m4_13_wi_fi_1024_gb_seryy_kosmos/" TargetMode="External"/><Relationship Id="rId936" Type="http://schemas.openxmlformats.org/officeDocument/2006/relationships/hyperlink" Target="https://mgg.stores-apple.com/catalog/planshet_apple_ipad_air_2026_m4_13_wi_fi_cellular_1024_gb_seryy_kosmos/" TargetMode="External"/><Relationship Id="rId935" Type="http://schemas.openxmlformats.org/officeDocument/2006/relationships/hyperlink" Target="https://mgg.stores-apple.com/catalog/planshet_apple_ipad_air_2026_m4_13_wi_fi_cellular_1024_gb_goluboy/" TargetMode="External"/><Relationship Id="rId934" Type="http://schemas.openxmlformats.org/officeDocument/2006/relationships/hyperlink" Target="https://mgg.stores-apple.com/catalog/planshet-apple-ipad-air-2025-m3-13-wi-fi-cellular-512-gb-goluboj/" TargetMode="External"/><Relationship Id="rId933" Type="http://schemas.openxmlformats.org/officeDocument/2006/relationships/hyperlink" Target="https://mgg.stores-apple.com/catalog/planshet-apple-ipad-air-2025-m3-13-wi-fi-cellular-512-gb-seryj-kosmos/" TargetMode="External"/><Relationship Id="rId62" Type="http://schemas.openxmlformats.org/officeDocument/2006/relationships/hyperlink" Target="https://mgg.stores-apple.com/catalog/smartfon-apple-iphone-16-plus-128-gb-biryuzovyj/" TargetMode="External"/><Relationship Id="rId1312" Type="http://schemas.openxmlformats.org/officeDocument/2006/relationships/hyperlink" Target="https://mgg.stores-apple.com/catalog/dyson_g1_wash_blue_black/" TargetMode="External"/><Relationship Id="rId61" Type="http://schemas.openxmlformats.org/officeDocument/2006/relationships/hyperlink" Target="https://mgg.stores-apple.com/catalog/smartfon-apple-iphone-16-128-gb-biryuzovyj/" TargetMode="External"/><Relationship Id="rId1313" Type="http://schemas.openxmlformats.org/officeDocument/2006/relationships/hyperlink" Target="https://mgg.stores-apple.com/catalog/vertikalnyy_pylesos_dyson_v10_total_clean_vacuum_black_nickel/" TargetMode="External"/><Relationship Id="rId64" Type="http://schemas.openxmlformats.org/officeDocument/2006/relationships/hyperlink" Target="https://mgg.stores-apple.com/catalog/smartfon-apple-iphone-16-plus-128-gb-rozovyj/" TargetMode="External"/><Relationship Id="rId1314" Type="http://schemas.openxmlformats.org/officeDocument/2006/relationships/hyperlink" Target="https://mgg.stores-apple.com/catalog/dyson_g1_wash_blue_black_vilka_eu/" TargetMode="External"/><Relationship Id="rId63" Type="http://schemas.openxmlformats.org/officeDocument/2006/relationships/hyperlink" Target="https://mgg.stores-apple.com/catalog/smartfon-apple-iphone-16-128-gb-rozovyj/" TargetMode="External"/><Relationship Id="rId1315" Type="http://schemas.openxmlformats.org/officeDocument/2006/relationships/hyperlink" Target="https://mgg.stores-apple.com/catalog/provodnoy_pylesos_dyson_cinetic_big_ball_cy23_iron_satin_red/" TargetMode="External"/><Relationship Id="rId66" Type="http://schemas.openxmlformats.org/officeDocument/2006/relationships/hyperlink" Target="https://mgg.stores-apple.com/catalog/smartfon-apple-iphone-16-plus-256-gb-ultramarin/" TargetMode="External"/><Relationship Id="rId1316" Type="http://schemas.openxmlformats.org/officeDocument/2006/relationships/hyperlink" Target="https://mgg.stores-apple.com/catalog/provodnoy_pylesos_dyson_big_ball_multifloor_2_grey_orange_vilka_eu/" TargetMode="External"/><Relationship Id="rId65" Type="http://schemas.openxmlformats.org/officeDocument/2006/relationships/hyperlink" Target="https://mgg.stores-apple.com/catalog/smartfon-apple-iphone-16-128-gb-ultramarin/" TargetMode="External"/><Relationship Id="rId1317" Type="http://schemas.openxmlformats.org/officeDocument/2006/relationships/hyperlink" Target="https://mgg.stores-apple.com/catalog/provodnoy_pylesos_dyson_big_ball_multifloor_2_grey_orange/" TargetMode="External"/><Relationship Id="rId68" Type="http://schemas.openxmlformats.org/officeDocument/2006/relationships/hyperlink" Target="https://mgg.stores-apple.com/catalog/smartfon-apple-iphone-16-plus-256-gb-chernyj/" TargetMode="External"/><Relationship Id="rId1318" Type="http://schemas.openxmlformats.org/officeDocument/2006/relationships/hyperlink" Target="https://mgg.stores-apple.com/catalog/provodnoy_pylesos_dyson_big_ball_parquet_2_iron_purple_vilka_eu/" TargetMode="External"/><Relationship Id="rId67" Type="http://schemas.openxmlformats.org/officeDocument/2006/relationships/hyperlink" Target="https://mgg.stores-apple.com/catalog/smartfon-apple-iphone-16-128-gb-chernyj/" TargetMode="External"/><Relationship Id="rId1319" Type="http://schemas.openxmlformats.org/officeDocument/2006/relationships/hyperlink" Target="https://mgg.stores-apple.com/catalog/dyson_v12s_slim_absolute_detected_submarine_yellow_nicke_l/" TargetMode="External"/><Relationship Id="rId729" Type="http://schemas.openxmlformats.org/officeDocument/2006/relationships/hyperlink" Target="https://mgg.stores-apple.com/catalog/smartfon-xiaomi-15-12-512-gb-belyy/" TargetMode="External"/><Relationship Id="rId728" Type="http://schemas.openxmlformats.org/officeDocument/2006/relationships/hyperlink" Target="https://mgg.stores-apple.com/catalog/smartfon-xiaomi-15-12-512-gb-zelenyy/" TargetMode="External"/><Relationship Id="rId60" Type="http://schemas.openxmlformats.org/officeDocument/2006/relationships/hyperlink" Target="https://mgg.stores-apple.com/catalog/smartfon-apple-iphone-16-plus-128-gb-belyj/" TargetMode="External"/><Relationship Id="rId723" Type="http://schemas.openxmlformats.org/officeDocument/2006/relationships/hyperlink" Target="https://mgg.stores-apple.com/catalog/smartfon-xiaomi-15-12-256-gb-zelenyy/" TargetMode="External"/><Relationship Id="rId965" Type="http://schemas.openxmlformats.org/officeDocument/2006/relationships/hyperlink" Target="https://mgg.stores-apple.com/catalog/planshet-apple-ipad-11-a16-2025-wi-fi-cellular-512-gb-zheltyj/" TargetMode="External"/><Relationship Id="rId722" Type="http://schemas.openxmlformats.org/officeDocument/2006/relationships/hyperlink" Target="https://mgg.stores-apple.com/catalog/smartfon_xiaomi_15t_12_256_gb_seryy/" TargetMode="External"/><Relationship Id="rId964" Type="http://schemas.openxmlformats.org/officeDocument/2006/relationships/hyperlink" Target="https://mgg.stores-apple.com/catalog/planshet-apple-ipad-11-a16-2025-wi-fi-cellular-512-gb-serebristyj/" TargetMode="External"/><Relationship Id="rId721" Type="http://schemas.openxmlformats.org/officeDocument/2006/relationships/hyperlink" Target="https://mgg.stores-apple.com/catalog/smartfon_xiaomi_15t_12_256_gb_chernyy/" TargetMode="External"/><Relationship Id="rId963" Type="http://schemas.openxmlformats.org/officeDocument/2006/relationships/hyperlink" Target="https://mgg.stores-apple.com/catalog/planshet-apple-ipad-11-a16-2025-wi-fi-512-gb-rozovyj/" TargetMode="External"/><Relationship Id="rId720" Type="http://schemas.openxmlformats.org/officeDocument/2006/relationships/hyperlink" Target="https://mgg.stores-apple.com/catalog/smartfon_xiaomi_15t_12_256_gb_zolotoy/" TargetMode="External"/><Relationship Id="rId962" Type="http://schemas.openxmlformats.org/officeDocument/2006/relationships/hyperlink" Target="https://mgg.stores-apple.com/catalog/planshet-apple-ipad-11-a16-2025-wi-fi-512-gb-zheltyj/" TargetMode="External"/><Relationship Id="rId727" Type="http://schemas.openxmlformats.org/officeDocument/2006/relationships/hyperlink" Target="https://mgg.stores-apple.com/catalog/smartfon_xiaomi_15t_pro_12_256_gb_zolotoy/" TargetMode="External"/><Relationship Id="rId969" Type="http://schemas.openxmlformats.org/officeDocument/2006/relationships/hyperlink" Target="https://mgg.stores-apple.com/catalog/planshet-apple-ipad-mini-2024-wi-fi-128-gb-siyayushchaya-zvezda/" TargetMode="External"/><Relationship Id="rId726" Type="http://schemas.openxmlformats.org/officeDocument/2006/relationships/hyperlink" Target="https://mgg.stores-apple.com/catalog/smartfon_xiaomi_15t_pro_12_256_gb_chernyy/" TargetMode="External"/><Relationship Id="rId968" Type="http://schemas.openxmlformats.org/officeDocument/2006/relationships/hyperlink" Target="https://mgg.stores-apple.com/catalog/planshet-apple-ipad-mini-2024-wi-fi-128-gb-goluboj/" TargetMode="External"/><Relationship Id="rId725" Type="http://schemas.openxmlformats.org/officeDocument/2006/relationships/hyperlink" Target="https://mgg.stores-apple.com/catalog/smartfon-xiaomi-15-12-256-gb-belyy/" TargetMode="External"/><Relationship Id="rId967" Type="http://schemas.openxmlformats.org/officeDocument/2006/relationships/hyperlink" Target="https://mgg.stores-apple.com/catalog/planshet-apple-ipad-11-a16-2025-wi-fi-cellular-512-gb-rozovyj/" TargetMode="External"/><Relationship Id="rId724" Type="http://schemas.openxmlformats.org/officeDocument/2006/relationships/hyperlink" Target="https://mgg.stores-apple.com/catalog/smartfon-xiaomi-15-12-256-gb-chernyy/" TargetMode="External"/><Relationship Id="rId966" Type="http://schemas.openxmlformats.org/officeDocument/2006/relationships/hyperlink" Target="https://mgg.stores-apple.com/catalog/planshet-apple-ipad-11-a16-2025-wi-fi-cellular-512-gb-goluboj/" TargetMode="External"/><Relationship Id="rId69" Type="http://schemas.openxmlformats.org/officeDocument/2006/relationships/hyperlink" Target="https://mgg.stores-apple.com/catalog/smartfon-apple-iphone-16-128-gb-belyj/" TargetMode="External"/><Relationship Id="rId961" Type="http://schemas.openxmlformats.org/officeDocument/2006/relationships/hyperlink" Target="https://mgg.stores-apple.com/catalog/planshet-apple-ipad-11-a16-2025-wi-fi-512-gb-serebristyj/" TargetMode="External"/><Relationship Id="rId960" Type="http://schemas.openxmlformats.org/officeDocument/2006/relationships/hyperlink" Target="https://mgg.stores-apple.com/catalog/planshet-apple-ipad-11-a16-2025-wi-fi-512-gb-goluboj/" TargetMode="External"/><Relationship Id="rId1310" Type="http://schemas.openxmlformats.org/officeDocument/2006/relationships/hyperlink" Target="https://mgg.stores-apple.com/catalog/chekhol_magnetic_dlya_iphone_17_air_prozrachyy/" TargetMode="External"/><Relationship Id="rId1311" Type="http://schemas.openxmlformats.org/officeDocument/2006/relationships/hyperlink" Target="https://mgg.stores-apple.com/catalog/vertikalnyy_pylesos_dyson_v10_cyclon_absolute_nickel_cooper/" TargetMode="External"/><Relationship Id="rId51" Type="http://schemas.openxmlformats.org/officeDocument/2006/relationships/hyperlink" Target="https://cifrocity.com/catalog/apple/iphone_16/apple_iphone_16e_256gb_2sim_chernyy_bez_rustore/" TargetMode="External"/><Relationship Id="rId1301" Type="http://schemas.openxmlformats.org/officeDocument/2006/relationships/hyperlink" Target="https://mgg.stores-apple.com/catalog/magic-mouse-mk2e3/" TargetMode="External"/><Relationship Id="rId50" Type="http://schemas.openxmlformats.org/officeDocument/2006/relationships/hyperlink" Target="https://mgg.stores-apple.com/catalog/smartfon-apple-iphone-16-128-gb-chernyj/" TargetMode="External"/><Relationship Id="rId1302" Type="http://schemas.openxmlformats.org/officeDocument/2006/relationships/hyperlink" Target="https://mgg.stores-apple.com/catalog/magic-mouse-mmmq3/" TargetMode="External"/><Relationship Id="rId53" Type="http://schemas.openxmlformats.org/officeDocument/2006/relationships/hyperlink" Target="https://cifrocity.com/catalog/apple/iphone_16/apple_iphone_16e_256gb_2sim_belyy_bez_rustore/" TargetMode="External"/><Relationship Id="rId1303" Type="http://schemas.openxmlformats.org/officeDocument/2006/relationships/hyperlink" Target="https://mgg.stores-apple.com/catalog/magic-trackpad-mk2d3/" TargetMode="External"/><Relationship Id="rId52" Type="http://schemas.openxmlformats.org/officeDocument/2006/relationships/hyperlink" Target="https://mgg.stores-apple.com/catalog/smartfon-apple-iphone-16e-256-gb-chernyj/" TargetMode="External"/><Relationship Id="rId1304" Type="http://schemas.openxmlformats.org/officeDocument/2006/relationships/hyperlink" Target="https://mgg.stores-apple.com/catalog/magic-trackpad-mmmp3/" TargetMode="External"/><Relationship Id="rId55" Type="http://schemas.openxmlformats.org/officeDocument/2006/relationships/hyperlink" Target="https://mgg.stores-apple.com/catalog/smartfon-apple-iphone-16-128-gb-ultramarin/" TargetMode="External"/><Relationship Id="rId1305" Type="http://schemas.openxmlformats.org/officeDocument/2006/relationships/hyperlink" Target="https://mgg.stores-apple.com/catalog/magic-keyboard-with-touch-id-mk293/" TargetMode="External"/><Relationship Id="rId54" Type="http://schemas.openxmlformats.org/officeDocument/2006/relationships/hyperlink" Target="https://mgg.stores-apple.com/catalog/smartfon-apple-iphone-16e-256-gb-belyy/" TargetMode="External"/><Relationship Id="rId1306" Type="http://schemas.openxmlformats.org/officeDocument/2006/relationships/hyperlink" Target="https://mgg.stores-apple.com/catalog/magic-keyboard-with-touch-id-mk2c3/" TargetMode="External"/><Relationship Id="rId57" Type="http://schemas.openxmlformats.org/officeDocument/2006/relationships/hyperlink" Target="https://mgg.stores-apple.com/catalog/smartfon-apple-iphone-16-128-gb-chernyj/" TargetMode="External"/><Relationship Id="rId1307" Type="http://schemas.openxmlformats.org/officeDocument/2006/relationships/hyperlink" Target="https://mgg.stores-apple.com/catalog/magic-keyboard-with-touch-id-mmmr3/" TargetMode="External"/><Relationship Id="rId56" Type="http://schemas.openxmlformats.org/officeDocument/2006/relationships/hyperlink" Target="https://repremium.ru/magnitogorsk/catalog/smartfon_apple_iphone_16_plus_128_gb_fioletovyy/" TargetMode="External"/><Relationship Id="rId1308" Type="http://schemas.openxmlformats.org/officeDocument/2006/relationships/hyperlink" Target="https://mgg.stores-apple.com/catalog/magic-keyboard-mk2a3/" TargetMode="External"/><Relationship Id="rId1309" Type="http://schemas.openxmlformats.org/officeDocument/2006/relationships/hyperlink" Target="https://mgg.stores-apple.com/catalog/magic-keyboard-mq052/" TargetMode="External"/><Relationship Id="rId719" Type="http://schemas.openxmlformats.org/officeDocument/2006/relationships/hyperlink" Target="https://mgg.stores-apple.com/catalog/smartfon_xiaomi_17_12_512_gb_chernyy/" TargetMode="External"/><Relationship Id="rId718" Type="http://schemas.openxmlformats.org/officeDocument/2006/relationships/hyperlink" Target="https://mgg.stores-apple.com/catalog/smartfon_xiaomi_17t_pro_12_256gb_chernyy/" TargetMode="External"/><Relationship Id="rId717" Type="http://schemas.openxmlformats.org/officeDocument/2006/relationships/hyperlink" Target="https://mgg.stores-apple.com/catalog/smartfon_xiaomi_15t_pro_12_256_gb_seryy/" TargetMode="External"/><Relationship Id="rId959" Type="http://schemas.openxmlformats.org/officeDocument/2006/relationships/hyperlink" Target="https://mgg.stores-apple.com/catalog/planshet-apple-ipad-11-a16-2025-wi-fi-cellular-256-gb-serebristyj/" TargetMode="External"/><Relationship Id="rId712" Type="http://schemas.openxmlformats.org/officeDocument/2006/relationships/hyperlink" Target="https://mgg.stores-apple.com/catalog/smartfon_poco_x8_pro_max_12_256_gb_goluboy/" TargetMode="External"/><Relationship Id="rId954" Type="http://schemas.openxmlformats.org/officeDocument/2006/relationships/hyperlink" Target="https://mgg.stores-apple.com/catalog/planshet-apple-ipad-11-a16-2025-wi-fi-256-gb-zheltyj/" TargetMode="External"/><Relationship Id="rId711" Type="http://schemas.openxmlformats.org/officeDocument/2006/relationships/hyperlink" Target="https://mgg.stores-apple.com/catalog/smartfon_poco_x8_pro_max_12_256_gb_belyy/" TargetMode="External"/><Relationship Id="rId953" Type="http://schemas.openxmlformats.org/officeDocument/2006/relationships/hyperlink" Target="https://mgg.stores-apple.com/catalog/planshet-apple-ipad-11-a16-2025-wi-fi-cellular-128-gb-serebristyj/" TargetMode="External"/><Relationship Id="rId710" Type="http://schemas.openxmlformats.org/officeDocument/2006/relationships/hyperlink" Target="https://mgg.stores-apple.com/catalog/smartfon_poco_x8_pro_12_512_gb_chernyy/" TargetMode="External"/><Relationship Id="rId952" Type="http://schemas.openxmlformats.org/officeDocument/2006/relationships/hyperlink" Target="https://mgg.stores-apple.com/catalog/planshet-apple-ipad-11-a16-2025-wi-fi-cellular-128-gb-rozovyj/" TargetMode="External"/><Relationship Id="rId951" Type="http://schemas.openxmlformats.org/officeDocument/2006/relationships/hyperlink" Target="https://mgg.stores-apple.com/catalog/planshet-apple-ipad-11-a16-2025-wi-fi-cellular-128-gb-zheltyj/" TargetMode="External"/><Relationship Id="rId716" Type="http://schemas.openxmlformats.org/officeDocument/2006/relationships/hyperlink" Target="https://mgg.stores-apple.com/catalog/smartfon_poco_x8_pro_max_12_512_gb_chernyy/" TargetMode="External"/><Relationship Id="rId958" Type="http://schemas.openxmlformats.org/officeDocument/2006/relationships/hyperlink" Target="https://mgg.stores-apple.com/catalog/planshet-apple-ipad-11-a16-2025-wi-fi-cellular-256-gb-rozovyj/" TargetMode="External"/><Relationship Id="rId715" Type="http://schemas.openxmlformats.org/officeDocument/2006/relationships/hyperlink" Target="https://mgg.stores-apple.com/catalog/smartfon_poco_x8_pro_max_12_512gb_belyy/" TargetMode="External"/><Relationship Id="rId957" Type="http://schemas.openxmlformats.org/officeDocument/2006/relationships/hyperlink" Target="https://mgg.stores-apple.com/catalog/planshet-apple-ipad-11-a16-2025-wi-fi-cellular-256-gb-zheltyj/" TargetMode="External"/><Relationship Id="rId714" Type="http://schemas.openxmlformats.org/officeDocument/2006/relationships/hyperlink" Target="https://mgg.stores-apple.com/catalog/smartfon_poco_x8_pro_max_12_512_gb_goluboy/" TargetMode="External"/><Relationship Id="rId956" Type="http://schemas.openxmlformats.org/officeDocument/2006/relationships/hyperlink" Target="https://mgg.stores-apple.com/catalog/planshet-apple-ipad-11-a16-2025-wi-fi-cellular-256-gb-goluboj/" TargetMode="External"/><Relationship Id="rId713" Type="http://schemas.openxmlformats.org/officeDocument/2006/relationships/hyperlink" Target="https://mgg.stores-apple.com/catalog/smartfon_poco_x8_pro_max_12_256_gb_chernyy/" TargetMode="External"/><Relationship Id="rId955" Type="http://schemas.openxmlformats.org/officeDocument/2006/relationships/hyperlink" Target="https://mgg.stores-apple.com/catalog/planshet-apple-ipad-11-a16-2025-wi-fi-256-gb-rozovyj/" TargetMode="External"/><Relationship Id="rId59" Type="http://schemas.openxmlformats.org/officeDocument/2006/relationships/hyperlink" Target="https://mgg.stores-apple.com/catalog/smartfon-apple-iphone-16-128-gb-belyj/" TargetMode="External"/><Relationship Id="rId58" Type="http://schemas.openxmlformats.org/officeDocument/2006/relationships/hyperlink" Target="https://mgg.stores-apple.com/catalog/smartfon-apple-iphone-16-plus-128-gb-ultramarin/" TargetMode="External"/><Relationship Id="rId950" Type="http://schemas.openxmlformats.org/officeDocument/2006/relationships/hyperlink" Target="https://mgg.stores-apple.com/catalog/planshet-apple-ipad-11-a16-2025-wi-fi-cellular-128-gb-goluboj/" TargetMode="External"/><Relationship Id="rId1300" Type="http://schemas.openxmlformats.org/officeDocument/2006/relationships/hyperlink" Target="https://mgg.stores-apple.com/catalog/konvert_gurdini_felt_dlya_macbook_air_15_seryy/" TargetMode="External"/><Relationship Id="rId590" Type="http://schemas.openxmlformats.org/officeDocument/2006/relationships/hyperlink" Target="https://mgg.stores-apple.com/catalog/smartfon_google_pixel_11_pro_fold_16_512_gb_olivkovyy/" TargetMode="External"/><Relationship Id="rId107" Type="http://schemas.openxmlformats.org/officeDocument/2006/relationships/hyperlink" Target="https://cifrocity.com/catalog/apple/iphone_17_17_air/apple_iphone_17_256gb_esim_zelenyy_bez_rustore/" TargetMode="External"/><Relationship Id="rId349" Type="http://schemas.openxmlformats.org/officeDocument/2006/relationships/hyperlink" Target="https://mgg.stores-apple.com/catalog/smartfon-samsung-galaxy-s24-12256-gb-zheltyy/" TargetMode="External"/><Relationship Id="rId106" Type="http://schemas.openxmlformats.org/officeDocument/2006/relationships/hyperlink" Target="https://mgg.stores-apple.com/catalog/smartfon-apple-iphone-17-256-gb-goluboj-esim/" TargetMode="External"/><Relationship Id="rId348" Type="http://schemas.openxmlformats.org/officeDocument/2006/relationships/hyperlink" Target="https://mgg.stores-apple.com/catalog/smartfon-samsung-galaxy-s24-12256-gb-zelenyy/" TargetMode="External"/><Relationship Id="rId105" Type="http://schemas.openxmlformats.org/officeDocument/2006/relationships/hyperlink" Target="https://cifrocity.com/catalog/apple/iphone_17_17_air/apple_iphone_17_256gb_esim_goluboy_bez_rustore/" TargetMode="External"/><Relationship Id="rId347" Type="http://schemas.openxmlformats.org/officeDocument/2006/relationships/hyperlink" Target="https://mgg.stores-apple.com/catalog/smartfon-samsung-galaxy-s24-12256-gb-oranzhevyy/" TargetMode="External"/><Relationship Id="rId589" Type="http://schemas.openxmlformats.org/officeDocument/2006/relationships/hyperlink" Target="https://mgg.stores-apple.com/catalog/smartfon_google_pixel_11_pro_fold_16_512_gb_chyernyy/" TargetMode="External"/><Relationship Id="rId104" Type="http://schemas.openxmlformats.org/officeDocument/2006/relationships/hyperlink" Target="https://mgg.stores-apple.com/catalog/smartfon-apple-iphone-17-256-gb-belyi-esim/" TargetMode="External"/><Relationship Id="rId346" Type="http://schemas.openxmlformats.org/officeDocument/2006/relationships/hyperlink" Target="https://mgg.stores-apple.com/catalog/smartfon-samsung-galaxy-s25-fe-8-256-goluboi/" TargetMode="External"/><Relationship Id="rId588" Type="http://schemas.openxmlformats.org/officeDocument/2006/relationships/hyperlink" Target="https://mgg.stores-apple.com/catalog/smartfon_google_pixel_11_pro_fold_16_256_gb_olivkovyy/" TargetMode="External"/><Relationship Id="rId109" Type="http://schemas.openxmlformats.org/officeDocument/2006/relationships/hyperlink" Target="https://mgg.stores-apple.com/catalog/smartfon-apple-iphone-17-512-gb-lavandovyj/" TargetMode="External"/><Relationship Id="rId1170" Type="http://schemas.openxmlformats.org/officeDocument/2006/relationships/hyperlink" Target="https://mgg.stores-apple.com/catalog/sportivnye_chasy_garmin_forerunner_170_music_teal_green_with_teal_green_citron_band_zeleno_limonnyy/" TargetMode="External"/><Relationship Id="rId108" Type="http://schemas.openxmlformats.org/officeDocument/2006/relationships/hyperlink" Target="https://mgg.stores-apple.com/catalog/smartfon-apple-iphone-17-256-gb-zelenyi-esim/" TargetMode="External"/><Relationship Id="rId1171" Type="http://schemas.openxmlformats.org/officeDocument/2006/relationships/hyperlink" Target="https://mgg.stores-apple.com/catalog/sportivnye_chasy_garmin_forerunner_170_music_music_red_pink_with_red_pink_mango_band_krasno_rozovyy/" TargetMode="External"/><Relationship Id="rId341" Type="http://schemas.openxmlformats.org/officeDocument/2006/relationships/hyperlink" Target="https://mgg.stores-apple.com/catalog/smartfon_samsung_galaxy_s26_ultra_512_gb_cobalt_violet/" TargetMode="External"/><Relationship Id="rId583" Type="http://schemas.openxmlformats.org/officeDocument/2006/relationships/hyperlink" Target="https://mgg.stores-apple.com/catalog/smartfon_google_pixel_11_12_512_gb_gibiskus_hibiscus/" TargetMode="External"/><Relationship Id="rId1172" Type="http://schemas.openxmlformats.org/officeDocument/2006/relationships/hyperlink" Target="https://mgg.stores-apple.com/catalog/sportivnye_chasy_garmin_forerunner_170_music_black_with_black_amp_yellow_band_cherno_zheltyy_/" TargetMode="External"/><Relationship Id="rId340" Type="http://schemas.openxmlformats.org/officeDocument/2006/relationships/hyperlink" Target="https://mgg.stores-apple.com/catalog/smartfon_samsung_galaxy_s26_ultra_512_gb_black_shadow/" TargetMode="External"/><Relationship Id="rId582" Type="http://schemas.openxmlformats.org/officeDocument/2006/relationships/hyperlink" Target="https://mgg.stores-apple.com/catalog/smartfon_google_pixel_11_12_512_gb_moroznyy_frost/" TargetMode="External"/><Relationship Id="rId1173" Type="http://schemas.openxmlformats.org/officeDocument/2006/relationships/hyperlink" Target="https://mgg.stores-apple.com/catalog/sportivnye_chasy_garmin_forerunner_170_whitestone_with_whitestone_cloud_blue_band_belo_goluboy/" TargetMode="External"/><Relationship Id="rId581" Type="http://schemas.openxmlformats.org/officeDocument/2006/relationships/hyperlink" Target="https://mgg.stores-apple.com/catalog/smartfon_google_pixel_11_12_256_gb_gibiskus_hibiscus/" TargetMode="External"/><Relationship Id="rId1174" Type="http://schemas.openxmlformats.org/officeDocument/2006/relationships/hyperlink" Target="https://mgg.stores-apple.com/catalog/sportivnye_chasy_garmin_forerunner_170_black_with_black_amp_yellow_band_cherno_zheltyy_/" TargetMode="External"/><Relationship Id="rId580" Type="http://schemas.openxmlformats.org/officeDocument/2006/relationships/hyperlink" Target="https://mgg.stores-apple.com/catalog/smartfon_google_pixel_11_12_256_gb_moroznyy_frost/" TargetMode="External"/><Relationship Id="rId1175" Type="http://schemas.openxmlformats.org/officeDocument/2006/relationships/hyperlink" Target="https://mgg.stores-apple.com/catalog/remeshok_stalnoy_ubear_spark_dlya_apple_watch_m_l_42_44_45_49_serebro/" TargetMode="External"/><Relationship Id="rId103" Type="http://schemas.openxmlformats.org/officeDocument/2006/relationships/hyperlink" Target="https://cifrocity.com/catalog/apple/iphone_17_17_air/apple_iphone_17_256gb_esim_belyy_bez_rustore/" TargetMode="External"/><Relationship Id="rId345" Type="http://schemas.openxmlformats.org/officeDocument/2006/relationships/hyperlink" Target="https://mgg.stores-apple.com/catalog/smartfon-samsung-galaxy-s25-128-gb-myatnyy/" TargetMode="External"/><Relationship Id="rId587" Type="http://schemas.openxmlformats.org/officeDocument/2006/relationships/hyperlink" Target="https://mgg.stores-apple.com/catalog/smartfon_google_pixel_11_pro_fold_16_256_gb_chyernyy/" TargetMode="External"/><Relationship Id="rId1176" Type="http://schemas.openxmlformats.org/officeDocument/2006/relationships/hyperlink" Target="https://mgg.stores-apple.com/catalog/remeshok_stalnoy_ubear_spark_dlya_apple_watch_s_m_38_40_41_serebro/" TargetMode="External"/><Relationship Id="rId102" Type="http://schemas.openxmlformats.org/officeDocument/2006/relationships/hyperlink" Target="https://mgg.stores-apple.com/catalog/smartfon-apple-iphone-17-256-gb-chernyi-esim/" TargetMode="External"/><Relationship Id="rId344" Type="http://schemas.openxmlformats.org/officeDocument/2006/relationships/hyperlink" Target="https://mgg.stores-apple.com/catalog/smartfon-samsung-galaxy-s25-fe-8-128-chernyi/" TargetMode="External"/><Relationship Id="rId586" Type="http://schemas.openxmlformats.org/officeDocument/2006/relationships/hyperlink" Target="https://mgg.stores-apple.com/catalog/smartfon-google-pixel-9-pro-fold-16-256-gb-chernyi/" TargetMode="External"/><Relationship Id="rId1177" Type="http://schemas.openxmlformats.org/officeDocument/2006/relationships/hyperlink" Target="https://mgg.stores-apple.com/catalog/noutbuk-apple-macbook-pro-14-m4-2024-10-core-gpu-16-gb-512-gb-serebristyj-mw2w3/" TargetMode="External"/><Relationship Id="rId101" Type="http://schemas.openxmlformats.org/officeDocument/2006/relationships/hyperlink" Target="https://cifrocity.com/catalog/apple/iphone_17_17_air/apple_iphone_17_256gb_esim_chernyy_bez_rustore/" TargetMode="External"/><Relationship Id="rId343" Type="http://schemas.openxmlformats.org/officeDocument/2006/relationships/hyperlink" Target="https://mgg.stores-apple.com/catalog/smartfon-samsung-galaxy-s25-fe-8-128-belyi/" TargetMode="External"/><Relationship Id="rId585" Type="http://schemas.openxmlformats.org/officeDocument/2006/relationships/hyperlink" Target="https://mgg.stores-apple.com/catalog/smartfon_google_pixel_11_12_512_gb_fistashka_pistachio/" TargetMode="External"/><Relationship Id="rId1178" Type="http://schemas.openxmlformats.org/officeDocument/2006/relationships/hyperlink" Target="https://mgg.stores-apple.com/catalog/noutbuk-apple-macbook-pro-14-m4-2024-10-core-gpu-16-gb-512-gb-chernyj-kosmos-mw2u3/" TargetMode="External"/><Relationship Id="rId100" Type="http://schemas.openxmlformats.org/officeDocument/2006/relationships/hyperlink" Target="https://mgg.stores-apple.com/catalog/smartfon-apple-iphone-17-256-gb-lavandovyj-esim/" TargetMode="External"/><Relationship Id="rId342" Type="http://schemas.openxmlformats.org/officeDocument/2006/relationships/hyperlink" Target="https://mgg.stores-apple.com/catalog/smartfon-samsung-galaxy-s25-fe-8-128-goluboi/" TargetMode="External"/><Relationship Id="rId584" Type="http://schemas.openxmlformats.org/officeDocument/2006/relationships/hyperlink" Target="https://mgg.stores-apple.com/catalog/smartfon_google_pixel_11_12_512_gb_obsidian_obsidian/" TargetMode="External"/><Relationship Id="rId1179" Type="http://schemas.openxmlformats.org/officeDocument/2006/relationships/hyperlink" Target="https://mgg.stores-apple.com/catalog/noutbuk-apple-macbook-pro-14-m4-2024-10-core-gpu-16-gb-1024-gb-serebristyy-mw2x3/" TargetMode="External"/><Relationship Id="rId1169" Type="http://schemas.openxmlformats.org/officeDocument/2006/relationships/hyperlink" Target="https://mgg.stores-apple.com/catalog/sportivnye_chasy_garmin_vivoactive_6_black_chernyy_010_02985_00/" TargetMode="External"/><Relationship Id="rId338" Type="http://schemas.openxmlformats.org/officeDocument/2006/relationships/hyperlink" Target="https://mgg.stores-apple.com/catalog/smartfon-samsung-galaxy-s25-ultra-512-gb-chernyy-titan/" TargetMode="External"/><Relationship Id="rId337" Type="http://schemas.openxmlformats.org/officeDocument/2006/relationships/hyperlink" Target="https://mgg.stores-apple.com/catalog/smartfon-samsung-galaxy-s25-ultra-512-gb-seryy-titan/" TargetMode="External"/><Relationship Id="rId579" Type="http://schemas.openxmlformats.org/officeDocument/2006/relationships/hyperlink" Target="https://mgg.stores-apple.com/catalog/smartfon_google_pixel_11_12_256_gb_obsidian_obsidian/" TargetMode="External"/><Relationship Id="rId336" Type="http://schemas.openxmlformats.org/officeDocument/2006/relationships/hyperlink" Target="https://mgg.stores-apple.com/catalog/smartfon-samsung-galaxy-s25-ultra-256-gb-seryy-titan/" TargetMode="External"/><Relationship Id="rId578" Type="http://schemas.openxmlformats.org/officeDocument/2006/relationships/hyperlink" Target="https://mgg.stores-apple.com/catalog/smartfon_google_pixel_11_12_256_gb_fistashka_pistachio/" TargetMode="External"/><Relationship Id="rId335" Type="http://schemas.openxmlformats.org/officeDocument/2006/relationships/hyperlink" Target="https://mgg.stores-apple.com/catalog/smartfon_samsung_galaxy_s26_256_gb_black_chernyy/" TargetMode="External"/><Relationship Id="rId577" Type="http://schemas.openxmlformats.org/officeDocument/2006/relationships/hyperlink" Target="https://mgg.stores-apple.com/catalog/smartfon-google-pixel-9-pro-16-512-gb-chernyi/" TargetMode="External"/><Relationship Id="rId339" Type="http://schemas.openxmlformats.org/officeDocument/2006/relationships/hyperlink" Target="https://mgg.stores-apple.com/catalog/smartfon_samsung_galaxy_s26_ultra_12_256_gb_cobalt_violet/" TargetMode="External"/><Relationship Id="rId1160" Type="http://schemas.openxmlformats.org/officeDocument/2006/relationships/hyperlink" Target="https://mgg.stores-apple.com/catalog/fitnes-braslet-whoop-peak-5-0/" TargetMode="External"/><Relationship Id="rId330" Type="http://schemas.openxmlformats.org/officeDocument/2006/relationships/hyperlink" Target="https://mgg.stores-apple.com/catalog/smartfon-samsung-galaxy-s25-128-gb-siniy/" TargetMode="External"/><Relationship Id="rId572" Type="http://schemas.openxmlformats.org/officeDocument/2006/relationships/hyperlink" Target="https://mgg.stores-apple.com/catalog/smartfon-google-pixel-9-pro-16-256-gb-bezhevyi/" TargetMode="External"/><Relationship Id="rId1161" Type="http://schemas.openxmlformats.org/officeDocument/2006/relationships/hyperlink" Target="https://mgg.stores-apple.com/catalog/fitnes-braslet-whoop-life-mg/" TargetMode="External"/><Relationship Id="rId571" Type="http://schemas.openxmlformats.org/officeDocument/2006/relationships/hyperlink" Target="https://mgg.stores-apple.com/catalog/smartfon-google-pixel-9-pro-16-128-gb-seryi/" TargetMode="External"/><Relationship Id="rId1162" Type="http://schemas.openxmlformats.org/officeDocument/2006/relationships/hyperlink" Target="https://mgg.stores-apple.com/catalog/fitnes_treker_google_fitbit_air_obsidan_black_obsidianovo_chernyy/" TargetMode="External"/><Relationship Id="rId570" Type="http://schemas.openxmlformats.org/officeDocument/2006/relationships/hyperlink" Target="https://mgg.stores-apple.com/catalog/smartfon-google-pixel-9-pro-16-128-gb-bezhevyi/" TargetMode="External"/><Relationship Id="rId1163" Type="http://schemas.openxmlformats.org/officeDocument/2006/relationships/hyperlink" Target="https://mgg.stores-apple.com/catalog/fitnes_treker_google_fitbit_air_berry_pink_yagodnyy_rozovyy/" TargetMode="External"/><Relationship Id="rId1164" Type="http://schemas.openxmlformats.org/officeDocument/2006/relationships/hyperlink" Target="https://mgg.stores-apple.com/catalog/fitnes_treker_google_fitbit_air_lavender_blue_lavandovo_goluboy/" TargetMode="External"/><Relationship Id="rId334" Type="http://schemas.openxmlformats.org/officeDocument/2006/relationships/hyperlink" Target="https://mgg.stores-apple.com/catalog/smartfon_samsung_galaxy_s26_256_gb_violet_fioletovyy/" TargetMode="External"/><Relationship Id="rId576" Type="http://schemas.openxmlformats.org/officeDocument/2006/relationships/hyperlink" Target="https://mgg.stores-apple.com/catalog/smartfon-google-pixel-9-pro-16-512-gb-bezhevyi/" TargetMode="External"/><Relationship Id="rId1165" Type="http://schemas.openxmlformats.org/officeDocument/2006/relationships/hyperlink" Target="https://mgg.stores-apple.com/catalog/sportivnye_chasy_garmin_forerunner_70_citron_limonnyy/" TargetMode="External"/><Relationship Id="rId333" Type="http://schemas.openxmlformats.org/officeDocument/2006/relationships/hyperlink" Target="https://mgg.stores-apple.com/catalog/smartfon-samsung-galaxy-s25-256-gb-seryy/" TargetMode="External"/><Relationship Id="rId575" Type="http://schemas.openxmlformats.org/officeDocument/2006/relationships/hyperlink" Target="https://mgg.stores-apple.com/catalog/smartfon-google-pixel-9-pro-16-512-gb-seryi/" TargetMode="External"/><Relationship Id="rId1166" Type="http://schemas.openxmlformats.org/officeDocument/2006/relationships/hyperlink" Target="https://mgg.stores-apple.com/catalog/sportivnye_chasy_garmin_vivoactive_6_green_zelenyy_010_02985_42/" TargetMode="External"/><Relationship Id="rId332" Type="http://schemas.openxmlformats.org/officeDocument/2006/relationships/hyperlink" Target="https://mgg.stores-apple.com/catalog/smartfon-samsung-galaxy-s25-256-gb-siniy/" TargetMode="External"/><Relationship Id="rId574" Type="http://schemas.openxmlformats.org/officeDocument/2006/relationships/hyperlink" Target="https://mgg.stores-apple.com/catalog/smartfon-google-pixel-9-pro-16-256-gb-chernyi/" TargetMode="External"/><Relationship Id="rId1167" Type="http://schemas.openxmlformats.org/officeDocument/2006/relationships/hyperlink" Target="https://mgg.stores-apple.com/catalog/sportivnye_chasy_garmin_vivoactive_6_gold_zolotoy_010_02985_41/" TargetMode="External"/><Relationship Id="rId331" Type="http://schemas.openxmlformats.org/officeDocument/2006/relationships/hyperlink" Target="https://mgg.stores-apple.com/catalog/smartfon-samsung-galaxy-s25-256-gb-goluboy/" TargetMode="External"/><Relationship Id="rId573" Type="http://schemas.openxmlformats.org/officeDocument/2006/relationships/hyperlink" Target="https://mgg.stores-apple.com/catalog/smartfon-google-pixel-9-pro-16-256-gb-seryi/" TargetMode="External"/><Relationship Id="rId1168" Type="http://schemas.openxmlformats.org/officeDocument/2006/relationships/hyperlink" Target="https://mgg.stores-apple.com/catalog/sportivnye_chasy_garmin_vivoactive_6_pink_rozovyy_010_02985_43/" TargetMode="External"/><Relationship Id="rId370" Type="http://schemas.openxmlformats.org/officeDocument/2006/relationships/hyperlink" Target="https://mgg.stores-apple.com/catalog/smartfon-samsung-galaxy-s25-edge-12-256gb-goluboi/" TargetMode="External"/><Relationship Id="rId129" Type="http://schemas.openxmlformats.org/officeDocument/2006/relationships/hyperlink" Target="https://mgg.stores-apple.com/catalog/smartfon-apple-iphone-air-512-gb-belyi/" TargetMode="External"/><Relationship Id="rId128" Type="http://schemas.openxmlformats.org/officeDocument/2006/relationships/hyperlink" Target="https://mgg.stores-apple.com/catalog/smartfon-apple-iphone-air-512-gb-zolotoi/" TargetMode="External"/><Relationship Id="rId127" Type="http://schemas.openxmlformats.org/officeDocument/2006/relationships/hyperlink" Target="https://mgg.stores-apple.com/catalog/smartfon-apple-iphone-air-512-gb-chernyi/" TargetMode="External"/><Relationship Id="rId369" Type="http://schemas.openxmlformats.org/officeDocument/2006/relationships/hyperlink" Target="https://mgg.stores-apple.com/catalog/smartfon-samsung-galaxy-s25-512-gb-myatnyy/" TargetMode="External"/><Relationship Id="rId126" Type="http://schemas.openxmlformats.org/officeDocument/2006/relationships/hyperlink" Target="https://mgg.stores-apple.com/catalog/smartfon-apple-iphone-air-512-gb-goluboi/" TargetMode="External"/><Relationship Id="rId368" Type="http://schemas.openxmlformats.org/officeDocument/2006/relationships/hyperlink" Target="https://mgg.stores-apple.com/catalog/smartfon-samsung-galaxy-s25-512-gb-rozovyy/" TargetMode="External"/><Relationship Id="rId1190" Type="http://schemas.openxmlformats.org/officeDocument/2006/relationships/hyperlink" Target="https://mgg.stores-apple.com/catalog/noutbuk-apple-macbook-pro-14-m4-2024-10-core-gpu-24-gb-1024-gb-serebristyj-mcx14/" TargetMode="External"/><Relationship Id="rId1191" Type="http://schemas.openxmlformats.org/officeDocument/2006/relationships/hyperlink" Target="https://mgg.stores-apple.com/catalog/noutbuk-apple-macbook-pro-16-m4-pro-2024-20-core-gpu-24-gb-512-gb-chernyy-kosmos-mx2x3/" TargetMode="External"/><Relationship Id="rId1192" Type="http://schemas.openxmlformats.org/officeDocument/2006/relationships/hyperlink" Target="https://mgg.stores-apple.com/catalog/noutbuk-apple-macbook-pro-16-m4-pro-2024-20-core-gpu-24-gb-512-gb-serebristyy-mx2t3/" TargetMode="External"/><Relationship Id="rId1193" Type="http://schemas.openxmlformats.org/officeDocument/2006/relationships/hyperlink" Target="https://mgg.stores-apple.com/catalog/noutbuk-apple-macbook-pro-14-m4-pro-2024-20-core-gpu-24-gb-1024-gb-serebristyy-mx2f3/" TargetMode="External"/><Relationship Id="rId121" Type="http://schemas.openxmlformats.org/officeDocument/2006/relationships/hyperlink" Target="https://cifrocity.com/catalog/apple/iphone_17_17_air/apple_iphone_17_air_128gb_chernyy/" TargetMode="External"/><Relationship Id="rId363" Type="http://schemas.openxmlformats.org/officeDocument/2006/relationships/hyperlink" Target="https://mgg.stores-apple.com/catalog/smartfon-samsung-galaxy-s25-256-gb-rozovyy/" TargetMode="External"/><Relationship Id="rId1194" Type="http://schemas.openxmlformats.org/officeDocument/2006/relationships/hyperlink" Target="https://mgg.stores-apple.com/catalog/noutbuk-apple-macbook-pro-14-m4-pro-2024-20-core-gpu-24-gb-1024-gb-chernyy-kosmos-mx2j3/" TargetMode="External"/><Relationship Id="rId120" Type="http://schemas.openxmlformats.org/officeDocument/2006/relationships/hyperlink" Target="https://mgg.stores-apple.com/catalog/smartfon-apple-iphone-air-256-gb-goluboi/" TargetMode="External"/><Relationship Id="rId362" Type="http://schemas.openxmlformats.org/officeDocument/2006/relationships/hyperlink" Target="https://mgg.stores-apple.com/catalog/smartfon-samsung-galaxy-s25-256-gb-korallovyy/" TargetMode="External"/><Relationship Id="rId1195" Type="http://schemas.openxmlformats.org/officeDocument/2006/relationships/hyperlink" Target="https://mgg.stores-apple.com/catalog/noutbuk-apple-macbook-pro-16-m4-pro-2024-20-core-gpu-48-gb-512-gb-chernyy-kosmos-mx2y3/" TargetMode="External"/><Relationship Id="rId361" Type="http://schemas.openxmlformats.org/officeDocument/2006/relationships/hyperlink" Target="https://mgg.stores-apple.com/catalog/smartfon-samsung-galaxy-s25-256-gb-temno-seryy/" TargetMode="External"/><Relationship Id="rId1196" Type="http://schemas.openxmlformats.org/officeDocument/2006/relationships/hyperlink" Target="https://mgg.stores-apple.com/catalog/noutbuk-apple-macbook-pro-16-m4-max-2024-32-core-gpu-36-gb-1024-gb-chernyy-kosmos-mx303/" TargetMode="External"/><Relationship Id="rId360" Type="http://schemas.openxmlformats.org/officeDocument/2006/relationships/hyperlink" Target="https://mgg.stores-apple.com/catalog/smartfon-samsung-galaxy-s25-fe-8-512-sinii/" TargetMode="External"/><Relationship Id="rId1197" Type="http://schemas.openxmlformats.org/officeDocument/2006/relationships/hyperlink" Target="https://mgg.stores-apple.com/catalog/noutbuk-apple-macbook-pro-16-m4-pro-2024-20-core-gpu-48-gb-512-gb-serebristyy-mx2u3/" TargetMode="External"/><Relationship Id="rId125" Type="http://schemas.openxmlformats.org/officeDocument/2006/relationships/hyperlink" Target="https://mgg.stores-apple.com/catalog/smartfon-apple-iphone-air-256-gb-belyi/" TargetMode="External"/><Relationship Id="rId367" Type="http://schemas.openxmlformats.org/officeDocument/2006/relationships/hyperlink" Target="https://mgg.stores-apple.com/catalog/smartfon-samsung-galaxy-s25-512-gb-korallovyy/" TargetMode="External"/><Relationship Id="rId1198" Type="http://schemas.openxmlformats.org/officeDocument/2006/relationships/hyperlink" Target="https://mgg.stores-apple.com/catalog/noutbuk-apple-macbook-pro-16-m4-max-2024-32-core-gpu-36-gb-1024-gb-serebristyy-mx2v3/" TargetMode="External"/><Relationship Id="rId124" Type="http://schemas.openxmlformats.org/officeDocument/2006/relationships/hyperlink" Target="https://mgg.stores-apple.com/catalog/smartfon-apple-iphone-air-256-gb-zolotoi/" TargetMode="External"/><Relationship Id="rId366" Type="http://schemas.openxmlformats.org/officeDocument/2006/relationships/hyperlink" Target="https://mgg.stores-apple.com/catalog/smartfon_samsung_galaxy_s26_fe_256_gb_chernyy/" TargetMode="External"/><Relationship Id="rId1199" Type="http://schemas.openxmlformats.org/officeDocument/2006/relationships/hyperlink" Target="https://mgg.stores-apple.com/catalog/noutbuk-apple-macbook-pro-14-m4-max-2024-32-core-gpu-36-gb-1024-gb-chernyy-kosmos-mx2k3/" TargetMode="External"/><Relationship Id="rId123" Type="http://schemas.openxmlformats.org/officeDocument/2006/relationships/hyperlink" Target="https://cifrocity.com/catalog/apple/iphone_17_17_air/apple_iphone_17_air_128gb_zoloto/" TargetMode="External"/><Relationship Id="rId365" Type="http://schemas.openxmlformats.org/officeDocument/2006/relationships/hyperlink" Target="https://mgg.stores-apple.com/catalog/smartfon_samsung_galaxy_s26_fe_256_gb_zelenyy/" TargetMode="External"/><Relationship Id="rId122" Type="http://schemas.openxmlformats.org/officeDocument/2006/relationships/hyperlink" Target="https://mgg.stores-apple.com/catalog/smartfon-apple-iphone-air-256-gb-chernyi/" TargetMode="External"/><Relationship Id="rId364" Type="http://schemas.openxmlformats.org/officeDocument/2006/relationships/hyperlink" Target="https://mgg.stores-apple.com/catalog/smartfon_samsung_galaxy_s26_fe_256_gb_fioletovyy/" TargetMode="External"/><Relationship Id="rId95" Type="http://schemas.openxmlformats.org/officeDocument/2006/relationships/hyperlink" Target="https://cifrocity.com/catalog/apple/iphone_17_17_air/apple_iphone_17_128gb_siniy/" TargetMode="External"/><Relationship Id="rId94" Type="http://schemas.openxmlformats.org/officeDocument/2006/relationships/hyperlink" Target="https://mgg.stores-apple.com/catalog/smartfon-apple-iphone-17-256-gb-belyi/" TargetMode="External"/><Relationship Id="rId97" Type="http://schemas.openxmlformats.org/officeDocument/2006/relationships/hyperlink" Target="https://cifrocity.com/catalog/apple/iphone_17_17_air/apple_iphone_17_128gb_zelenyy/" TargetMode="External"/><Relationship Id="rId96" Type="http://schemas.openxmlformats.org/officeDocument/2006/relationships/hyperlink" Target="https://mgg.stores-apple.com/catalog/smartfon-apple-iphone-17-256-gb-goluboj/" TargetMode="External"/><Relationship Id="rId99" Type="http://schemas.openxmlformats.org/officeDocument/2006/relationships/hyperlink" Target="https://cifrocity.com/catalog/apple/iphone_17_17_air/apple_iphone_17_256gb_esim_fioletovyy_bez_rustore/" TargetMode="External"/><Relationship Id="rId98" Type="http://schemas.openxmlformats.org/officeDocument/2006/relationships/hyperlink" Target="https://mgg.stores-apple.com/catalog/smartfon-apple-iphone-17-256-gb-zelenyi/" TargetMode="External"/><Relationship Id="rId91" Type="http://schemas.openxmlformats.org/officeDocument/2006/relationships/hyperlink" Target="https://cifrocity.com/catalog/apple/iphone_17_17_air/apple_iphone_17_128gb_chernyy/" TargetMode="External"/><Relationship Id="rId90" Type="http://schemas.openxmlformats.org/officeDocument/2006/relationships/hyperlink" Target="https://mgg.stores-apple.com/catalog/smartfon-apple-iphone-17-256-gb-lavandovyj/" TargetMode="External"/><Relationship Id="rId93" Type="http://schemas.openxmlformats.org/officeDocument/2006/relationships/hyperlink" Target="https://cifrocity.com/catalog/apple/iphone_17_17_air/apple_iphone_17_128gb_belyy/" TargetMode="External"/><Relationship Id="rId92" Type="http://schemas.openxmlformats.org/officeDocument/2006/relationships/hyperlink" Target="https://mgg.stores-apple.com/catalog/smartfon-apple-iphone-17-256-gb-chernyi/" TargetMode="External"/><Relationship Id="rId118" Type="http://schemas.openxmlformats.org/officeDocument/2006/relationships/hyperlink" Target="https://mgg.stores-apple.com/catalog/smartfon-apple-iphone-17-512-gb-zelenyi-esim/" TargetMode="External"/><Relationship Id="rId117" Type="http://schemas.openxmlformats.org/officeDocument/2006/relationships/hyperlink" Target="https://mgg.stores-apple.com/catalog/smartfon-apple-iphone-17-512-gb-goluboj-esim/" TargetMode="External"/><Relationship Id="rId359" Type="http://schemas.openxmlformats.org/officeDocument/2006/relationships/hyperlink" Target="https://mgg.stores-apple.com/catalog/smartfon_samsung_galaxy_s26_fe_128_gb_fioletovyy/" TargetMode="External"/><Relationship Id="rId116" Type="http://schemas.openxmlformats.org/officeDocument/2006/relationships/hyperlink" Target="https://mgg.stores-apple.com/catalog/smartfon-apple-iphone-17-512-gb-belyi-esim/" TargetMode="External"/><Relationship Id="rId358" Type="http://schemas.openxmlformats.org/officeDocument/2006/relationships/hyperlink" Target="https://mgg.stores-apple.com/catalog/smartfon_samsung_galaxy_s26_fe_128_gb_zelenyy/" TargetMode="External"/><Relationship Id="rId115" Type="http://schemas.openxmlformats.org/officeDocument/2006/relationships/hyperlink" Target="https://mgg.stores-apple.com/catalog/smartfon-apple-iphone-17-512-gb-chernyi-esim/" TargetMode="External"/><Relationship Id="rId357" Type="http://schemas.openxmlformats.org/officeDocument/2006/relationships/hyperlink" Target="https://mgg.stores-apple.com/catalog/smartfon_samsung_galaxy_s26_fe_128_gb_chernyy/" TargetMode="External"/><Relationship Id="rId599" Type="http://schemas.openxmlformats.org/officeDocument/2006/relationships/hyperlink" Target="https://mgg.stores-apple.com/catalog/smartfon_google_pixel_11_pro_16_512_gb_olivkovyy/" TargetMode="External"/><Relationship Id="rId1180" Type="http://schemas.openxmlformats.org/officeDocument/2006/relationships/hyperlink" Target="https://mgg.stores-apple.com/catalog/noutbuk-apple-macbook-pro-14-m4-2024-10-core-gpu-16-gb-1024-gb-chernyj-kosmos-mw2v3/" TargetMode="External"/><Relationship Id="rId1181" Type="http://schemas.openxmlformats.org/officeDocument/2006/relationships/hyperlink" Target="https://mgg.stores-apple.com/catalog/noutbuk-apple-macbook-pro-14-m5-2025-10-core-gpu-16-gb-512-gb-serebristyi-mde44/" TargetMode="External"/><Relationship Id="rId119" Type="http://schemas.openxmlformats.org/officeDocument/2006/relationships/hyperlink" Target="https://cifrocity.com/catalog/apple/iphone_17_17_air/apple_iphone_17_air_128gb_nebesno_goluboy/" TargetMode="External"/><Relationship Id="rId1182" Type="http://schemas.openxmlformats.org/officeDocument/2006/relationships/hyperlink" Target="https://mgg.stores-apple.com/catalog/noutbuk-apple-macbook-pro-14-m5-2025-10-core-gpu-16-gb-512-gb-chernyi-mde04/" TargetMode="External"/><Relationship Id="rId110" Type="http://schemas.openxmlformats.org/officeDocument/2006/relationships/hyperlink" Target="https://mgg.stores-apple.com/catalog/smartfon-apple-iphone-17-512-gb-chernyi/" TargetMode="External"/><Relationship Id="rId352" Type="http://schemas.openxmlformats.org/officeDocument/2006/relationships/hyperlink" Target="https://mgg.stores-apple.com/catalog/smartfon-samsung-galaxy-s24-12256-gb-seryy/" TargetMode="External"/><Relationship Id="rId594" Type="http://schemas.openxmlformats.org/officeDocument/2006/relationships/hyperlink" Target="https://mgg.stores-apple.com/catalog/smartfon_google_pixel_11_pro_12_256_gb_rozovyy/" TargetMode="External"/><Relationship Id="rId1183" Type="http://schemas.openxmlformats.org/officeDocument/2006/relationships/hyperlink" Target="https://mgg.stores-apple.com/catalog/noutbuk-apple-macbook-pro-14-m5-2025-10-core-gpu-16-gb-1000-gb-serebristyi-mde54/" TargetMode="External"/><Relationship Id="rId351" Type="http://schemas.openxmlformats.org/officeDocument/2006/relationships/hyperlink" Target="https://mgg.stores-apple.com/catalog/smartfon-samsung-galaxy-s24-12256-gb-fioletovyy/" TargetMode="External"/><Relationship Id="rId593" Type="http://schemas.openxmlformats.org/officeDocument/2006/relationships/hyperlink" Target="https://mgg.stores-apple.com/catalog/smartfon_google_pixel_11_pro_12_256_gb_tumannyy/" TargetMode="External"/><Relationship Id="rId1184" Type="http://schemas.openxmlformats.org/officeDocument/2006/relationships/hyperlink" Target="https://mgg.stores-apple.com/catalog/noutbuk-apple-macbook-pro-14-m5-2025-10-core-gpu-16-gb-1000-gb-chernyi-mde14/" TargetMode="External"/><Relationship Id="rId350" Type="http://schemas.openxmlformats.org/officeDocument/2006/relationships/hyperlink" Target="https://mgg.stores-apple.com/catalog/smartfon-samsung-galaxy-s24-12256-gb-goluboy/" TargetMode="External"/><Relationship Id="rId592" Type="http://schemas.openxmlformats.org/officeDocument/2006/relationships/hyperlink" Target="https://mgg.stores-apple.com/catalog/smartfon_google_pixel_11_pro_12_256_gb_matovyy_chyernyy/" TargetMode="External"/><Relationship Id="rId1185" Type="http://schemas.openxmlformats.org/officeDocument/2006/relationships/hyperlink" Target="https://mgg.stores-apple.com/catalog/noutbuk-apple-macbook-pro-14-m4-pro-2024-16-core-gpu-24-gb-512-gb-serebristyy-mx2e3/" TargetMode="External"/><Relationship Id="rId591" Type="http://schemas.openxmlformats.org/officeDocument/2006/relationships/hyperlink" Target="https://mgg.stores-apple.com/catalog/smartfon_google_pixel_11_pro_fold_16_1024_gb_chyernyy_/" TargetMode="External"/><Relationship Id="rId1186" Type="http://schemas.openxmlformats.org/officeDocument/2006/relationships/hyperlink" Target="https://mgg.stores-apple.com/catalog/noutbuk-apple-macbook-pro-14-m5-2025-10-core-gpu-24-gb-1000-gb-chernyi-mde34/" TargetMode="External"/><Relationship Id="rId114" Type="http://schemas.openxmlformats.org/officeDocument/2006/relationships/hyperlink" Target="https://mgg.stores-apple.com/catalog/smartfon-apple-iphone-17-512-gb-lavandovyj-esim/" TargetMode="External"/><Relationship Id="rId356" Type="http://schemas.openxmlformats.org/officeDocument/2006/relationships/hyperlink" Target="https://mgg.stores-apple.com/catalog/smartfon-samsung-galaxy-s25-128-gb-korallovyy/" TargetMode="External"/><Relationship Id="rId598" Type="http://schemas.openxmlformats.org/officeDocument/2006/relationships/hyperlink" Target="https://mgg.stores-apple.com/catalog/smartfon_google_pixel_11_pro_16_512_gb_rozovyy/" TargetMode="External"/><Relationship Id="rId1187" Type="http://schemas.openxmlformats.org/officeDocument/2006/relationships/hyperlink" Target="https://mgg.stores-apple.com/catalog/noutbuk-apple-macbook-pro-14-m5-2025-10-core-gpu-24-gb-1024-gb-serebristyi-mde64/" TargetMode="External"/><Relationship Id="rId113" Type="http://schemas.openxmlformats.org/officeDocument/2006/relationships/hyperlink" Target="https://mgg.stores-apple.com/catalog/smartfon-apple-iphone-17-512-gb-zelenyi/" TargetMode="External"/><Relationship Id="rId355" Type="http://schemas.openxmlformats.org/officeDocument/2006/relationships/hyperlink" Target="https://mgg.stores-apple.com/catalog/smartfon-samsung-galaxy-s25-128-gb-rozovyy/" TargetMode="External"/><Relationship Id="rId597" Type="http://schemas.openxmlformats.org/officeDocument/2006/relationships/hyperlink" Target="https://mgg.stores-apple.com/catalog/smartfon_google_pixel_11_pro_16_512_gb_tumannyy/" TargetMode="External"/><Relationship Id="rId1188" Type="http://schemas.openxmlformats.org/officeDocument/2006/relationships/hyperlink" Target="https://mgg.stores-apple.com/catalog/noutbuk-apple-macbook-pro-14-m4-2024-10-core-gpu-24-gb-1024-gb-chernyj-kosmos-mcx04/" TargetMode="External"/><Relationship Id="rId112" Type="http://schemas.openxmlformats.org/officeDocument/2006/relationships/hyperlink" Target="https://mgg.stores-apple.com/catalog/smartfon-apple-iphone-17-512-gb-goluboj/" TargetMode="External"/><Relationship Id="rId354" Type="http://schemas.openxmlformats.org/officeDocument/2006/relationships/hyperlink" Target="https://mgg.stores-apple.com/catalog/smartfon-samsung-galaxy-s25-128-gb-goluboy/" TargetMode="External"/><Relationship Id="rId596" Type="http://schemas.openxmlformats.org/officeDocument/2006/relationships/hyperlink" Target="https://mgg.stores-apple.com/catalog/smartfon_google_pixel_11_pro_16_512_gb_matovyy_chyernyy/" TargetMode="External"/><Relationship Id="rId1189" Type="http://schemas.openxmlformats.org/officeDocument/2006/relationships/hyperlink" Target="https://mgg.stores-apple.com/catalog/noutbuk-apple-macbook-pro-14-m4-pro-2024-16-core-gpu-24-gb-512-gb-chernyj-kosmos-mx2h3/" TargetMode="External"/><Relationship Id="rId111" Type="http://schemas.openxmlformats.org/officeDocument/2006/relationships/hyperlink" Target="https://mgg.stores-apple.com/catalog/smartfon-apple-iphone-17-512-gb-belyi/" TargetMode="External"/><Relationship Id="rId353" Type="http://schemas.openxmlformats.org/officeDocument/2006/relationships/hyperlink" Target="https://mgg.stores-apple.com/catalog/smartfon-samsung-galaxy-s24-12256-gb-chernyy/" TargetMode="External"/><Relationship Id="rId595" Type="http://schemas.openxmlformats.org/officeDocument/2006/relationships/hyperlink" Target="https://mgg.stores-apple.com/catalog/smartfon_google_pixel_11_pro_12_256_gb_olivkovyy/" TargetMode="External"/><Relationship Id="rId1136" Type="http://schemas.openxmlformats.org/officeDocument/2006/relationships/hyperlink" Target="https://mgg.stores-apple.com/catalog/smart-chasy-apple-watch-ultra-3-49-mm-black-titanium-milanese-loop-black-l-5g/" TargetMode="External"/><Relationship Id="rId1378" Type="http://schemas.openxmlformats.org/officeDocument/2006/relationships/hyperlink" Target="https://mgg.stores-apple.com/catalog/naushniki_apple_earpods_s_razemom_usb_c_belye/" TargetMode="External"/><Relationship Id="rId1137" Type="http://schemas.openxmlformats.org/officeDocument/2006/relationships/hyperlink" Target="https://mgg.stores-apple.com/catalog/smart-chasy-apple-watch-ultra-3-49-mm-black-titanium-milanese-loop-black-m-5g/" TargetMode="External"/><Relationship Id="rId1379" Type="http://schemas.openxmlformats.org/officeDocument/2006/relationships/hyperlink" Target="https://mgg.stores-apple.com/catalog/besprovodnye-naushniki-marshall-major-5-korichnevyj/" TargetMode="External"/><Relationship Id="rId1138" Type="http://schemas.openxmlformats.org/officeDocument/2006/relationships/hyperlink" Target="https://mgg.stores-apple.com/catalog/smart-chasy-apple-watch-ultra-3-49-mm-natural-titanium-milanese-natural-loop-m-5g/" TargetMode="External"/><Relationship Id="rId1139" Type="http://schemas.openxmlformats.org/officeDocument/2006/relationships/hyperlink" Target="https://mgg.stores-apple.com/catalog/smart-chasy-apple-watch-ultra-3-49-mm-natural-titanium-milanese-natural-loop-l-5g/" TargetMode="External"/><Relationship Id="rId305" Type="http://schemas.openxmlformats.org/officeDocument/2006/relationships/hyperlink" Target="https://mgg.stores-apple.com/catalog/smartfon_samsung_galaxy_a37_8_256_gb_sero_zelenyy/" TargetMode="External"/><Relationship Id="rId547" Type="http://schemas.openxmlformats.org/officeDocument/2006/relationships/hyperlink" Target="https://mgg.stores-apple.com/catalog/smartfon-google-pixel-10-pro-xl-16-512-gb-zelenyi/" TargetMode="External"/><Relationship Id="rId789" Type="http://schemas.openxmlformats.org/officeDocument/2006/relationships/hyperlink" Target="https://mgg.stores-apple.com/catalog/planshet-apple-ipad-pro-2024-m4-11-wi-fi-cellular-512-gb-serebristyj/" TargetMode="External"/><Relationship Id="rId304" Type="http://schemas.openxmlformats.org/officeDocument/2006/relationships/hyperlink" Target="https://mgg.stores-apple.com/catalog/smartfon-samsung-galaxy-a56-8-128-gb-zelenyy/" TargetMode="External"/><Relationship Id="rId546" Type="http://schemas.openxmlformats.org/officeDocument/2006/relationships/hyperlink" Target="https://mgg.stores-apple.com/catalog/smartfon-google-pixel-10-pro-xl-16-512-gb-fioletovyi/" TargetMode="External"/><Relationship Id="rId788" Type="http://schemas.openxmlformats.org/officeDocument/2006/relationships/hyperlink" Target="https://mgg.stores-apple.com/catalog/planshet-apple-ipad-pro-2024-m4-11-wi-fi-cellular-512-gb-chernyj-kosmos/" TargetMode="External"/><Relationship Id="rId303" Type="http://schemas.openxmlformats.org/officeDocument/2006/relationships/hyperlink" Target="https://mgg.stores-apple.com/catalog/smartfon-samsung-galaxy-a56-8-128-gb-chernyy/" TargetMode="External"/><Relationship Id="rId545" Type="http://schemas.openxmlformats.org/officeDocument/2006/relationships/hyperlink" Target="https://mgg.stores-apple.com/catalog/smartfon-google-pixel-10-pro-xl-16-512-gb-rozovyi/" TargetMode="External"/><Relationship Id="rId787" Type="http://schemas.openxmlformats.org/officeDocument/2006/relationships/hyperlink" Target="https://mgg.stores-apple.com/catalog/planshet-apple-ipad-pro-2024-m4-13-wi-fi-cellular-512-gb-chernyj-kosmos/" TargetMode="External"/><Relationship Id="rId302" Type="http://schemas.openxmlformats.org/officeDocument/2006/relationships/hyperlink" Target="https://mgg.stores-apple.com/catalog/smartfon-samsung-galaxy-a36-12-256-gb-chernyy/" TargetMode="External"/><Relationship Id="rId544" Type="http://schemas.openxmlformats.org/officeDocument/2006/relationships/hyperlink" Target="https://mgg.stores-apple.com/catalog/smartfon-google-pixel-10-pro-xl-16-256-gb-fioletovyi/" TargetMode="External"/><Relationship Id="rId786" Type="http://schemas.openxmlformats.org/officeDocument/2006/relationships/hyperlink" Target="https://mgg.stores-apple.com/catalog/planshet-apple-ipad-pro-2024-m4-13-wi-fi-cellular-512-gb-serebristyj/" TargetMode="External"/><Relationship Id="rId309" Type="http://schemas.openxmlformats.org/officeDocument/2006/relationships/hyperlink" Target="https://mgg.stores-apple.com/catalog/smartfon_samsung_galaxy_a37_8_256_gb_chernyy/" TargetMode="External"/><Relationship Id="rId308" Type="http://schemas.openxmlformats.org/officeDocument/2006/relationships/hyperlink" Target="https://mgg.stores-apple.com/catalog/smartfon-samsung-galaxy-a56-8-128-gb-lavandovyy/" TargetMode="External"/><Relationship Id="rId307" Type="http://schemas.openxmlformats.org/officeDocument/2006/relationships/hyperlink" Target="https://mgg.stores-apple.com/catalog/smartfon_samsung_galaxy_a37_8_256_gb_belyy/" TargetMode="External"/><Relationship Id="rId549" Type="http://schemas.openxmlformats.org/officeDocument/2006/relationships/hyperlink" Target="https://mgg.stores-apple.com/catalog/smartfon-google-pixel-10-pro-xl-16-1024-gb-rozovyi/" TargetMode="External"/><Relationship Id="rId306" Type="http://schemas.openxmlformats.org/officeDocument/2006/relationships/hyperlink" Target="https://mgg.stores-apple.com/catalog/smartfon-samsung-galaxy-a56-8-128-gb-belyy/" TargetMode="External"/><Relationship Id="rId548" Type="http://schemas.openxmlformats.org/officeDocument/2006/relationships/hyperlink" Target="https://mgg.stores-apple.com/catalog/smartfon-google-pixel-10-pro-xl-16-512-gb-chernyi/" TargetMode="External"/><Relationship Id="rId781" Type="http://schemas.openxmlformats.org/officeDocument/2006/relationships/hyperlink" Target="https://mgg.stores-apple.com/catalog/planshet-apple-ipad-pro-2025-m5-11-wi-fi-cellular-512-gb-seryj-kosmos-nano/" TargetMode="External"/><Relationship Id="rId1370" Type="http://schemas.openxmlformats.org/officeDocument/2006/relationships/hyperlink" Target="https://mgg.stores-apple.com/catalog/stayler-dyson-airwrap-id-long-hs08-straight-wavy-strawberry-bronze-blush-pink/" TargetMode="External"/><Relationship Id="rId780" Type="http://schemas.openxmlformats.org/officeDocument/2006/relationships/hyperlink" Target="https://mgg.stores-apple.com/catalog/planshet-apple-ipad-pro-2025-m5-11-wi-fi-cellular-512-gb-serebristyj/" TargetMode="External"/><Relationship Id="rId1371" Type="http://schemas.openxmlformats.org/officeDocument/2006/relationships/hyperlink" Target="https://mgg.stores-apple.com/catalog/besprovodnye-naushniki-marshall-major-5-chernyi/" TargetMode="External"/><Relationship Id="rId1130" Type="http://schemas.openxmlformats.org/officeDocument/2006/relationships/hyperlink" Target="https://mgg.stores-apple.com/catalog/smart-chasy-apple-watch-ultra-3-49-mm-natural-titanium-light-blue-alpine-loop-l-5g/" TargetMode="External"/><Relationship Id="rId1372" Type="http://schemas.openxmlformats.org/officeDocument/2006/relationships/hyperlink" Target="https://mgg.stores-apple.com/catalog/naushniki-apple-airpods-4/" TargetMode="External"/><Relationship Id="rId1131" Type="http://schemas.openxmlformats.org/officeDocument/2006/relationships/hyperlink" Target="https://mgg.stores-apple.com/catalog/smart-chasy-apple-watch-ultra-3-49-mm-black-titanium-black-alpine-loop-m-5g/" TargetMode="External"/><Relationship Id="rId1373" Type="http://schemas.openxmlformats.org/officeDocument/2006/relationships/hyperlink" Target="https://mgg.stores-apple.com/catalog/besprovodnye_naushniki_samsung_galaxy_buds_4_pro_chernye/" TargetMode="External"/><Relationship Id="rId301" Type="http://schemas.openxmlformats.org/officeDocument/2006/relationships/hyperlink" Target="https://mgg.stores-apple.com/catalog/smartfon-samsung-galaxy-a36-12-256-gb-lavandovyy/" TargetMode="External"/><Relationship Id="rId543" Type="http://schemas.openxmlformats.org/officeDocument/2006/relationships/hyperlink" Target="https://mgg.stores-apple.com/catalog/smartfon-google-pixel-10-pro-xl-16-256-gb-zelenyi/" TargetMode="External"/><Relationship Id="rId785" Type="http://schemas.openxmlformats.org/officeDocument/2006/relationships/hyperlink" Target="https://mgg.stores-apple.com/catalog/planshet-apple-ipad-pro-2025-m5-13-wi-fi-512-gb-serebristyj/" TargetMode="External"/><Relationship Id="rId1132" Type="http://schemas.openxmlformats.org/officeDocument/2006/relationships/hyperlink" Target="https://mgg.stores-apple.com/catalog/smart_chasy_apple_watch_ultra_2_satin_black_cellular_49_mm_ocean_band_temno_siniy/" TargetMode="External"/><Relationship Id="rId1374" Type="http://schemas.openxmlformats.org/officeDocument/2006/relationships/hyperlink" Target="https://mgg.stores-apple.com/catalog/naushniki-apple-airpods-4-belye-s-shumopodavleniem/" TargetMode="External"/><Relationship Id="rId300" Type="http://schemas.openxmlformats.org/officeDocument/2006/relationships/hyperlink" Target="https://mgg.stores-apple.com/catalog/smartfon-samsung-galaxy-a36-12-256-gb-belyy/" TargetMode="External"/><Relationship Id="rId542" Type="http://schemas.openxmlformats.org/officeDocument/2006/relationships/hyperlink" Target="https://mgg.stores-apple.com/catalog/smartfon-google-pixel-10-pro-xl-16-256-gb-chernyi/" TargetMode="External"/><Relationship Id="rId784" Type="http://schemas.openxmlformats.org/officeDocument/2006/relationships/hyperlink" Target="https://mgg.stores-apple.com/catalog/planshet-apple-ipad-pro-2025-m5-13-wi-fi-512-gb-seryj-kosmos/" TargetMode="External"/><Relationship Id="rId1133" Type="http://schemas.openxmlformats.org/officeDocument/2006/relationships/hyperlink" Target="https://mgg.stores-apple.com/catalog/smart_chasy_apple_watch_ultra_2_satin_black_cellular_49_mm_trail_loop_chernyy_razmer_l/" TargetMode="External"/><Relationship Id="rId1375" Type="http://schemas.openxmlformats.org/officeDocument/2006/relationships/hyperlink" Target="https://mgg.stores-apple.com/catalog/naushniki-apple-airpods-pro-2-type-c/" TargetMode="External"/><Relationship Id="rId541" Type="http://schemas.openxmlformats.org/officeDocument/2006/relationships/hyperlink" Target="https://mgg.stores-apple.com/catalog/smartfon-google-pixel-10-pro-xl-16-256-gb-rozovyi/" TargetMode="External"/><Relationship Id="rId783" Type="http://schemas.openxmlformats.org/officeDocument/2006/relationships/hyperlink" Target="https://mgg.stores-apple.com/catalog/planshet-apple-ipad-pro-2025-m5-13-wi-fi-cellular-256-gb-serebristyj/" TargetMode="External"/><Relationship Id="rId1134" Type="http://schemas.openxmlformats.org/officeDocument/2006/relationships/hyperlink" Target="https://mgg.stores-apple.com/catalog/smart_chasy_apple_watch_ultra_2_satin_black_cellular_49_mm_trail_loop_chernyy_razmer_s_m/" TargetMode="External"/><Relationship Id="rId1376" Type="http://schemas.openxmlformats.org/officeDocument/2006/relationships/hyperlink" Target="https://mgg.stores-apple.com/catalog/naushniki-apple-airpods-pro-3/" TargetMode="External"/><Relationship Id="rId540" Type="http://schemas.openxmlformats.org/officeDocument/2006/relationships/hyperlink" Target="https://mgg.stores-apple.com/catalog/smartfon-google-pixel-10-pro-fold-16-1024-gb-zelenyi/" TargetMode="External"/><Relationship Id="rId782" Type="http://schemas.openxmlformats.org/officeDocument/2006/relationships/hyperlink" Target="https://mgg.stores-apple.com/catalog/planshet-apple-ipad-pro-2025-m5-13-wi-fi-cellular-256-gb-seryj-kosmos/" TargetMode="External"/><Relationship Id="rId1135" Type="http://schemas.openxmlformats.org/officeDocument/2006/relationships/hyperlink" Target="https://mgg.stores-apple.com/catalog/smart-chasy-apple-watch-ultra-3-49-mm-black-titanium-milanese-loop-black-s-5g/" TargetMode="External"/><Relationship Id="rId1377" Type="http://schemas.openxmlformats.org/officeDocument/2006/relationships/hyperlink" Target="https://mgg.stores-apple.com/catalog/besprovodnye-naushniki-apple-airpods-max-polnoch/" TargetMode="External"/><Relationship Id="rId1125" Type="http://schemas.openxmlformats.org/officeDocument/2006/relationships/hyperlink" Target="https://mgg.stores-apple.com/catalog/smart-chasy-apple-watch-ultra-3-49-mm-black-titanium-black-alpine-loop-l-5g/" TargetMode="External"/><Relationship Id="rId1367" Type="http://schemas.openxmlformats.org/officeDocument/2006/relationships/hyperlink" Target="https://mgg.stores-apple.com/catalog/stayler_dyson_airwrap_coanda2x_hs09_multi_styler_dryer_jasper_plum_vilka_eu/" TargetMode="External"/><Relationship Id="rId1126" Type="http://schemas.openxmlformats.org/officeDocument/2006/relationships/hyperlink" Target="https://mgg.stores-apple.com/catalog/smart-chasy-apple-watch-ultra-3-49-mm-black-titanium-black-alpine-loop-s-5g/" TargetMode="External"/><Relationship Id="rId1368" Type="http://schemas.openxmlformats.org/officeDocument/2006/relationships/hyperlink" Target="https://mgg.stores-apple.com/catalog/stayler_dyson_airwrap_coanda2x_hs09_multi_styler_dryer_ceramic_pink_rose_gold_vilka_eu/" TargetMode="External"/><Relationship Id="rId1127" Type="http://schemas.openxmlformats.org/officeDocument/2006/relationships/hyperlink" Target="https://mgg.stores-apple.com/catalog/smart-chasy-apple-watch-ultra-3-49-mm-natural-titanium-light-blue-alpine-loop-m-5g/" TargetMode="External"/><Relationship Id="rId1369" Type="http://schemas.openxmlformats.org/officeDocument/2006/relationships/hyperlink" Target="https://mgg.stores-apple.com/catalog/stayler_dyson_airwrap_coanda2x_hs09_multi_styler_dryer_amber_silk_vilka_eu/" TargetMode="External"/><Relationship Id="rId1128" Type="http://schemas.openxmlformats.org/officeDocument/2006/relationships/hyperlink" Target="https://mgg.stores-apple.com/catalog/smart-chasy-apple-watch-ultra-3-49-mm-natural-titanium-bright-blue-trail-s-m-5g/" TargetMode="External"/><Relationship Id="rId1129" Type="http://schemas.openxmlformats.org/officeDocument/2006/relationships/hyperlink" Target="https://mgg.stores-apple.com/catalog/smart-chasy-apple-watch-ultra-3-49-mm-natural-titanium-light-blue-alpine-loop-s-5g/" TargetMode="External"/><Relationship Id="rId536" Type="http://schemas.openxmlformats.org/officeDocument/2006/relationships/hyperlink" Target="https://mgg.stores-apple.com/catalog/smartfon-google-pixel-10-pro-fold-16-256-gb-zelenyi/" TargetMode="External"/><Relationship Id="rId778" Type="http://schemas.openxmlformats.org/officeDocument/2006/relationships/hyperlink" Target="https://mgg.stores-apple.com/catalog/planshet-apple-ipad-pro-2024-m4-13-wi-fi-512-gb-serebristyj/" TargetMode="External"/><Relationship Id="rId535" Type="http://schemas.openxmlformats.org/officeDocument/2006/relationships/hyperlink" Target="https://mgg.stores-apple.com/catalog/smartfon-google-pixel-10-pro-fold-16-256-gb-fioletovyi/" TargetMode="External"/><Relationship Id="rId777" Type="http://schemas.openxmlformats.org/officeDocument/2006/relationships/hyperlink" Target="https://mgg.stores-apple.com/catalog/planshet-apple-ipad-pro-2025-m5-11-wi-fi-cellular-256-gb-serebristyj/" TargetMode="External"/><Relationship Id="rId534" Type="http://schemas.openxmlformats.org/officeDocument/2006/relationships/hyperlink" Target="https://mgg.stores-apple.com/catalog/smartfon-google-pixel-10-pro-16-1024-gb-rozovyi/" TargetMode="External"/><Relationship Id="rId776" Type="http://schemas.openxmlformats.org/officeDocument/2006/relationships/hyperlink" Target="https://mgg.stores-apple.com/catalog/planshet-apple-ipad-pro-2024-m4-13-wi-fi-512-gb-chernyj-kosmos/" TargetMode="External"/><Relationship Id="rId533" Type="http://schemas.openxmlformats.org/officeDocument/2006/relationships/hyperlink" Target="https://mgg.stores-apple.com/catalog/smartfon-google-pixel-10-pro-16-1024-gb-fioletovyi/" TargetMode="External"/><Relationship Id="rId775" Type="http://schemas.openxmlformats.org/officeDocument/2006/relationships/hyperlink" Target="https://mgg.stores-apple.com/catalog/planshet-apple-ipad-pro-2025-m5-13-wi-fi-256-gb-seryj-kosmos/" TargetMode="External"/><Relationship Id="rId539" Type="http://schemas.openxmlformats.org/officeDocument/2006/relationships/hyperlink" Target="https://mgg.stores-apple.com/catalog/smartfon-google-pixel-10-pro-fold-16-1024-gb-fioletovyi/" TargetMode="External"/><Relationship Id="rId538" Type="http://schemas.openxmlformats.org/officeDocument/2006/relationships/hyperlink" Target="https://mgg.stores-apple.com/catalog/smartfon-google-pixel-10-pro-fold-16-512-gb-fioletovyi/" TargetMode="External"/><Relationship Id="rId537" Type="http://schemas.openxmlformats.org/officeDocument/2006/relationships/hyperlink" Target="https://mgg.stores-apple.com/catalog/smartfon-google-pixel-10-pro-fold-16-512-gb-zelenyi/" TargetMode="External"/><Relationship Id="rId779" Type="http://schemas.openxmlformats.org/officeDocument/2006/relationships/hyperlink" Target="https://mgg.stores-apple.com/catalog/planshet-apple-ipad-pro-2025-m5-11-wi-fi-512-gb-serebristyj/" TargetMode="External"/><Relationship Id="rId770" Type="http://schemas.openxmlformats.org/officeDocument/2006/relationships/hyperlink" Target="https://mgg.stores-apple.com/catalog/planshet-apple-ipad-pro-2025-m5-11-wi-fi-cellular-256-gb-seryj-kosmos/" TargetMode="External"/><Relationship Id="rId1360" Type="http://schemas.openxmlformats.org/officeDocument/2006/relationships/hyperlink" Target="https://mgg.stores-apple.com/catalog/vypryamitel-dyson-airstrait-ht01-red-velvet-gold/" TargetMode="External"/><Relationship Id="rId1361" Type="http://schemas.openxmlformats.org/officeDocument/2006/relationships/hyperlink" Target="https://mgg.stores-apple.com/catalog/stayler-dyson-airwrap-id-long-hs08-straight-wavy-jasper-plum/" TargetMode="External"/><Relationship Id="rId1120" Type="http://schemas.openxmlformats.org/officeDocument/2006/relationships/hyperlink" Target="https://mgg.stores-apple.com/catalog/apple-watch-ultra-2-satin-black-alpine-loop-olive-s/" TargetMode="External"/><Relationship Id="rId1362" Type="http://schemas.openxmlformats.org/officeDocument/2006/relationships/hyperlink" Target="https://mgg.stores-apple.com/catalog/vypryamitel_dyson_airstrait_ht01_prussian_blue_cooper/" TargetMode="External"/><Relationship Id="rId532" Type="http://schemas.openxmlformats.org/officeDocument/2006/relationships/hyperlink" Target="https://mgg.stores-apple.com/catalog/smartfon-google-pixel-10-pro-16-1024-gb-chernyi/" TargetMode="External"/><Relationship Id="rId774" Type="http://schemas.openxmlformats.org/officeDocument/2006/relationships/hyperlink" Target="https://mgg.stores-apple.com/catalog/planshet-apple-ipad-pro-2025-m5-11-wi-fi-512-gb-seryj-kosmos/" TargetMode="External"/><Relationship Id="rId1121" Type="http://schemas.openxmlformats.org/officeDocument/2006/relationships/hyperlink" Target="https://mgg.stores-apple.com/catalog/apple-watch-ultra-2-satin-black-alpine-loop-olive-l/" TargetMode="External"/><Relationship Id="rId1363" Type="http://schemas.openxmlformats.org/officeDocument/2006/relationships/hyperlink" Target="https://mgg.stores-apple.com/catalog/vypryamitel-dyson-airstrait-ht01-onyx-gold/" TargetMode="External"/><Relationship Id="rId531" Type="http://schemas.openxmlformats.org/officeDocument/2006/relationships/hyperlink" Target="https://mgg.stores-apple.com/catalog/smartfon-google-pixel-10-pro-16-1024-gb-zelenyi/" TargetMode="External"/><Relationship Id="rId773" Type="http://schemas.openxmlformats.org/officeDocument/2006/relationships/hyperlink" Target="https://mgg.stores-apple.com/catalog/planshet-apple-ipad-pro-2025-m5-13-wi-fi-256-gb-serebristyj/" TargetMode="External"/><Relationship Id="rId1122" Type="http://schemas.openxmlformats.org/officeDocument/2006/relationships/hyperlink" Target="https://mgg.stores-apple.com/catalog/apple-watch-ultra-2-ocean-band-orange/" TargetMode="External"/><Relationship Id="rId1364" Type="http://schemas.openxmlformats.org/officeDocument/2006/relationships/hyperlink" Target="https://mgg.stores-apple.com/catalog/stayler_dyson_airwrap_coanda2x_hs09_apricot_topaz/" TargetMode="External"/><Relationship Id="rId530" Type="http://schemas.openxmlformats.org/officeDocument/2006/relationships/hyperlink" Target="https://mgg.stores-apple.com/catalog/smartfon-google-pixel-10-pro-16-512-gb-chernyi/" TargetMode="External"/><Relationship Id="rId772" Type="http://schemas.openxmlformats.org/officeDocument/2006/relationships/hyperlink" Target="https://mgg.stores-apple.com/catalog/planshet-apple-ipad-pro-2024-m4-13-wi-fi-cellular-256-gb-chernyj-kosmos/" TargetMode="External"/><Relationship Id="rId1123" Type="http://schemas.openxmlformats.org/officeDocument/2006/relationships/hyperlink" Target="https://mgg.stores-apple.com/catalog/apple-watch-ultra-2-trail-loop-orange-beige-ml/" TargetMode="External"/><Relationship Id="rId1365" Type="http://schemas.openxmlformats.org/officeDocument/2006/relationships/hyperlink" Target="https://mgg.stores-apple.com/catalog/stayler_dyson_airwrap_coanda2x_hs09_multi_styler_dryer_amber_silk/" TargetMode="External"/><Relationship Id="rId771" Type="http://schemas.openxmlformats.org/officeDocument/2006/relationships/hyperlink" Target="https://mgg.stores-apple.com/catalog/planshet-apple-ipad-pro-2024-m4-13-wi-fi-cellular-256-gb-serebristyj/" TargetMode="External"/><Relationship Id="rId1124" Type="http://schemas.openxmlformats.org/officeDocument/2006/relationships/hyperlink" Target="https://mgg.stores-apple.com/catalog/smart-chasy-apple-watch-ultra-3-49-mm-seryi-sinii-5g/" TargetMode="External"/><Relationship Id="rId1366" Type="http://schemas.openxmlformats.org/officeDocument/2006/relationships/hyperlink" Target="https://mgg.stores-apple.com/catalog/stayler_dyson_airwrap_coanda2x_hs09_multi_styler_dryer_ceramic_pink_rose_gold/" TargetMode="External"/><Relationship Id="rId1158" Type="http://schemas.openxmlformats.org/officeDocument/2006/relationships/hyperlink" Target="https://mgg.stores-apple.com/catalog/smart-chasy-samsung-galaxy-watch-ultra-47mm-lte-seryy/" TargetMode="External"/><Relationship Id="rId1159" Type="http://schemas.openxmlformats.org/officeDocument/2006/relationships/hyperlink" Target="https://mgg.stores-apple.com/catalog/fitnes-braslet-whoop-one-5-0/" TargetMode="External"/><Relationship Id="rId327" Type="http://schemas.openxmlformats.org/officeDocument/2006/relationships/hyperlink" Target="https://mgg.stores-apple.com/catalog/smartfon-samsung-galaxy-s25-fe-8-128-sinii/" TargetMode="External"/><Relationship Id="rId569" Type="http://schemas.openxmlformats.org/officeDocument/2006/relationships/hyperlink" Target="https://mgg.stores-apple.com/catalog/smartfon-google-pixel-9-pro-16-128-gb-chernyi/" TargetMode="External"/><Relationship Id="rId326" Type="http://schemas.openxmlformats.org/officeDocument/2006/relationships/hyperlink" Target="https://mgg.stores-apple.com/catalog/smartfon_samsung_galaxy_a37_12_256_gb_chernyy/" TargetMode="External"/><Relationship Id="rId568" Type="http://schemas.openxmlformats.org/officeDocument/2006/relationships/hyperlink" Target="https://mgg.stores-apple.com/catalog/smartfon_google_pixel_10a_8_256_gb_chernyy/" TargetMode="External"/><Relationship Id="rId325" Type="http://schemas.openxmlformats.org/officeDocument/2006/relationships/hyperlink" Target="https://mgg.stores-apple.com/catalog/smartfon_samsung_galaxy_a37_12_256_gb_belyy/" TargetMode="External"/><Relationship Id="rId567" Type="http://schemas.openxmlformats.org/officeDocument/2006/relationships/hyperlink" Target="https://mgg.stores-apple.com/catalog/smartfon_google_pixel_10a_8_256_gb_seryy/" TargetMode="External"/><Relationship Id="rId324" Type="http://schemas.openxmlformats.org/officeDocument/2006/relationships/hyperlink" Target="https://mgg.stores-apple.com/catalog/smartfon_samsung_galaxy_a37_12_256_gb_lavandovyy/" TargetMode="External"/><Relationship Id="rId566" Type="http://schemas.openxmlformats.org/officeDocument/2006/relationships/hyperlink" Target="https://mgg.stores-apple.com/catalog/smartfon_google_pixel_10a_8_256_gb_rozovyy/" TargetMode="External"/><Relationship Id="rId329" Type="http://schemas.openxmlformats.org/officeDocument/2006/relationships/hyperlink" Target="https://mgg.stores-apple.com/catalog/smartfon-samsung-galaxy-s25-fe-8-256-chernyi/" TargetMode="External"/><Relationship Id="rId1390" Type="http://schemas.openxmlformats.org/officeDocument/2006/relationships/hyperlink" Target="https://mgg.stores-apple.com/catalog/portativnaya-kolonka-jbl-charge-5-krasnaya/" TargetMode="External"/><Relationship Id="rId328" Type="http://schemas.openxmlformats.org/officeDocument/2006/relationships/hyperlink" Target="https://mgg.stores-apple.com/catalog/smartfon-samsung-galaxy-s25-fe-8-256-sinii/" TargetMode="External"/><Relationship Id="rId1391" Type="http://schemas.openxmlformats.org/officeDocument/2006/relationships/hyperlink" Target="https://mgg.stores-apple.com/catalog/portativnaya-kolonka-jbl-charge-5-zelenaya/" TargetMode="External"/><Relationship Id="rId561" Type="http://schemas.openxmlformats.org/officeDocument/2006/relationships/hyperlink" Target="https://mgg.stores-apple.com/catalog/smartfon_google_pixel_10a_8_128_gb_chernyy/" TargetMode="External"/><Relationship Id="rId1150" Type="http://schemas.openxmlformats.org/officeDocument/2006/relationships/hyperlink" Target="https://mgg.stores-apple.com/catalog/smart-chasy-samsung-galaxy-watch-8-lte-44-mm-grafit/" TargetMode="External"/><Relationship Id="rId1392" Type="http://schemas.openxmlformats.org/officeDocument/2006/relationships/hyperlink" Target="https://mgg.stores-apple.com/catalog/portativnaya-kolonka-jbl-charge-5-biryuzovaya/" TargetMode="External"/><Relationship Id="rId560" Type="http://schemas.openxmlformats.org/officeDocument/2006/relationships/hyperlink" Target="https://mgg.stores-apple.com/catalog/smartfon-google-pixel-9-12-256-gb-bezhevyi/" TargetMode="External"/><Relationship Id="rId1151" Type="http://schemas.openxmlformats.org/officeDocument/2006/relationships/hyperlink" Target="https://mgg.stores-apple.com/catalog/smart-chasy-samsung-galaxy-watch-8-lte-44-mm-serebryannyi/" TargetMode="External"/><Relationship Id="rId1393" Type="http://schemas.openxmlformats.org/officeDocument/2006/relationships/hyperlink" Target="https://mgg.stores-apple.com/catalog/portativnaya-kolonka-jbl-charge-5-rozovaya/" TargetMode="External"/><Relationship Id="rId1152" Type="http://schemas.openxmlformats.org/officeDocument/2006/relationships/hyperlink" Target="https://mgg.stores-apple.com/catalog/smart-chasy-samsung-galaxy-watch-8-classic-lte-46-mm-chernyi/" TargetMode="External"/><Relationship Id="rId1394" Type="http://schemas.openxmlformats.org/officeDocument/2006/relationships/hyperlink" Target="https://mgg.stores-apple.com/catalog/portativnaya-kolonka-jbl-charge-5-seraya/" TargetMode="External"/><Relationship Id="rId1153" Type="http://schemas.openxmlformats.org/officeDocument/2006/relationships/hyperlink" Target="https://mgg.stores-apple.com/catalog/smart-chasy-samsung-galaxy-watch-ultra-47mm-lte-chernyi/" TargetMode="External"/><Relationship Id="rId1395" Type="http://schemas.openxmlformats.org/officeDocument/2006/relationships/hyperlink" Target="https://mgg.stores-apple.com/catalog/portativnaya-kolonka-jbl-charge-5-sinyaya/" TargetMode="External"/><Relationship Id="rId323" Type="http://schemas.openxmlformats.org/officeDocument/2006/relationships/hyperlink" Target="https://mgg.stores-apple.com/catalog/smartfon_samsung_galaxy_a57_12_512_gb_sirenevyy/" TargetMode="External"/><Relationship Id="rId565" Type="http://schemas.openxmlformats.org/officeDocument/2006/relationships/hyperlink" Target="https://mgg.stores-apple.com/catalog/smartfon_google_pixel_10a_8_256_gb_lavandovyy/" TargetMode="External"/><Relationship Id="rId1154" Type="http://schemas.openxmlformats.org/officeDocument/2006/relationships/hyperlink" Target="https://mgg.stores-apple.com/catalog/smart_chasy_samsung_galaxy_watch_ultra_2025_47_mm_lte_titanium_blue_siniy_titan/" TargetMode="External"/><Relationship Id="rId1396" Type="http://schemas.openxmlformats.org/officeDocument/2006/relationships/hyperlink" Target="https://mgg.stores-apple.com/catalog/portativnaya-kolonka-jbl-charge-5-belaya/" TargetMode="External"/><Relationship Id="rId322" Type="http://schemas.openxmlformats.org/officeDocument/2006/relationships/hyperlink" Target="https://mgg.stores-apple.com/catalog/smartfon_samsung_galaxy_a57_12_512_gb_seryy/" TargetMode="External"/><Relationship Id="rId564" Type="http://schemas.openxmlformats.org/officeDocument/2006/relationships/hyperlink" Target="https://mgg.stores-apple.com/catalog/smartfon_google_pixel_10a_8_128_gb_rozovyy/" TargetMode="External"/><Relationship Id="rId1155" Type="http://schemas.openxmlformats.org/officeDocument/2006/relationships/hyperlink" Target="https://mgg.stores-apple.com/catalog/smart-chasy-samsung-galaxy-watch-ultra-47mm-lte-belyy/" TargetMode="External"/><Relationship Id="rId1397" Type="http://schemas.openxmlformats.org/officeDocument/2006/relationships/hyperlink" Target="https://mgg.stores-apple.com/catalog/portativnaya-kolonka-jbl-charge-5-haki/" TargetMode="External"/><Relationship Id="rId321" Type="http://schemas.openxmlformats.org/officeDocument/2006/relationships/hyperlink" Target="https://mgg.stores-apple.com/catalog/smartfon_samsung_galaxy_a57_12_256_gb_sirenevyy/" TargetMode="External"/><Relationship Id="rId563" Type="http://schemas.openxmlformats.org/officeDocument/2006/relationships/hyperlink" Target="https://mgg.stores-apple.com/catalog/smartfon_google_pixel_10a_8_128_gb_seryy/" TargetMode="External"/><Relationship Id="rId1156" Type="http://schemas.openxmlformats.org/officeDocument/2006/relationships/hyperlink" Target="https://mgg.stores-apple.com/catalog/smart-chasy-samsung-galaxy-watch-ultra-47mm-lte-sinii/" TargetMode="External"/><Relationship Id="rId1398" Type="http://schemas.openxmlformats.org/officeDocument/2006/relationships/hyperlink" Target="https://mgg.stores-apple.com/catalog/portativnaya-kolonka-jbl-charge-5-chernaya/" TargetMode="External"/><Relationship Id="rId320" Type="http://schemas.openxmlformats.org/officeDocument/2006/relationships/hyperlink" Target="https://mgg.stores-apple.com/catalog/smartfon-samsung-galaxy-a56-12-256-gb-lavandovyy/" TargetMode="External"/><Relationship Id="rId562" Type="http://schemas.openxmlformats.org/officeDocument/2006/relationships/hyperlink" Target="https://mgg.stores-apple.com/catalog/smartfon_google_pixel_10a_8_128_gb_lavandovyy/" TargetMode="External"/><Relationship Id="rId1157" Type="http://schemas.openxmlformats.org/officeDocument/2006/relationships/hyperlink" Target="https://mgg.stores-apple.com/catalog/smart-chasy-samsung-galaxy-watch-ultra-2025-lte-47mm-sinii/" TargetMode="External"/><Relationship Id="rId1399" Type="http://schemas.openxmlformats.org/officeDocument/2006/relationships/hyperlink" Target="https://mgg.stores-apple.com/catalog/besprovodnye-naushniki-samsung-galaxy-buds-3-pro-belyje/" TargetMode="External"/><Relationship Id="rId1147" Type="http://schemas.openxmlformats.org/officeDocument/2006/relationships/hyperlink" Target="https://mgg.stores-apple.com/catalog/smart-chasy-samsung-galaxy-watch-8-lte-40-mm-grafit/" TargetMode="External"/><Relationship Id="rId1389" Type="http://schemas.openxmlformats.org/officeDocument/2006/relationships/hyperlink" Target="https://mgg.stores-apple.com/catalog/kolonka-yandeks-stanciya-mini-ceryj-opal/" TargetMode="External"/><Relationship Id="rId1148" Type="http://schemas.openxmlformats.org/officeDocument/2006/relationships/hyperlink" Target="https://mgg.stores-apple.com/catalog/smart-chasy-samsung-galaxy-watch-8-lte-40-mm-serebryannyi/" TargetMode="External"/><Relationship Id="rId1149" Type="http://schemas.openxmlformats.org/officeDocument/2006/relationships/hyperlink" Target="https://mgg.stores-apple.com/catalog/smart-chasy-samsung-galaxy-watch-8-classic-lte-46-mm-belyi/" TargetMode="External"/><Relationship Id="rId316" Type="http://schemas.openxmlformats.org/officeDocument/2006/relationships/hyperlink" Target="https://mgg.stores-apple.com/catalog/smartfon-samsung-galaxy-a56-8-256-gb-chernyy/" TargetMode="External"/><Relationship Id="rId558" Type="http://schemas.openxmlformats.org/officeDocument/2006/relationships/hyperlink" Target="https://mgg.stores-apple.com/catalog/smartfon-google-pixel-9-12-256-gb-chernyi/" TargetMode="External"/><Relationship Id="rId315" Type="http://schemas.openxmlformats.org/officeDocument/2006/relationships/hyperlink" Target="https://mgg.stores-apple.com/catalog/smartfon-samsung-galaxy-a56-12-256-gb-chernyy/" TargetMode="External"/><Relationship Id="rId557" Type="http://schemas.openxmlformats.org/officeDocument/2006/relationships/hyperlink" Target="https://mgg.stores-apple.com/catalog/smartfon-google-pixel-9-12-256-gb-zelenyi/" TargetMode="External"/><Relationship Id="rId799" Type="http://schemas.openxmlformats.org/officeDocument/2006/relationships/hyperlink" Target="https://mgg.stores-apple.com/catalog/planshet-apple-ipad-pro-2024-m4-13-wi-fi-cellular-1024-gb-chernyj-kosmos/" TargetMode="External"/><Relationship Id="rId314" Type="http://schemas.openxmlformats.org/officeDocument/2006/relationships/hyperlink" Target="https://mgg.stores-apple.com/catalog/smartfon-samsung-galaxy-a56-8-256-gb-zelenyy/" TargetMode="External"/><Relationship Id="rId556" Type="http://schemas.openxmlformats.org/officeDocument/2006/relationships/hyperlink" Target="https://mgg.stores-apple.com/catalog/smartfon-google-pixel-9-12-128-gb-chernyi/" TargetMode="External"/><Relationship Id="rId798" Type="http://schemas.openxmlformats.org/officeDocument/2006/relationships/hyperlink" Target="https://mgg.stores-apple.com/catalog/planshet-apple-ipad-pro-2025-m5-11-wi-fi-cellular-1024-gb-seryj-kosmos/" TargetMode="External"/><Relationship Id="rId313" Type="http://schemas.openxmlformats.org/officeDocument/2006/relationships/hyperlink" Target="https://mgg.stores-apple.com/catalog/smartfon_samsung_galaxy_a57_8_128_gb_goluboy/" TargetMode="External"/><Relationship Id="rId555" Type="http://schemas.openxmlformats.org/officeDocument/2006/relationships/hyperlink" Target="https://mgg.stores-apple.com/catalog/smartfon-google-pixel-9-12-128-gb-rozovyi/" TargetMode="External"/><Relationship Id="rId797" Type="http://schemas.openxmlformats.org/officeDocument/2006/relationships/hyperlink" Target="https://mgg.stores-apple.com/catalog/planshet-apple-ipad-pro-2024-m4-11-wi-fi-cellular-1024-gb-chernyj-kosmos/" TargetMode="External"/><Relationship Id="rId319" Type="http://schemas.openxmlformats.org/officeDocument/2006/relationships/hyperlink" Target="https://mgg.stores-apple.com/catalog/smartfon-samsung-galaxy-a56-12-256-gb-belyy/" TargetMode="External"/><Relationship Id="rId318" Type="http://schemas.openxmlformats.org/officeDocument/2006/relationships/hyperlink" Target="https://mgg.stores-apple.com/catalog/smartfon_samsung_galaxy_a57_8_256_gb_sirenevyy/" TargetMode="External"/><Relationship Id="rId317" Type="http://schemas.openxmlformats.org/officeDocument/2006/relationships/hyperlink" Target="https://mgg.stores-apple.com/catalog/smartfon-samsung-galaxy-a56-8-256-gb-lavandovyy/" TargetMode="External"/><Relationship Id="rId559" Type="http://schemas.openxmlformats.org/officeDocument/2006/relationships/hyperlink" Target="https://mgg.stores-apple.com/catalog/smartfon-google-pixel-9-12-256-gb-rozovyi/" TargetMode="External"/><Relationship Id="rId1380" Type="http://schemas.openxmlformats.org/officeDocument/2006/relationships/hyperlink" Target="https://mgg.stores-apple.com/catalog/besprovodnye_naushniki_marshall_major_5_kremovyy/" TargetMode="External"/><Relationship Id="rId550" Type="http://schemas.openxmlformats.org/officeDocument/2006/relationships/hyperlink" Target="https://mgg.stores-apple.com/catalog/smartfon-google-pixel-10-pro-xl-16-1024-gb-fioletovyi/" TargetMode="External"/><Relationship Id="rId792" Type="http://schemas.openxmlformats.org/officeDocument/2006/relationships/hyperlink" Target="https://mgg.stores-apple.com/catalog/planshet-apple-ipad-pro-2024-m4-11-wi-fi-1024-gb-serebristyj/" TargetMode="External"/><Relationship Id="rId1381" Type="http://schemas.openxmlformats.org/officeDocument/2006/relationships/hyperlink" Target="https://mgg.stores-apple.com/catalog/besprovodnye-naushniki-marshall-major-5-belyj/" TargetMode="External"/><Relationship Id="rId791" Type="http://schemas.openxmlformats.org/officeDocument/2006/relationships/hyperlink" Target="https://mgg.stores-apple.com/catalog/planshet-apple-ipad-pro-2025-m5-11-wi-fi-1024-gb-serebristyj/" TargetMode="External"/><Relationship Id="rId1140" Type="http://schemas.openxmlformats.org/officeDocument/2006/relationships/hyperlink" Target="https://mgg.stores-apple.com/catalog/smart-chasy-apple-watch-ultra-3-49-mm-natural-titanium-milanese-natural-loop-s-5g/" TargetMode="External"/><Relationship Id="rId1382" Type="http://schemas.openxmlformats.org/officeDocument/2006/relationships/hyperlink" Target="https://mgg.stores-apple.com/catalog/kolonka-yandeks-stanciya-mini-bez-chasov-krasnyj-granat/" TargetMode="External"/><Relationship Id="rId790" Type="http://schemas.openxmlformats.org/officeDocument/2006/relationships/hyperlink" Target="https://mgg.stores-apple.com/catalog/planshet-apple-ipad-pro-2025-m5-11-wi-fi-1024-gb-seryj-kosmos/" TargetMode="External"/><Relationship Id="rId1141" Type="http://schemas.openxmlformats.org/officeDocument/2006/relationships/hyperlink" Target="https://mgg.stores-apple.com/catalog/smart_chasy_apple_watch_series_12_black/" TargetMode="External"/><Relationship Id="rId1383" Type="http://schemas.openxmlformats.org/officeDocument/2006/relationships/hyperlink" Target="https://mgg.stores-apple.com/catalog/kolonka-yandeks-stanciya-mini-bez-chasov-ceryj-opal/" TargetMode="External"/><Relationship Id="rId1142" Type="http://schemas.openxmlformats.org/officeDocument/2006/relationships/hyperlink" Target="https://mgg.stores-apple.com/catalog/smart_chasy_apple_watch_series_12_light_gold/" TargetMode="External"/><Relationship Id="rId1384" Type="http://schemas.openxmlformats.org/officeDocument/2006/relationships/hyperlink" Target="https://mgg.stores-apple.com/catalog/kolonka-yandeks-stanciya-mini-bez-chasov-cinij-sapfir/" TargetMode="External"/><Relationship Id="rId312" Type="http://schemas.openxmlformats.org/officeDocument/2006/relationships/hyperlink" Target="https://mgg.stores-apple.com/catalog/smartfon_samsung_galaxy_a57_8_128_gb_sirenevyy/" TargetMode="External"/><Relationship Id="rId554" Type="http://schemas.openxmlformats.org/officeDocument/2006/relationships/hyperlink" Target="https://mgg.stores-apple.com/catalog/smartfon-google-pixel-9-12-128-gb-bezhevyi/" TargetMode="External"/><Relationship Id="rId796" Type="http://schemas.openxmlformats.org/officeDocument/2006/relationships/hyperlink" Target="https://mgg.stores-apple.com/catalog/planshet-apple-ipad-pro-2024-m4-11-wi-fi-cellular-1024-gb-serebristyj/" TargetMode="External"/><Relationship Id="rId1143" Type="http://schemas.openxmlformats.org/officeDocument/2006/relationships/hyperlink" Target="https://mgg.stores-apple.com/catalog/smart_chasy_apple_watch_series_12_dark_bronze/" TargetMode="External"/><Relationship Id="rId1385" Type="http://schemas.openxmlformats.org/officeDocument/2006/relationships/hyperlink" Target="https://mgg.stores-apple.com/catalog/kolonka-yandeks-stanciya-mini-bez-chasov-chernyj-oniks/" TargetMode="External"/><Relationship Id="rId311" Type="http://schemas.openxmlformats.org/officeDocument/2006/relationships/hyperlink" Target="https://mgg.stores-apple.com/catalog/smartfon_samsung_galaxy_a57_8_128_gb_siniy/" TargetMode="External"/><Relationship Id="rId553" Type="http://schemas.openxmlformats.org/officeDocument/2006/relationships/hyperlink" Target="https://mgg.stores-apple.com/catalog/smartfon-google-pixel-9-12-128-gb-zelenyi/" TargetMode="External"/><Relationship Id="rId795" Type="http://schemas.openxmlformats.org/officeDocument/2006/relationships/hyperlink" Target="https://mgg.stores-apple.com/catalog/planshet-apple-ipad-pro-2025-m5-11-wi-fi-1024-gb-serebristyj-nano/" TargetMode="External"/><Relationship Id="rId1144" Type="http://schemas.openxmlformats.org/officeDocument/2006/relationships/hyperlink" Target="https://mgg.stores-apple.com/catalog/smart_chasy_apple_watch_ultra_4_natural_titanium__1/" TargetMode="External"/><Relationship Id="rId1386" Type="http://schemas.openxmlformats.org/officeDocument/2006/relationships/hyperlink" Target="https://mgg.stores-apple.com/catalog/kolonka-yandeks-stanciya-mini-cinij-sapfir/" TargetMode="External"/><Relationship Id="rId310" Type="http://schemas.openxmlformats.org/officeDocument/2006/relationships/hyperlink" Target="https://mgg.stores-apple.com/catalog/smartfon_samsung_galaxy_a37_8_256_gb_lavandovyy/" TargetMode="External"/><Relationship Id="rId552" Type="http://schemas.openxmlformats.org/officeDocument/2006/relationships/hyperlink" Target="https://mgg.stores-apple.com/catalog/smartfon-google-pixel-10-pro-xl-16-1024-gb-zelenyi/" TargetMode="External"/><Relationship Id="rId794" Type="http://schemas.openxmlformats.org/officeDocument/2006/relationships/hyperlink" Target="https://mgg.stores-apple.com/catalog/planshet-apple-ipad-pro-2025-m5-11-wi-fi-1024-gb-seryj-kosmos-nano/" TargetMode="External"/><Relationship Id="rId1145" Type="http://schemas.openxmlformats.org/officeDocument/2006/relationships/hyperlink" Target="https://mgg.stores-apple.com/catalog/smart_chasy_apple_watch_ultra_4_natural_titanium_/" TargetMode="External"/><Relationship Id="rId1387" Type="http://schemas.openxmlformats.org/officeDocument/2006/relationships/hyperlink" Target="https://mgg.stores-apple.com/catalog/kolonka-yandeks-stanciya-mini-krasnyj-granat/" TargetMode="External"/><Relationship Id="rId551" Type="http://schemas.openxmlformats.org/officeDocument/2006/relationships/hyperlink" Target="https://mgg.stores-apple.com/catalog/smartfon-google-pixel-10-pro-xl-16-1024-gb-chernyi/" TargetMode="External"/><Relationship Id="rId793" Type="http://schemas.openxmlformats.org/officeDocument/2006/relationships/hyperlink" Target="https://mgg.stores-apple.com/catalog/planshet-apple-ipad-pro-2024-m4-11-wi-fi-1024-gb-chernyj-kosmos/" TargetMode="External"/><Relationship Id="rId1146" Type="http://schemas.openxmlformats.org/officeDocument/2006/relationships/hyperlink" Target="https://mgg.stores-apple.com/catalog/smart-chasy-samsung-galaxy-watch-fe-40mm-chernyy/" TargetMode="External"/><Relationship Id="rId1388" Type="http://schemas.openxmlformats.org/officeDocument/2006/relationships/hyperlink" Target="https://mgg.stores-apple.com/catalog/kolonka-yandeks-stanciya-mini-chernyj-oniks/" TargetMode="External"/><Relationship Id="rId297" Type="http://schemas.openxmlformats.org/officeDocument/2006/relationships/hyperlink" Target="https://mgg.stores-apple.com/catalog/smartfon_samsung_galaxy_a37_8_128_gb_lavandovyy/" TargetMode="External"/><Relationship Id="rId296" Type="http://schemas.openxmlformats.org/officeDocument/2006/relationships/hyperlink" Target="https://mgg.stores-apple.com/catalog/smartfon_samsung_galaxy_a37_8_128_gb_belyy/" TargetMode="External"/><Relationship Id="rId295" Type="http://schemas.openxmlformats.org/officeDocument/2006/relationships/hyperlink" Target="https://mgg.stores-apple.com/catalog/smartfon_samsung_galaxy_a37_8_128_gb_sero_zelenyy/" TargetMode="External"/><Relationship Id="rId294" Type="http://schemas.openxmlformats.org/officeDocument/2006/relationships/hyperlink" Target="https://mgg.stores-apple.com/catalog/smartfon-samsung-galaxy-a36-8-256-gb-chernyy/" TargetMode="External"/><Relationship Id="rId299" Type="http://schemas.openxmlformats.org/officeDocument/2006/relationships/hyperlink" Target="https://mgg.stores-apple.com/catalog/smartfon-samsung-galaxy-a36-12-256-gb-zelenyy/" TargetMode="External"/><Relationship Id="rId298" Type="http://schemas.openxmlformats.org/officeDocument/2006/relationships/hyperlink" Target="https://mgg.stores-apple.com/catalog/smartfon_samsung_galaxy_a37_8_128_gb_chernyy/" TargetMode="External"/><Relationship Id="rId271" Type="http://schemas.openxmlformats.org/officeDocument/2006/relationships/hyperlink" Target="https://mgg.stores-apple.com/catalog/smartfon_samsung_galaxy_a17_6_128_gb_chernyy_black/" TargetMode="External"/><Relationship Id="rId270" Type="http://schemas.openxmlformats.org/officeDocument/2006/relationships/hyperlink" Target="https://mgg.stores-apple.com/catalog/smartfon_samsung_galaxy_a17_6_128_gb_svetlo_goluboy_light_blue/" TargetMode="External"/><Relationship Id="rId269" Type="http://schemas.openxmlformats.org/officeDocument/2006/relationships/hyperlink" Target="https://mgg.stores-apple.com/catalog/smartfon_samsung_galaxy_a17_6_128_gb_seryy_grey/" TargetMode="External"/><Relationship Id="rId264" Type="http://schemas.openxmlformats.org/officeDocument/2006/relationships/hyperlink" Target="https://mgg.stores-apple.com/catalog/smartfon_samsung_galaxy_a57_12_256_gb_goluboy/" TargetMode="External"/><Relationship Id="rId263" Type="http://schemas.openxmlformats.org/officeDocument/2006/relationships/hyperlink" Target="https://mgg.stores-apple.com/catalog/smartfon_samsung_galaxy_a57_12_256_gb_siniy/" TargetMode="External"/><Relationship Id="rId262" Type="http://schemas.openxmlformats.org/officeDocument/2006/relationships/hyperlink" Target="https://mgg.stores-apple.com/catalog/smartfon_samsung_galaxy_a57_8_256_gb_goluboy/" TargetMode="External"/><Relationship Id="rId261" Type="http://schemas.openxmlformats.org/officeDocument/2006/relationships/hyperlink" Target="https://mgg.stores-apple.com/catalog/smartfon-samsung-galaxy-a56-12-256-gb-zelenyy/" TargetMode="External"/><Relationship Id="rId268" Type="http://schemas.openxmlformats.org/officeDocument/2006/relationships/hyperlink" Target="https://mgg.stores-apple.com/catalog/smartfon_samsung_galaxy_a17_4_128_gb_seryy_grey/" TargetMode="External"/><Relationship Id="rId267" Type="http://schemas.openxmlformats.org/officeDocument/2006/relationships/hyperlink" Target="https://mgg.stores-apple.com/catalog/smartfon_samsung_galaxy_a17_4_128_gb_chernyy_black/" TargetMode="External"/><Relationship Id="rId266" Type="http://schemas.openxmlformats.org/officeDocument/2006/relationships/hyperlink" Target="https://mgg.stores-apple.com/catalog/smartfon_samsung_galaxy_a17_4_128_gb_svetlo_goluboy_light_blue/" TargetMode="External"/><Relationship Id="rId265" Type="http://schemas.openxmlformats.org/officeDocument/2006/relationships/hyperlink" Target="https://mgg.stores-apple.com/catalog/smartfon_samsung_galaxy_a57_12_256_gb_seryy/" TargetMode="External"/><Relationship Id="rId260" Type="http://schemas.openxmlformats.org/officeDocument/2006/relationships/hyperlink" Target="https://mgg.stores-apple.com/catalog/smartfon_samsung_galaxy_a57_8_256_gb_siniy/" TargetMode="External"/><Relationship Id="rId259" Type="http://schemas.openxmlformats.org/officeDocument/2006/relationships/hyperlink" Target="https://mgg.stores-apple.com/catalog/smartfon_samsung_galaxy_a57_8_256_gb_seryy/" TargetMode="External"/><Relationship Id="rId258" Type="http://schemas.openxmlformats.org/officeDocument/2006/relationships/hyperlink" Target="https://mgg.stores-apple.com/catalog/smartfon-samsung-galaxy-a56-8-256-gb-belyy/" TargetMode="External"/><Relationship Id="rId253" Type="http://schemas.openxmlformats.org/officeDocument/2006/relationships/hyperlink" Target="https://mgg.stores-apple.com/catalog/smartfon_apple_iphone_duo_1024_gb_night_sky_nochnoe_nebo/" TargetMode="External"/><Relationship Id="rId495" Type="http://schemas.openxmlformats.org/officeDocument/2006/relationships/hyperlink" Target="https://mgg.stores-apple.com/catalog/igrovaya-pristavka-nintendo-switch-lite-32gb-biryuzovyy/" TargetMode="External"/><Relationship Id="rId252" Type="http://schemas.openxmlformats.org/officeDocument/2006/relationships/hyperlink" Target="https://mgg.stores-apple.com/catalog/smartfon_apple_iphone_duo_1024_gb_star_white_belaya_zvezda/" TargetMode="External"/><Relationship Id="rId494" Type="http://schemas.openxmlformats.org/officeDocument/2006/relationships/hyperlink" Target="https://mgg.stores-apple.com/catalog/igrovaya-pristavka-nintendo-switch-lite-32gb-korallovo-rozovyy/" TargetMode="External"/><Relationship Id="rId251" Type="http://schemas.openxmlformats.org/officeDocument/2006/relationships/hyperlink" Target="https://mgg.stores-apple.com/catalog/smartfon_apple_iphone_duo_512_gb_night_sky_nochnoe_nebo/" TargetMode="External"/><Relationship Id="rId493" Type="http://schemas.openxmlformats.org/officeDocument/2006/relationships/hyperlink" Target="https://mgg.stores-apple.com/catalog/igrovaya-pristavka-sony-playstation-5-pro/" TargetMode="External"/><Relationship Id="rId250" Type="http://schemas.openxmlformats.org/officeDocument/2006/relationships/hyperlink" Target="https://mgg.stores-apple.com/catalog/smartfon_apple_iphone_duo_512_gb_star_white_belaya_zvezda/" TargetMode="External"/><Relationship Id="rId492" Type="http://schemas.openxmlformats.org/officeDocument/2006/relationships/hyperlink" Target="https://mgg.stores-apple.com/catalog/igrovaya-pristavka-sony-playstation-5-slim/" TargetMode="External"/><Relationship Id="rId257" Type="http://schemas.openxmlformats.org/officeDocument/2006/relationships/hyperlink" Target="https://mgg.stores-apple.com/catalog/smartfon_samsung_galaxy_a37_12_256_gb_sero_zelenyy/" TargetMode="External"/><Relationship Id="rId499" Type="http://schemas.openxmlformats.org/officeDocument/2006/relationships/hyperlink" Target="https://mgg.stores-apple.com/catalog/igrovaya-pristavka-nintendo-switch-oled-siniy-krasnyy/" TargetMode="External"/><Relationship Id="rId256" Type="http://schemas.openxmlformats.org/officeDocument/2006/relationships/hyperlink" Target="https://mgg.stores-apple.com/catalog/smartfon_samsung_galaxy_a57_8_128_gb_seryy/" TargetMode="External"/><Relationship Id="rId498" Type="http://schemas.openxmlformats.org/officeDocument/2006/relationships/hyperlink" Target="https://mgg.stores-apple.com/catalog/igrovaya-pristavka-nintendo-switch-lite-32gb-zheltyy/" TargetMode="External"/><Relationship Id="rId255" Type="http://schemas.openxmlformats.org/officeDocument/2006/relationships/hyperlink" Target="https://mgg.stores-apple.com/catalog/smartfon_apple_iphone_duo_2048_gb_night_sky_nochnoe_nebo/" TargetMode="External"/><Relationship Id="rId497" Type="http://schemas.openxmlformats.org/officeDocument/2006/relationships/hyperlink" Target="https://mgg.stores-apple.com/catalog/igrovaya-pristavka-nintendo-switch-lite-32gb-seraya/" TargetMode="External"/><Relationship Id="rId254" Type="http://schemas.openxmlformats.org/officeDocument/2006/relationships/hyperlink" Target="https://mgg.stores-apple.com/catalog/smartfon_apple_iphone_duo_2048_gb_star_white_belaya_zvezda/" TargetMode="External"/><Relationship Id="rId496" Type="http://schemas.openxmlformats.org/officeDocument/2006/relationships/hyperlink" Target="https://mgg.stores-apple.com/catalog/igrovaya-pristavka-nintendo-switch-lite-32gb-siniy/" TargetMode="External"/><Relationship Id="rId293" Type="http://schemas.openxmlformats.org/officeDocument/2006/relationships/hyperlink" Target="https://mgg.stores-apple.com/catalog/smartfon-samsung-galaxy-a36-8-256-gb-belyy/" TargetMode="External"/><Relationship Id="rId292" Type="http://schemas.openxmlformats.org/officeDocument/2006/relationships/hyperlink" Target="https://mgg.stores-apple.com/catalog/smartfon-samsung-galaxy-a36-8-256-gb-lavandovyy/" TargetMode="External"/><Relationship Id="rId291" Type="http://schemas.openxmlformats.org/officeDocument/2006/relationships/hyperlink" Target="https://mgg.stores-apple.com/catalog/smartfon-samsung-galaxy-a36-8-256-gb-zelenyy/" TargetMode="External"/><Relationship Id="rId290" Type="http://schemas.openxmlformats.org/officeDocument/2006/relationships/hyperlink" Target="https://mgg.stores-apple.com/catalog/smartfon-samsung-galaxy-a36-8-128-gb-chernyy/" TargetMode="External"/><Relationship Id="rId286" Type="http://schemas.openxmlformats.org/officeDocument/2006/relationships/hyperlink" Target="https://mgg.stores-apple.com/catalog/smartfon_samsung_galaxy_a26_8_256_gb_chernyy_black/" TargetMode="External"/><Relationship Id="rId285" Type="http://schemas.openxmlformats.org/officeDocument/2006/relationships/hyperlink" Target="https://mgg.stores-apple.com/catalog/smartfon_samsung_galaxy_a26_8_256_gb_myatnyy_mint/" TargetMode="External"/><Relationship Id="rId284" Type="http://schemas.openxmlformats.org/officeDocument/2006/relationships/hyperlink" Target="https://mgg.stores-apple.com/catalog/smartfon_samsung_galaxy_a26_8_256_gb_belyy_white/" TargetMode="External"/><Relationship Id="rId283" Type="http://schemas.openxmlformats.org/officeDocument/2006/relationships/hyperlink" Target="https://mgg.stores-apple.com/catalog/smartfon_samsung_galaxy_a26_8_256_gb_persikovo_rozovyy_peach_pink/" TargetMode="External"/><Relationship Id="rId289" Type="http://schemas.openxmlformats.org/officeDocument/2006/relationships/hyperlink" Target="https://mgg.stores-apple.com/catalog/smartfon-samsung-galaxy-a36-8-128-gb-belyy/" TargetMode="External"/><Relationship Id="rId288" Type="http://schemas.openxmlformats.org/officeDocument/2006/relationships/hyperlink" Target="https://mgg.stores-apple.com/catalog/smartfon-samsung-galaxy-a36-8-128-gb-lavandovyy/" TargetMode="External"/><Relationship Id="rId287" Type="http://schemas.openxmlformats.org/officeDocument/2006/relationships/hyperlink" Target="https://mgg.stores-apple.com/catalog/smartfon-samsung-galaxy-a36-8-128-gb-zelenyy/" TargetMode="External"/><Relationship Id="rId282" Type="http://schemas.openxmlformats.org/officeDocument/2006/relationships/hyperlink" Target="https://mgg.stores-apple.com/catalog/smartfon_samsung_galaxy_a17_8_256_gb_seryy_grey/" TargetMode="External"/><Relationship Id="rId281" Type="http://schemas.openxmlformats.org/officeDocument/2006/relationships/hyperlink" Target="https://mgg.stores-apple.com/catalog/smartfon_samsung_galaxy_a17_8_256_gb_svetlo_goluboy_light_blue/" TargetMode="External"/><Relationship Id="rId280" Type="http://schemas.openxmlformats.org/officeDocument/2006/relationships/hyperlink" Target="https://mgg.stores-apple.com/catalog/smartfon_samsung_galaxy_a17_8_256_gb_chernyy_black/" TargetMode="External"/><Relationship Id="rId275" Type="http://schemas.openxmlformats.org/officeDocument/2006/relationships/hyperlink" Target="https://mgg.stores-apple.com/catalog/smartfon_samsung_galaxy_a26_6_128_gb_belyy_white/" TargetMode="External"/><Relationship Id="rId274" Type="http://schemas.openxmlformats.org/officeDocument/2006/relationships/hyperlink" Target="https://mgg.stores-apple.com/catalog/smartfon_samsung_galaxy_a26_6_128_gb_myatnyy_mint/" TargetMode="External"/><Relationship Id="rId273" Type="http://schemas.openxmlformats.org/officeDocument/2006/relationships/hyperlink" Target="https://mgg.stores-apple.com/catalog/smartfon_samsung_galaxy_a26_6_128_gb_persikovo_rozovyy_peach_pink/" TargetMode="External"/><Relationship Id="rId272" Type="http://schemas.openxmlformats.org/officeDocument/2006/relationships/hyperlink" Target="https://mgg.stores-apple.com/catalog/smartfon-samsung-galaxy-a36-6-128-gb-zelenyy/" TargetMode="External"/><Relationship Id="rId279" Type="http://schemas.openxmlformats.org/officeDocument/2006/relationships/hyperlink" Target="https://mgg.stores-apple.com/catalog/smartfon-samsung-galaxy-a36-6-128-gb-chernyy/" TargetMode="External"/><Relationship Id="rId278" Type="http://schemas.openxmlformats.org/officeDocument/2006/relationships/hyperlink" Target="https://mgg.stores-apple.com/catalog/smartfon-samsung-galaxy-a36-6-128-gb-lavandovyy/" TargetMode="External"/><Relationship Id="rId277" Type="http://schemas.openxmlformats.org/officeDocument/2006/relationships/hyperlink" Target="https://mgg.stores-apple.com/catalog/smartfon-samsung-galaxy-a36-6-128-gb-belyy/" TargetMode="External"/><Relationship Id="rId276" Type="http://schemas.openxmlformats.org/officeDocument/2006/relationships/hyperlink" Target="https://mgg.stores-apple.com/catalog/smartfon_samsung_galaxy_a26_6_128_gb_chernyy_black/" TargetMode="External"/><Relationship Id="rId907" Type="http://schemas.openxmlformats.org/officeDocument/2006/relationships/hyperlink" Target="https://mgg.stores-apple.com/catalog/planshet_apple_ipad_air_2026_m4_11_wi_fi_128_gb_seryy_kosmos/" TargetMode="External"/><Relationship Id="rId906" Type="http://schemas.openxmlformats.org/officeDocument/2006/relationships/hyperlink" Target="https://mgg.stores-apple.com/catalog/planshet_apple_ipad_air_2026_m4_11_wi_fi_1024_gb_fioletovyy/" TargetMode="External"/><Relationship Id="rId905" Type="http://schemas.openxmlformats.org/officeDocument/2006/relationships/hyperlink" Target="https://mgg.stores-apple.com/catalog/planshet_apple_ipad_air_2026_m4_11_wi_fi_1024_gb_siyayushchaya_zvezda/" TargetMode="External"/><Relationship Id="rId904" Type="http://schemas.openxmlformats.org/officeDocument/2006/relationships/hyperlink" Target="https://mgg.stores-apple.com/catalog/planshet_apple_ipad_air_2026_m4_11_wi_fi_1024_gb_seryy_kosmos/" TargetMode="External"/><Relationship Id="rId909" Type="http://schemas.openxmlformats.org/officeDocument/2006/relationships/hyperlink" Target="https://mgg.stores-apple.com/catalog/planshet_apple_ipad_air_2026_m4_11_wi_fi_128_gb_siyayushchaya_zvezda/" TargetMode="External"/><Relationship Id="rId908" Type="http://schemas.openxmlformats.org/officeDocument/2006/relationships/hyperlink" Target="https://mgg.stores-apple.com/catalog/planshet_apple_ipad_air_2026_m4_11_wi_fi_128_gb_goluboy/" TargetMode="External"/><Relationship Id="rId903" Type="http://schemas.openxmlformats.org/officeDocument/2006/relationships/hyperlink" Target="https://mgg.stores-apple.com/catalog/planshet_apple_ipad_air_2026_m4_11_wi_fi_1024_gb_goluboy/" TargetMode="External"/><Relationship Id="rId902" Type="http://schemas.openxmlformats.org/officeDocument/2006/relationships/hyperlink" Target="https://mgg.stores-apple.com/catalog/planshet_apple_ipad_air_2026_m4_11_wi_fi_cellular_512_gb_fioletovyy/" TargetMode="External"/><Relationship Id="rId901" Type="http://schemas.openxmlformats.org/officeDocument/2006/relationships/hyperlink" Target="https://mgg.stores-apple.com/catalog/planshet_apple_ipad_air_2026_m4_11_wi_fi_cellular_512_gb_siyayushchaya_zvezda/" TargetMode="External"/><Relationship Id="rId900" Type="http://schemas.openxmlformats.org/officeDocument/2006/relationships/hyperlink" Target="https://mgg.stores-apple.com/catalog/planshet_apple_ipad_air_2026_m4_11_wi_fi_cellular_512_gb_seryy_kosmos/" TargetMode="External"/><Relationship Id="rId929" Type="http://schemas.openxmlformats.org/officeDocument/2006/relationships/hyperlink" Target="https://mgg.stores-apple.com/catalog/planshet_apple_ipad_air_2026_m4_13_wi_fi_1024_gb_fioletovyy/" TargetMode="External"/><Relationship Id="rId928" Type="http://schemas.openxmlformats.org/officeDocument/2006/relationships/hyperlink" Target="https://mgg.stores-apple.com/catalog/planshet_apple_ipad_air_2026_m4_13_wi_fi_1024_gb_siyayushchaya_zvezda/" TargetMode="External"/><Relationship Id="rId927" Type="http://schemas.openxmlformats.org/officeDocument/2006/relationships/hyperlink" Target="https://mgg.stores-apple.com/catalog/planshet_apple_ipad_air_2026_m4_13_wi_fi_1024_gb_goluboy/" TargetMode="External"/><Relationship Id="rId926" Type="http://schemas.openxmlformats.org/officeDocument/2006/relationships/hyperlink" Target="https://mgg.stores-apple.com/catalog/planshet_apple_ipad_air_2026_m4_11_wi_fi_cellular_1024_gb_fioletovyy/" TargetMode="External"/><Relationship Id="rId921" Type="http://schemas.openxmlformats.org/officeDocument/2006/relationships/hyperlink" Target="https://mgg.stores-apple.com/catalog/planshet-apple-ipad-air-2025-m3-11-wi-fi-cellular-1024-gb-siyajushhaja-zvezda/" TargetMode="External"/><Relationship Id="rId920" Type="http://schemas.openxmlformats.org/officeDocument/2006/relationships/hyperlink" Target="https://mgg.stores-apple.com/catalog/planshet-apple-ipad-air-2025-m3-11-wi-fi-cellular-1024-gb-goluboj/" TargetMode="External"/><Relationship Id="rId925" Type="http://schemas.openxmlformats.org/officeDocument/2006/relationships/hyperlink" Target="https://mgg.stores-apple.com/catalog/planshet_apple_ipad_air_2026_m4_11_wi_fi_cellular_1024_gb_siyayushchaya_zvezda/" TargetMode="External"/><Relationship Id="rId924" Type="http://schemas.openxmlformats.org/officeDocument/2006/relationships/hyperlink" Target="https://mgg.stores-apple.com/catalog/planshet_apple_ipad_air_2026_m4_11_wi_fi_cellular_1024_gb_seryy_kosmos/" TargetMode="External"/><Relationship Id="rId923" Type="http://schemas.openxmlformats.org/officeDocument/2006/relationships/hyperlink" Target="https://mgg.stores-apple.com/catalog/planshet_apple_ipad_air_2026_m4_11_wi_fi_cellular_1024_gb_goluboy/" TargetMode="External"/><Relationship Id="rId922" Type="http://schemas.openxmlformats.org/officeDocument/2006/relationships/hyperlink" Target="https://mgg.stores-apple.com/catalog/planshet-apple-ipad-air-2025-m3-11-wi-fi-cellular-1024-gb-fiioletovyj/" TargetMode="External"/><Relationship Id="rId918" Type="http://schemas.openxmlformats.org/officeDocument/2006/relationships/hyperlink" Target="https://mgg.stores-apple.com/catalog/planshet_apple_ipad_air_2026_m4_13_wi_fi_cellular_512_gb_seryy_kosmos/" TargetMode="External"/><Relationship Id="rId917" Type="http://schemas.openxmlformats.org/officeDocument/2006/relationships/hyperlink" Target="https://mgg.stores-apple.com/catalog/planshet_apple_ipad_air_2026_m4_13_wi_fi_cellular_512_gb_fioletovyy/" TargetMode="External"/><Relationship Id="rId916" Type="http://schemas.openxmlformats.org/officeDocument/2006/relationships/hyperlink" Target="https://mgg.stores-apple.com/catalog/planshet_apple_ipad_air_2026_m4_13_wi_fi_cellular_512_gb_siyayushchaya_zvezda/" TargetMode="External"/><Relationship Id="rId915" Type="http://schemas.openxmlformats.org/officeDocument/2006/relationships/hyperlink" Target="https://mgg.stores-apple.com/catalog/planshet_apple_ipad_air_2026_m4_13_wi_fi_cellular_512_gb_goluboy/" TargetMode="External"/><Relationship Id="rId919" Type="http://schemas.openxmlformats.org/officeDocument/2006/relationships/hyperlink" Target="https://mgg.stores-apple.com/catalog/planshet-apple-ipad-air-2025-m3-11-wi-fi-cellular-1024-gb-seryj-kosmos/" TargetMode="External"/><Relationship Id="rId910" Type="http://schemas.openxmlformats.org/officeDocument/2006/relationships/hyperlink" Target="https://mgg.stores-apple.com/catalog/planshet_apple_ipad_air_2026_m4_11_wi_fi_128_gb_fioletovyy/" TargetMode="External"/><Relationship Id="rId914" Type="http://schemas.openxmlformats.org/officeDocument/2006/relationships/hyperlink" Target="https://mgg.stores-apple.com/catalog/planshet-apple-ipad-air-2025-m3-13-wi-fi-cellular-256-gb-fioletovyj/" TargetMode="External"/><Relationship Id="rId913" Type="http://schemas.openxmlformats.org/officeDocument/2006/relationships/hyperlink" Target="https://mgg.stores-apple.com/catalog/planshet-apple-ipad-air-2025-m3-13-wi-fi-cellular-256-gb-siyayushhaya-zvezda/" TargetMode="External"/><Relationship Id="rId912" Type="http://schemas.openxmlformats.org/officeDocument/2006/relationships/hyperlink" Target="https://mgg.stores-apple.com/catalog/planshet-apple-ipad-air-2025-m3-13-wi-fi-cellular-256-gb-seryj-kosmos/" TargetMode="External"/><Relationship Id="rId911" Type="http://schemas.openxmlformats.org/officeDocument/2006/relationships/hyperlink" Target="https://mgg.stores-apple.com/catalog/planshet-apple-ipad-air-2025-m3-13-wi-fi-cellular-256-gb-goluboj/" TargetMode="External"/><Relationship Id="rId1213" Type="http://schemas.openxmlformats.org/officeDocument/2006/relationships/hyperlink" Target="https://mgg.stores-apple.com/catalog/monoblok-apple-imac-24-m4-2024-4-porta-10c-cpu-10c-gpu-16-gb-256-gb-ssd-serebristyy-mwuu3/" TargetMode="External"/><Relationship Id="rId1455" Type="http://schemas.openxmlformats.org/officeDocument/2006/relationships/hyperlink" Target="https://mgg.stores-apple.com/catalog/mikrofonnaya_sistema_dji_mic_mini_2_tx_1_rx_charging_case/" TargetMode="External"/><Relationship Id="rId1214" Type="http://schemas.openxmlformats.org/officeDocument/2006/relationships/hyperlink" Target="https://mgg.stores-apple.com/catalog/monoblok-apple-imac-24-m4-2024-4-porta-10c-cpu-10c-gpu-16-gb-256-gb-ssd-goluboy-mwv13/" TargetMode="External"/><Relationship Id="rId1456" Type="http://schemas.openxmlformats.org/officeDocument/2006/relationships/hyperlink" Target="https://mgg.stores-apple.com/catalog/mikrofonnaya_sistema_dji_mic_mini_2s_2_tx_1_rx_charging_case/" TargetMode="External"/><Relationship Id="rId1215" Type="http://schemas.openxmlformats.org/officeDocument/2006/relationships/hyperlink" Target="https://mgg.stores-apple.com/catalog/monoblok-apple-imac-24-m4-2024-4-porta-10c-cpu-10c-gpu-16-gb-256-gb-ssd-oranzhevyy-mwv83/" TargetMode="External"/><Relationship Id="rId1457" Type="http://schemas.openxmlformats.org/officeDocument/2006/relationships/hyperlink" Target="https://mgg.stores-apple.com/catalog/mikrofonnaya_sistema_dji_mic_3_2_tx_1_rx_charging_case/" TargetMode="External"/><Relationship Id="rId1216" Type="http://schemas.openxmlformats.org/officeDocument/2006/relationships/hyperlink" Target="https://mgg.stores-apple.com/catalog/monoblok-apple-imac-24-m4-2024-4-porta-10c-cpu-10c-gpu-16-gb-256-gb-ssd-zheltyy-mwuw3/" TargetMode="External"/><Relationship Id="rId1458" Type="http://schemas.openxmlformats.org/officeDocument/2006/relationships/hyperlink" Target="https://mgg.stores-apple.com/catalog/mikrofonnaya_sistema_dji_mic_mini_2_tx_1_rx_charging_case/" TargetMode="External"/><Relationship Id="rId1217" Type="http://schemas.openxmlformats.org/officeDocument/2006/relationships/hyperlink" Target="https://mgg.stores-apple.com/catalog/monoblok-apple-imac-24-m4-2024-4-porta-10c-cpu-10c-gpu-16-gb-256-gb-ssd-rozovyy-mwv43/" TargetMode="External"/><Relationship Id="rId1459" Type="http://schemas.openxmlformats.org/officeDocument/2006/relationships/hyperlink" Target="https://mgg.stores-apple.com/catalog/ochki_meta_wayfarer_ray_ban_gen_2_rw4012_matte_black_clear_m/" TargetMode="External"/><Relationship Id="rId1218" Type="http://schemas.openxmlformats.org/officeDocument/2006/relationships/hyperlink" Target="https://mgg.stores-apple.com/catalog/monoblok-apple-imac-24-m4-2024-4-porta-10c-cpu-10c-gpu-16-gb-256-gb-ssd-fioletovyy-mwv63/" TargetMode="External"/><Relationship Id="rId1219" Type="http://schemas.openxmlformats.org/officeDocument/2006/relationships/hyperlink" Target="https://mgg.stores-apple.com/catalog/monoblok-apple-imac-24-m4-2024-4-porta-10c-cpu-10c-gpu-16-gb-512-gb-ssd-rozovyy-mwv53/" TargetMode="External"/><Relationship Id="rId629" Type="http://schemas.openxmlformats.org/officeDocument/2006/relationships/hyperlink" Target="https://mgg.stores-apple.com/catalog/smartfon_oneplus_15_16_256_gb_peschnaya_burya/" TargetMode="External"/><Relationship Id="rId624" Type="http://schemas.openxmlformats.org/officeDocument/2006/relationships/hyperlink" Target="https://mgg.stores-apple.com/catalog/smartfon_oneplus_15_12_256_gb_ulrafioletovyy/" TargetMode="External"/><Relationship Id="rId866" Type="http://schemas.openxmlformats.org/officeDocument/2006/relationships/hyperlink" Target="https://mgg.stores-apple.com/catalog/planshet_apple_ipad_air_2026_m4_13_wi_fi_cellular_128_gb_seryy_kosmos/" TargetMode="External"/><Relationship Id="rId623" Type="http://schemas.openxmlformats.org/officeDocument/2006/relationships/hyperlink" Target="https://mgg.stores-apple.com/catalog/kompaktnyy_fotoapparat_canon_powershot_g7_x_mark_iii_black_chernyy/" TargetMode="External"/><Relationship Id="rId865" Type="http://schemas.openxmlformats.org/officeDocument/2006/relationships/hyperlink" Target="https://mgg.stores-apple.com/catalog/planshet_apple_ipad_air_2026_m4_13_wi_fi_cellular_128_gb_goluboy/" TargetMode="External"/><Relationship Id="rId622" Type="http://schemas.openxmlformats.org/officeDocument/2006/relationships/hyperlink" Target="https://mgg.stores-apple.com/catalog/smartfon_google_pixel_11_pro_xl_16_512_gb_olivkovyy/" TargetMode="External"/><Relationship Id="rId864" Type="http://schemas.openxmlformats.org/officeDocument/2006/relationships/hyperlink" Target="https://mgg.stores-apple.com/catalog/planshet_apple_ipad_air_2026_m4_13_wi_fi_256_gb_fioletovyy/" TargetMode="External"/><Relationship Id="rId621" Type="http://schemas.openxmlformats.org/officeDocument/2006/relationships/hyperlink" Target="https://mgg.stores-apple.com/catalog/smartfon_google_pixel_11_pro_xl_16_512_gb_rozovyy/" TargetMode="External"/><Relationship Id="rId863" Type="http://schemas.openxmlformats.org/officeDocument/2006/relationships/hyperlink" Target="https://mgg.stores-apple.com/catalog/planshet_apple_ipad_air_2026_m4_13_wi_fi_256_gb_goluboy/" TargetMode="External"/><Relationship Id="rId628" Type="http://schemas.openxmlformats.org/officeDocument/2006/relationships/hyperlink" Target="https://mgg.stores-apple.com/catalog/smartfon_oneplus_15_16_256_gb_beskonechnaya_chernota/" TargetMode="External"/><Relationship Id="rId627" Type="http://schemas.openxmlformats.org/officeDocument/2006/relationships/hyperlink" Target="https://mgg.stores-apple.com/catalog/smartfon_oneplus_15_16_256_gb_ulrafioletovyy/" TargetMode="External"/><Relationship Id="rId869" Type="http://schemas.openxmlformats.org/officeDocument/2006/relationships/hyperlink" Target="https://mgg.stores-apple.com/catalog/planshet-apple-ipad-air-2025-m3-11-wi-fi-1024-gb-goluboy/" TargetMode="External"/><Relationship Id="rId626" Type="http://schemas.openxmlformats.org/officeDocument/2006/relationships/hyperlink" Target="https://mgg.stores-apple.com/catalog/smartfon_oneplus_15_12_256_gb_peschnaya_burya/" TargetMode="External"/><Relationship Id="rId868" Type="http://schemas.openxmlformats.org/officeDocument/2006/relationships/hyperlink" Target="https://mgg.stores-apple.com/catalog/planshet_apple_ipad_air_2026_m4_13_wi_fi_cellular_128_gb_fioletovyy/" TargetMode="External"/><Relationship Id="rId625" Type="http://schemas.openxmlformats.org/officeDocument/2006/relationships/hyperlink" Target="https://mgg.stores-apple.com/catalog/smartfon_oneplus_15_12_256_gb_beskonechnaya_chernota/" TargetMode="External"/><Relationship Id="rId867" Type="http://schemas.openxmlformats.org/officeDocument/2006/relationships/hyperlink" Target="https://mgg.stores-apple.com/catalog/planshet_apple_ipad_air_2026_m4_13_wi_fi_cellular_128_gb_siyayushchaya_zvezda/" TargetMode="External"/><Relationship Id="rId1450" Type="http://schemas.openxmlformats.org/officeDocument/2006/relationships/hyperlink" Target="https://mgg.stores-apple.com/catalog/ochki-virtualnoy-realnosti-oculus-quest-3s-128-gb/" TargetMode="External"/><Relationship Id="rId620" Type="http://schemas.openxmlformats.org/officeDocument/2006/relationships/hyperlink" Target="https://mgg.stores-apple.com/catalog/smartfon_google_pixel_11_pro_xl_16_512_gb_tumannyy/" TargetMode="External"/><Relationship Id="rId862" Type="http://schemas.openxmlformats.org/officeDocument/2006/relationships/hyperlink" Target="https://mgg.stores-apple.com/catalog/planshet-apple-ipad-air-2025-m3-11-wi-fi-512-gb-siyayushchaya-zvezda/" TargetMode="External"/><Relationship Id="rId1451" Type="http://schemas.openxmlformats.org/officeDocument/2006/relationships/hyperlink" Target="https://mgg.stores-apple.com/catalog/ochki-virtualnoy-realnosti-oculus-quest-3s-256-gb/" TargetMode="External"/><Relationship Id="rId861" Type="http://schemas.openxmlformats.org/officeDocument/2006/relationships/hyperlink" Target="https://mgg.stores-apple.com/catalog/planshet-apple-ipad-air-2025-m3-11-wi-fi-512-gb-seryy-kosmos/" TargetMode="External"/><Relationship Id="rId1210" Type="http://schemas.openxmlformats.org/officeDocument/2006/relationships/hyperlink" Target="https://mgg.stores-apple.com/catalog/monoblok-apple-imac-24-m4-2024-2-porta-8c-cpu-8c-gpu-16-gb-256-gb-ssd-rozovyy-mwug3/" TargetMode="External"/><Relationship Id="rId1452" Type="http://schemas.openxmlformats.org/officeDocument/2006/relationships/hyperlink" Target="https://mgg.stores-apple.com/catalog/ochki-virtualnoy-realnosti-apple-vision-pro-m5-256-gb/" TargetMode="External"/><Relationship Id="rId860" Type="http://schemas.openxmlformats.org/officeDocument/2006/relationships/hyperlink" Target="https://mgg.stores-apple.com/catalog/planshet-apple-ipad-air-2025-m3-13-wi-fi-256-gb-seryy-kosmos/" TargetMode="External"/><Relationship Id="rId1211" Type="http://schemas.openxmlformats.org/officeDocument/2006/relationships/hyperlink" Target="https://mgg.stores-apple.com/catalog/monoblok-apple-imac-24-m4-2024-2-porta-8c-cpu-8c-gpu-16-gb-256-gb-ssd-zelenyy-mwue3/" TargetMode="External"/><Relationship Id="rId1453" Type="http://schemas.openxmlformats.org/officeDocument/2006/relationships/hyperlink" Target="https://mgg.stores-apple.com/catalog/ochki-virtualnoy-realnosti-apple-vision-pro-m5-512-gb/" TargetMode="External"/><Relationship Id="rId1212" Type="http://schemas.openxmlformats.org/officeDocument/2006/relationships/hyperlink" Target="https://mgg.stores-apple.com/catalog/monoblok-apple-imac-24-m4-2024-4-porta-10c-cpu-10c-gpu-16-gb-256-gb-ssd-zelyonyy-mwuy3/" TargetMode="External"/><Relationship Id="rId1454" Type="http://schemas.openxmlformats.org/officeDocument/2006/relationships/hyperlink" Target="https://mgg.stores-apple.com/catalog/ochki-virtualnoy-realnosti-apple-vision-pro-m5-1024-gb/" TargetMode="External"/><Relationship Id="rId1202" Type="http://schemas.openxmlformats.org/officeDocument/2006/relationships/hyperlink" Target="https://mgg.stores-apple.com/catalog/noutbuk_apple_macbook_pro_16_m5_max_18c_cpu_32c_gpu_2026_36_2048_gb_chernyy_kosmos_mge74/" TargetMode="External"/><Relationship Id="rId1444" Type="http://schemas.openxmlformats.org/officeDocument/2006/relationships/hyperlink" Target="https://mgg.stores-apple.com/catalog/portativnaya_kolonka_jbl_charge_6_chernaya_oranzhevaya/" TargetMode="External"/><Relationship Id="rId1203" Type="http://schemas.openxmlformats.org/officeDocument/2006/relationships/hyperlink" Target="https://mgg.stores-apple.com/catalog/noutbuk-apple-macbook-pro-16-m4-max-2024-40-core-gpu-48-gb-1024-gb-chernyy-kosmos-mx313/" TargetMode="External"/><Relationship Id="rId1445" Type="http://schemas.openxmlformats.org/officeDocument/2006/relationships/hyperlink" Target="https://mgg.stores-apple.com/catalog/mediapleer_apple_tv_4k_64_gb_4_go_pokoleniya/" TargetMode="External"/><Relationship Id="rId1204" Type="http://schemas.openxmlformats.org/officeDocument/2006/relationships/hyperlink" Target="https://mgg.stores-apple.com/catalog/noutbuk_apple_macbook_pro_16_m5_max_18c_cpu_40c_gpu_2026_48_2048_gb_chernyy_kosmos_mde94/" TargetMode="External"/><Relationship Id="rId1446" Type="http://schemas.openxmlformats.org/officeDocument/2006/relationships/hyperlink" Target="https://mgg.stores-apple.com/catalog/mediapleer_apple_tv_4k_128_gb_4_go_pokoleniya/" TargetMode="External"/><Relationship Id="rId1205" Type="http://schemas.openxmlformats.org/officeDocument/2006/relationships/hyperlink" Target="https://mgg.stores-apple.com/catalog/monoblok-apple-imac-24-m4-2024-2-porta-8c-cpu-8c-gpu-16-gb-256-gb-ssd-zheltyy-mwud3/" TargetMode="External"/><Relationship Id="rId1447" Type="http://schemas.openxmlformats.org/officeDocument/2006/relationships/hyperlink" Target="https://mgg.stores-apple.com/catalog/mediapleer-apple-tv-4k-64-gb-3go-pokoleniya/" TargetMode="External"/><Relationship Id="rId1206" Type="http://schemas.openxmlformats.org/officeDocument/2006/relationships/hyperlink" Target="https://mgg.stores-apple.com/catalog/monoblok-apple-imac-24-m4-2024-2-porta-8c-cpu-8c-gpu-16-gb-256-gb-ssd-serebristyy-mwuc3/" TargetMode="External"/><Relationship Id="rId1448" Type="http://schemas.openxmlformats.org/officeDocument/2006/relationships/hyperlink" Target="https://mgg.stores-apple.com/catalog/mediapleer-apple-tv-4k-128-gb-3go-pokoleniya/" TargetMode="External"/><Relationship Id="rId1207" Type="http://schemas.openxmlformats.org/officeDocument/2006/relationships/hyperlink" Target="https://mgg.stores-apple.com/catalog/monoblok-apple-imac-24-m4-2024-2-porta-8c-cpu-8c-gpu-16-gb-256-gb-ssd-goluboy-mwuf3/" TargetMode="External"/><Relationship Id="rId1449" Type="http://schemas.openxmlformats.org/officeDocument/2006/relationships/hyperlink" Target="https://mgg.stores-apple.com/catalog/sistema-virtualnoy-realnosti-sony-playstation-vr-2-belyy/" TargetMode="External"/><Relationship Id="rId1208" Type="http://schemas.openxmlformats.org/officeDocument/2006/relationships/hyperlink" Target="https://mgg.stores-apple.com/catalog/monoblok-apple-imac-24-m4-2024-2-porta-8c-cpu-8c-gpu-16-gb-256-gb-ssd-oranzhevyy-mwuj3/" TargetMode="External"/><Relationship Id="rId1209" Type="http://schemas.openxmlformats.org/officeDocument/2006/relationships/hyperlink" Target="https://mgg.stores-apple.com/catalog/monoblok-apple-imac-24-m4-2024-2-porta-8c-cpu-8c-gpu-16-gb-256-gb-ssd-fioletovyy-mwuh3/" TargetMode="External"/><Relationship Id="rId619" Type="http://schemas.openxmlformats.org/officeDocument/2006/relationships/hyperlink" Target="https://mgg.stores-apple.com/catalog/smartfon_google_pixel_11_pro_xl_12_256_gb_rozovyy/" TargetMode="External"/><Relationship Id="rId618" Type="http://schemas.openxmlformats.org/officeDocument/2006/relationships/hyperlink" Target="https://mgg.stores-apple.com/catalog/smartfon_google_pixel_11_pro_xl_12_256_gb_tumannyy/" TargetMode="External"/><Relationship Id="rId613" Type="http://schemas.openxmlformats.org/officeDocument/2006/relationships/hyperlink" Target="https://mgg.stores-apple.com/catalog/smartfon-google-pixel-9a-8-256-gb-rozovyi/" TargetMode="External"/><Relationship Id="rId855" Type="http://schemas.openxmlformats.org/officeDocument/2006/relationships/hyperlink" Target="https://mgg.stores-apple.com/catalog/planshet_apple_ipad_air_2026_m4_13_wi_fi_128_gb_seryy_kosmos/" TargetMode="External"/><Relationship Id="rId612" Type="http://schemas.openxmlformats.org/officeDocument/2006/relationships/hyperlink" Target="https://mgg.stores-apple.com/catalog/smartfon-google-pixel-9a-8-128-gb-goluboi/" TargetMode="External"/><Relationship Id="rId854" Type="http://schemas.openxmlformats.org/officeDocument/2006/relationships/hyperlink" Target="https://mgg.stores-apple.com/catalog/planshet-apple-ipad-air-2025-m3-11-wi-fi-cellular-256-gb-seryy-kosmos/" TargetMode="External"/><Relationship Id="rId611" Type="http://schemas.openxmlformats.org/officeDocument/2006/relationships/hyperlink" Target="https://mgg.stores-apple.com/catalog/smartfon-google-pixel-9a-8-128-gb-rozovyi/" TargetMode="External"/><Relationship Id="rId853" Type="http://schemas.openxmlformats.org/officeDocument/2006/relationships/hyperlink" Target="https://mgg.stores-apple.com/catalog/planshet-apple-ipad-air-2025-m3-11-wi-fi-cellular-256-gb-fiolotovyj/" TargetMode="External"/><Relationship Id="rId610" Type="http://schemas.openxmlformats.org/officeDocument/2006/relationships/hyperlink" Target="https://mgg.stores-apple.com/catalog/smartfon-google-pixel-9a-8-128-gb-chernyi/" TargetMode="External"/><Relationship Id="rId852" Type="http://schemas.openxmlformats.org/officeDocument/2006/relationships/hyperlink" Target="https://mgg.stores-apple.com/catalog/planshet-apple-ipad-air-2025-m3-11-wi-fi-cellular-256-gb-siyayushchaya-zvezda/" TargetMode="External"/><Relationship Id="rId617" Type="http://schemas.openxmlformats.org/officeDocument/2006/relationships/hyperlink" Target="https://mgg.stores-apple.com/catalog/smartfon_google_pixel_11_pro_xl_12_256_gb_olivkovyy/" TargetMode="External"/><Relationship Id="rId859" Type="http://schemas.openxmlformats.org/officeDocument/2006/relationships/hyperlink" Target="https://mgg.stores-apple.com/catalog/planshet-apple-ipad-air-2025-m3-11-wi-fi-512-gb-goluboy/" TargetMode="External"/><Relationship Id="rId616" Type="http://schemas.openxmlformats.org/officeDocument/2006/relationships/hyperlink" Target="https://mgg.stores-apple.com/catalog/smartfon-google-pixel-9a-8-256-gb-chernyi/" TargetMode="External"/><Relationship Id="rId858" Type="http://schemas.openxmlformats.org/officeDocument/2006/relationships/hyperlink" Target="https://mgg.stores-apple.com/catalog/planshet_apple_ipad_air_2026_m4_13_wi_fi_128_gb_siyayushchaya_zvezda/" TargetMode="External"/><Relationship Id="rId615" Type="http://schemas.openxmlformats.org/officeDocument/2006/relationships/hyperlink" Target="https://mgg.stores-apple.com/catalog/smartfon-google-pixel-9a-8-256-gb-goluboi/" TargetMode="External"/><Relationship Id="rId857" Type="http://schemas.openxmlformats.org/officeDocument/2006/relationships/hyperlink" Target="https://mgg.stores-apple.com/catalog/planshet_apple_ipad_air_2026_m4_13_wi_fi_128_gb_goluboy/" TargetMode="External"/><Relationship Id="rId614" Type="http://schemas.openxmlformats.org/officeDocument/2006/relationships/hyperlink" Target="https://mgg.stores-apple.com/catalog/smartfon-google-pixel-9a-8-256-gb-bezhevyi/" TargetMode="External"/><Relationship Id="rId856" Type="http://schemas.openxmlformats.org/officeDocument/2006/relationships/hyperlink" Target="https://mgg.stores-apple.com/catalog/planshet_apple_ipad_air_2026_m4_13_wi_fi_128_gb_fioletovyy/" TargetMode="External"/><Relationship Id="rId851" Type="http://schemas.openxmlformats.org/officeDocument/2006/relationships/hyperlink" Target="https://mgg.stores-apple.com/catalog/planshet-apple-ipad-air-2025-m3-11-wi-fi-cellular-256-gb-goluboy/" TargetMode="External"/><Relationship Id="rId1440" Type="http://schemas.openxmlformats.org/officeDocument/2006/relationships/hyperlink" Target="https://mgg.stores-apple.com/catalog/kolonka-yandeks-stanciya-duo-maks-bezhevyj/" TargetMode="External"/><Relationship Id="rId850" Type="http://schemas.openxmlformats.org/officeDocument/2006/relationships/hyperlink" Target="https://mgg.stores-apple.com/catalog/planshet-apple-ipad-air-2025-m3-13-wi-fi-cellular-128-gb-siyayushhaya-zvezda/" TargetMode="External"/><Relationship Id="rId1441" Type="http://schemas.openxmlformats.org/officeDocument/2006/relationships/hyperlink" Target="https://mgg.stores-apple.com/catalog/naushniki_apple_airpods_5_belye_s_shumopodavleniem/" TargetMode="External"/><Relationship Id="rId1200" Type="http://schemas.openxmlformats.org/officeDocument/2006/relationships/hyperlink" Target="https://mgg.stores-apple.com/catalog/noutbuk-apple-macbook-pro-14-m4-max-2024-32-core-gpu-36-gb-1024-gb-serebristyy-mx2g3/" TargetMode="External"/><Relationship Id="rId1442" Type="http://schemas.openxmlformats.org/officeDocument/2006/relationships/hyperlink" Target="https://mgg.stores-apple.com/catalog/naushniki_apple_airpods_5_belye_s_shumopodavleniem_zaryadnyy_keys/" TargetMode="External"/><Relationship Id="rId1201" Type="http://schemas.openxmlformats.org/officeDocument/2006/relationships/hyperlink" Target="https://mgg.stores-apple.com/catalog/noutbuk-apple-macbook-pro-16-m4-max-2024-40-core-gpu-48-gb-1024-gb-serebristyy-mx2w3/" TargetMode="External"/><Relationship Id="rId1443" Type="http://schemas.openxmlformats.org/officeDocument/2006/relationships/hyperlink" Target="https://mgg.stores-apple.com/catalog/portativnaya_audiosistema_jbl_partybox_1100_ultimate_chernyy/" TargetMode="External"/><Relationship Id="rId1235" Type="http://schemas.openxmlformats.org/officeDocument/2006/relationships/hyperlink" Target="https://mgg.stores-apple.com/catalog/noutbuk_apple_macbook_neo_2026_8_gb_256_gb_indigo_angliyskaya_raskladka/" TargetMode="External"/><Relationship Id="rId1236" Type="http://schemas.openxmlformats.org/officeDocument/2006/relationships/hyperlink" Target="https://mgg.stores-apple.com/catalog/noutbuk_apple_macbook_neo_2026_8_gb_256_gb_rozovyy_rumyanets_angliyskaya_raskladka/" TargetMode="External"/><Relationship Id="rId1237" Type="http://schemas.openxmlformats.org/officeDocument/2006/relationships/hyperlink" Target="https://mgg.stores-apple.com/catalog/noutbuk_apple_macbook_neo_2026_8_gb_256_gb_serebristyy_angliyskaya_raskladka/" TargetMode="External"/><Relationship Id="rId1238" Type="http://schemas.openxmlformats.org/officeDocument/2006/relationships/hyperlink" Target="https://mgg.stores-apple.com/catalog/noutbuk_apple_macbook_neo_2026_8_gb_512_gb_tsitrus_angliyskaya_raskladka/" TargetMode="External"/><Relationship Id="rId1239" Type="http://schemas.openxmlformats.org/officeDocument/2006/relationships/hyperlink" Target="https://mgg.stores-apple.com/catalog/noutbuk_apple_macbook_neo_2026_8_gb_512_gb_rozovyy_rumyanets_angliyskaya_raskladka/" TargetMode="External"/><Relationship Id="rId409" Type="http://schemas.openxmlformats.org/officeDocument/2006/relationships/hyperlink" Target="https://mgg.stores-apple.com/catalog/smartfon-samsung-galaxy-s25-ultra-512-gb-siniy-titan/" TargetMode="External"/><Relationship Id="rId404" Type="http://schemas.openxmlformats.org/officeDocument/2006/relationships/hyperlink" Target="https://mgg.stores-apple.com/catalog/smartfon_samsung_galaxy_s26_12_256_gb_pink_gold_rozovoe_zoloto_1/" TargetMode="External"/><Relationship Id="rId646" Type="http://schemas.openxmlformats.org/officeDocument/2006/relationships/hyperlink" Target="https://mgg.stores-apple.com/catalog/smartfon_honor_600_pro_12_256_gb_golden_white_bezhevyy/" TargetMode="External"/><Relationship Id="rId888" Type="http://schemas.openxmlformats.org/officeDocument/2006/relationships/hyperlink" Target="https://mgg.stores-apple.com/catalog/planshet-apple-ipad-air-2025-m3-13-wi-fi-512-gb-siyayushchaya-zvezda/" TargetMode="External"/><Relationship Id="rId403" Type="http://schemas.openxmlformats.org/officeDocument/2006/relationships/hyperlink" Target="https://mgg.stores-apple.com/catalog/smartfon_samsung_galaxy_s26_256_gb_black_chernyy_1/" TargetMode="External"/><Relationship Id="rId645" Type="http://schemas.openxmlformats.org/officeDocument/2006/relationships/hyperlink" Target="https://mgg.stores-apple.com/catalog/smartfon_honor_600_pro_12_512_gb_black_chernyy/" TargetMode="External"/><Relationship Id="rId887" Type="http://schemas.openxmlformats.org/officeDocument/2006/relationships/hyperlink" Target="https://mgg.stores-apple.com/catalog/planshet-apple-ipad-air-2025-m3-13-wi-fi-512-gb-fioletovyy/" TargetMode="External"/><Relationship Id="rId402" Type="http://schemas.openxmlformats.org/officeDocument/2006/relationships/hyperlink" Target="https://mgg.stores-apple.com/catalog/smartfon_samsung_galaxy_s26_12_512_gb_pink_gold_rozovoe_zoloto/" TargetMode="External"/><Relationship Id="rId644" Type="http://schemas.openxmlformats.org/officeDocument/2006/relationships/hyperlink" Target="https://mgg.stores-apple.com/catalog/smartfon_honor_600_pro_12_256_gb_black_chernyy/" TargetMode="External"/><Relationship Id="rId886" Type="http://schemas.openxmlformats.org/officeDocument/2006/relationships/hyperlink" Target="https://mgg.stores-apple.com/catalog/planshet_apple_ipad_air_2026_m4_13_wi_fi_512_gb_fioletovyy/" TargetMode="External"/><Relationship Id="rId401" Type="http://schemas.openxmlformats.org/officeDocument/2006/relationships/hyperlink" Target="https://mgg.stores-apple.com/catalog/smartfon_samsung_galaxy_s26_12_512_gb_silver_shadow_serebryanaya_ten/" TargetMode="External"/><Relationship Id="rId643" Type="http://schemas.openxmlformats.org/officeDocument/2006/relationships/hyperlink" Target="https://mgg.stores-apple.com/catalog/smartfon_honor_600_12_512_gb_orange_oranzhevyy/" TargetMode="External"/><Relationship Id="rId885" Type="http://schemas.openxmlformats.org/officeDocument/2006/relationships/hyperlink" Target="https://mgg.stores-apple.com/catalog/planshet_apple_ipad_air_2026_m4_13_wi_fi_512_gb_seryy_kosmos/" TargetMode="External"/><Relationship Id="rId408" Type="http://schemas.openxmlformats.org/officeDocument/2006/relationships/hyperlink" Target="https://mgg.stores-apple.com/catalog/smartfon-samsung-galaxy-s25-ultra-512-gb-serebryanyy-titan/" TargetMode="External"/><Relationship Id="rId407" Type="http://schemas.openxmlformats.org/officeDocument/2006/relationships/hyperlink" Target="https://mgg.stores-apple.com/catalog/smartfon-samsung-galaxy-s25-ultra-512-gb-zelenyy-titan/" TargetMode="External"/><Relationship Id="rId649" Type="http://schemas.openxmlformats.org/officeDocument/2006/relationships/hyperlink" Target="https://mgg.stores-apple.com/catalog/smartfon_honor_magic_8_pro_12_512_gb_sky_cyan_biryuzovyy/" TargetMode="External"/><Relationship Id="rId406" Type="http://schemas.openxmlformats.org/officeDocument/2006/relationships/hyperlink" Target="https://mgg.stores-apple.com/catalog/smartfon-samsung-galaxy-s25-ultra-256-gb-zelenyy-titan/" TargetMode="External"/><Relationship Id="rId648" Type="http://schemas.openxmlformats.org/officeDocument/2006/relationships/hyperlink" Target="https://mgg.stores-apple.com/catalog/smartfon_honor_600_pro_12_512_gb_orange_oranzhevyy/" TargetMode="External"/><Relationship Id="rId405" Type="http://schemas.openxmlformats.org/officeDocument/2006/relationships/hyperlink" Target="https://mgg.stores-apple.com/catalog/smartfon_samsung_galaxy_s26_12_256_gb_silver_shadow_serebryanaya_ten_1/" TargetMode="External"/><Relationship Id="rId647" Type="http://schemas.openxmlformats.org/officeDocument/2006/relationships/hyperlink" Target="https://mgg.stores-apple.com/catalog/smartfon_honor_600_pro_12_512_gb_golden_white_bezhevyy/" TargetMode="External"/><Relationship Id="rId889" Type="http://schemas.openxmlformats.org/officeDocument/2006/relationships/hyperlink" Target="https://mgg.stores-apple.com/catalog/planshet-apple-ipad-air-2025-m3-13-wi-fi-512-gb-goluboj/" TargetMode="External"/><Relationship Id="rId880" Type="http://schemas.openxmlformats.org/officeDocument/2006/relationships/hyperlink" Target="https://mgg.stores-apple.com/catalog/planshet_apple_ipad_air_2026_m4_11_wi_fi_cellular_256_gb_seryy_kosmos/" TargetMode="External"/><Relationship Id="rId1230" Type="http://schemas.openxmlformats.org/officeDocument/2006/relationships/hyperlink" Target="https://mgg.stores-apple.com/catalog/monoblok-apple-imac-24-m4-2024-4-porta-10c-cpu-10c-gpu-24-gb-512-gb-ssd-oranzhevyj/" TargetMode="External"/><Relationship Id="rId400" Type="http://schemas.openxmlformats.org/officeDocument/2006/relationships/hyperlink" Target="https://mgg.stores-apple.com/catalog/smartfon_samsung_galaxy_s26_512_gb_white_belyy_1/" TargetMode="External"/><Relationship Id="rId642" Type="http://schemas.openxmlformats.org/officeDocument/2006/relationships/hyperlink" Target="https://mgg.stores-apple.com/catalog/smartfon_honor_600_12_512_gb_black_chernyy/" TargetMode="External"/><Relationship Id="rId884" Type="http://schemas.openxmlformats.org/officeDocument/2006/relationships/hyperlink" Target="https://mgg.stores-apple.com/catalog/planshet_apple_ipad_air_2026_m4_13_wi_fi_512_gb_goluboy/" TargetMode="External"/><Relationship Id="rId1231" Type="http://schemas.openxmlformats.org/officeDocument/2006/relationships/hyperlink" Target="https://mgg.stores-apple.com/catalog/monoblok-apple-imac-24-m4-2024-4-porta-10c-cpu-10c-gpu-24-gb-512-gb-ssd-serebristyj-mcr24/" TargetMode="External"/><Relationship Id="rId641" Type="http://schemas.openxmlformats.org/officeDocument/2006/relationships/hyperlink" Target="https://mgg.stores-apple.com/catalog/smartfon_honor_600_12_256_gb_golden_white_bezhevyy/" TargetMode="External"/><Relationship Id="rId883" Type="http://schemas.openxmlformats.org/officeDocument/2006/relationships/hyperlink" Target="https://mgg.stores-apple.com/catalog/planshet_apple_ipad_air_2026_m4_13_wi_fi_512_gb_siyayushchaya_zvezda/" TargetMode="External"/><Relationship Id="rId1232" Type="http://schemas.openxmlformats.org/officeDocument/2006/relationships/hyperlink" Target="https://mgg.stores-apple.com/catalog/monoblok-apple-imac-24-m4-2024-4-porta-10c-cpu-10c-gpu-24-gb-512-gb-ssd-rozovyj-md2u4/" TargetMode="External"/><Relationship Id="rId640" Type="http://schemas.openxmlformats.org/officeDocument/2006/relationships/hyperlink" Target="https://mgg.stores-apple.com/catalog/smartfon_honor_600_12_256_gb_black_chernyy/" TargetMode="External"/><Relationship Id="rId882" Type="http://schemas.openxmlformats.org/officeDocument/2006/relationships/hyperlink" Target="https://mgg.stores-apple.com/catalog/planshet_apple_ipad_air_2026_m4_11_wi_fi_cellular_256_gb_siyayushchaya_zvezda/" TargetMode="External"/><Relationship Id="rId1233" Type="http://schemas.openxmlformats.org/officeDocument/2006/relationships/hyperlink" Target="https://mgg.stores-apple.com/catalog/noutbuk_apple_macbook_neo_2026_8_gb_512_gb_serebristyy_angliyskaya_raskladka/" TargetMode="External"/><Relationship Id="rId881" Type="http://schemas.openxmlformats.org/officeDocument/2006/relationships/hyperlink" Target="https://mgg.stores-apple.com/catalog/planshet-apple-ipad-air-2025-m3-11-wi-fi-cellular-512-gb-fioletovy/" TargetMode="External"/><Relationship Id="rId1234" Type="http://schemas.openxmlformats.org/officeDocument/2006/relationships/hyperlink" Target="https://mgg.stores-apple.com/catalog/noutbuk_apple_macbook_neo_2026_8_gb_256_gb_tsitrus_angliyskaya_raskladka/" TargetMode="External"/><Relationship Id="rId1224" Type="http://schemas.openxmlformats.org/officeDocument/2006/relationships/hyperlink" Target="https://mgg.stores-apple.com/catalog/monoblok-apple-imac-24-m4-2024-4-porta-10c-cpu-10c-gpu-16-gb-512-gb-ssd-zelenyy-mwv03/" TargetMode="External"/><Relationship Id="rId1225" Type="http://schemas.openxmlformats.org/officeDocument/2006/relationships/hyperlink" Target="https://mgg.stores-apple.com/catalog/monoblok-apple-imac-24-m4-2024-4-porta-10c-cpu-10c-gpu-16-gb-512-gb-ssd-serebristyy-mwuv3/" TargetMode="External"/><Relationship Id="rId1226" Type="http://schemas.openxmlformats.org/officeDocument/2006/relationships/hyperlink" Target="https://mgg.stores-apple.com/catalog/monoblok-apple-imac-24-m4-2024-4-porta-10c-cpu-10c-gpu-24-gb-512-gb-ssd-zelenyj-md2q4/" TargetMode="External"/><Relationship Id="rId1227" Type="http://schemas.openxmlformats.org/officeDocument/2006/relationships/hyperlink" Target="https://mgg.stores-apple.com/catalog/monoblok-apple-imac-24-m4-2024-4-porta-10c-cpu-10c-gpu-24-gb-512-gb-ssd-fiioletovyj/" TargetMode="External"/><Relationship Id="rId1228" Type="http://schemas.openxmlformats.org/officeDocument/2006/relationships/hyperlink" Target="https://mgg.stores-apple.com/catalog/monoblok-apple-imac-24-m4-2024-4-porta-10c-cpu-10c-gpu-24-gb-512-gb-ssd-zheltyj/" TargetMode="External"/><Relationship Id="rId1229" Type="http://schemas.openxmlformats.org/officeDocument/2006/relationships/hyperlink" Target="https://mgg.stores-apple.com/catalog/monoblok-apple-imac-24-m4-2024-4-porta-10c-cpu-10c-gpu-24-gb-512-gb-ssd-goluboy-md2t4/" TargetMode="External"/><Relationship Id="rId635" Type="http://schemas.openxmlformats.org/officeDocument/2006/relationships/hyperlink" Target="https://mgg.stores-apple.com/catalog/smartfon_oneplus_15_16_512_gb_peschnaya_burya/" TargetMode="External"/><Relationship Id="rId877" Type="http://schemas.openxmlformats.org/officeDocument/2006/relationships/hyperlink" Target="https://mgg.stores-apple.com/catalog/planshet_apple_ipad_air_2026_m4_13_wi_fi_cellular_256_gb_fioletovyy/" TargetMode="External"/><Relationship Id="rId634" Type="http://schemas.openxmlformats.org/officeDocument/2006/relationships/hyperlink" Target="https://mgg.stores-apple.com/catalog/smartfon_oneplus_15_16_512_gb_beskonechnaya_chernota/" TargetMode="External"/><Relationship Id="rId876" Type="http://schemas.openxmlformats.org/officeDocument/2006/relationships/hyperlink" Target="https://mgg.stores-apple.com/catalog/planshet_apple_ipad_air_2026_m4_13_wi_fi_cellular_256_gb_seryy_kosmos/" TargetMode="External"/><Relationship Id="rId633" Type="http://schemas.openxmlformats.org/officeDocument/2006/relationships/hyperlink" Target="https://mgg.stores-apple.com/catalog/smartfon_oneplus_15_16_512_gb_ulrafioletovyy/" TargetMode="External"/><Relationship Id="rId875" Type="http://schemas.openxmlformats.org/officeDocument/2006/relationships/hyperlink" Target="https://mgg.stores-apple.com/catalog/planshet_apple_ipad_air_2026_m4_13_wi_fi_cellular_256_gb_goluboy/" TargetMode="External"/><Relationship Id="rId632" Type="http://schemas.openxmlformats.org/officeDocument/2006/relationships/hyperlink" Target="https://mgg.stores-apple.com/catalog/smartfon_oneplus_15_12_512_gb_peschnaya_burya/" TargetMode="External"/><Relationship Id="rId874" Type="http://schemas.openxmlformats.org/officeDocument/2006/relationships/hyperlink" Target="https://mgg.stores-apple.com/catalog/planshet_apple_ipad_air_2026_m4_11_wi_fi_cellular_256_gb_fioletovyy/" TargetMode="External"/><Relationship Id="rId639" Type="http://schemas.openxmlformats.org/officeDocument/2006/relationships/hyperlink" Target="https://mgg.stores-apple.com/catalog/smartfon_honor_600_12_256_gb_orange_oranzhevyy/" TargetMode="External"/><Relationship Id="rId638" Type="http://schemas.openxmlformats.org/officeDocument/2006/relationships/hyperlink" Target="https://mgg.stores-apple.com/catalog/smartfon_oneplus_15_16_1024_gb_beskonechnaya_chernota/" TargetMode="External"/><Relationship Id="rId637" Type="http://schemas.openxmlformats.org/officeDocument/2006/relationships/hyperlink" Target="https://mgg.stores-apple.com/catalog/smartfon_oneplus_15_16_1024_gb_peschnaya_burya/" TargetMode="External"/><Relationship Id="rId879" Type="http://schemas.openxmlformats.org/officeDocument/2006/relationships/hyperlink" Target="https://mgg.stores-apple.com/catalog/planshet-apple-ipad-air-2025-m3-11-wi-fi-cellular-512-gb-seryj-kosmos/" TargetMode="External"/><Relationship Id="rId636" Type="http://schemas.openxmlformats.org/officeDocument/2006/relationships/hyperlink" Target="https://mgg.stores-apple.com/catalog/smartfon_oneplus_15_16_1024_gb_ulrafioletovyy/" TargetMode="External"/><Relationship Id="rId878" Type="http://schemas.openxmlformats.org/officeDocument/2006/relationships/hyperlink" Target="https://mgg.stores-apple.com/catalog/planshet-apple-ipad-air-2025-m3-11-wi-fi-cellular-512-gb-goluboj/" TargetMode="External"/><Relationship Id="rId1460" Type="http://schemas.openxmlformats.org/officeDocument/2006/relationships/hyperlink" Target="https://mgg.stores-apple.com/catalog/ochki_meta_wayfarer_ray_ban_gen_2_rw4012_matte_black_clear_m/" TargetMode="External"/><Relationship Id="rId1461" Type="http://schemas.openxmlformats.org/officeDocument/2006/relationships/hyperlink" Target="https://mgg.stores-apple.com/catalog/ochki_meta_wayfarer_ray_ban_gen_2_rw4012_matte_black_grey_transitions_m/" TargetMode="External"/><Relationship Id="rId631" Type="http://schemas.openxmlformats.org/officeDocument/2006/relationships/hyperlink" Target="https://mgg.stores-apple.com/catalog/smartfon_oneplus_15_12_512_gb_beskonechnaya_chernota/" TargetMode="External"/><Relationship Id="rId873" Type="http://schemas.openxmlformats.org/officeDocument/2006/relationships/hyperlink" Target="https://mgg.stores-apple.com/catalog/planshet_apple_ipad_air_2026_m4_11_wi_fi_cellular_256_gb_goluboy/" TargetMode="External"/><Relationship Id="rId1220" Type="http://schemas.openxmlformats.org/officeDocument/2006/relationships/hyperlink" Target="https://mgg.stores-apple.com/catalog/monoblok-apple-imac-24-m4-2024-4-porta-10c-cpu-10c-gpu-16-gb-512-gb-ssd-fioletovyy-mwv73/" TargetMode="External"/><Relationship Id="rId1462" Type="http://schemas.openxmlformats.org/officeDocument/2006/relationships/drawing" Target="../drawings/drawing1.xml"/><Relationship Id="rId630" Type="http://schemas.openxmlformats.org/officeDocument/2006/relationships/hyperlink" Target="https://mgg.stores-apple.com/catalog/smartfon_oneplus_15_12_512_gb_ulrafioletovyy/" TargetMode="External"/><Relationship Id="rId872" Type="http://schemas.openxmlformats.org/officeDocument/2006/relationships/hyperlink" Target="https://mgg.stores-apple.com/catalog/planshet-apple-ipad-air-2025-m3-11-wi-fi-1024-gb-seryj-kosmos/" TargetMode="External"/><Relationship Id="rId1221" Type="http://schemas.openxmlformats.org/officeDocument/2006/relationships/hyperlink" Target="https://mgg.stores-apple.com/catalog/monoblok-apple-imac-24-m4-2024-4-porta-10c-cpu-10c-gpu-16-gb-512-gb-ssd-zheltyy-mwux3/" TargetMode="External"/><Relationship Id="rId871" Type="http://schemas.openxmlformats.org/officeDocument/2006/relationships/hyperlink" Target="https://mgg.stores-apple.com/catalog/planshet-apple-ipad-air-2025-m3-11-wi-fi-1024-gb-siyajushhaja-zvjezda/" TargetMode="External"/><Relationship Id="rId1222" Type="http://schemas.openxmlformats.org/officeDocument/2006/relationships/hyperlink" Target="https://mgg.stores-apple.com/catalog/monoblok-apple-imac-24-m4-2024-4-porta-10c-cpu-10c-gpu-16-gb-512-gb-ssd-goluboy-mwv33/" TargetMode="External"/><Relationship Id="rId870" Type="http://schemas.openxmlformats.org/officeDocument/2006/relationships/hyperlink" Target="https://mgg.stores-apple.com/catalog/planshet_apple_ipad_air_2026_m4_13_wi_fi_256_gb_siyayushchaya_zvezda/" TargetMode="External"/><Relationship Id="rId1223" Type="http://schemas.openxmlformats.org/officeDocument/2006/relationships/hyperlink" Target="https://mgg.stores-apple.com/catalog/monoblok-apple-imac-24-m4-2024-4-porta-10c-cpu-10c-gpu-16-gb-512-gb-ssd-oranzhevyy-mwv93/" TargetMode="External"/><Relationship Id="rId1411" Type="http://schemas.openxmlformats.org/officeDocument/2006/relationships/hyperlink" Target="https://mgg.stores-apple.com/catalog/umnaya-kolonka-apple-homepod-mini-seraja/" TargetMode="External"/><Relationship Id="rId1412" Type="http://schemas.openxmlformats.org/officeDocument/2006/relationships/hyperlink" Target="https://mgg.stores-apple.com/catalog/umnaya-kolonka-apple-homepod-mini-belaya/" TargetMode="External"/><Relationship Id="rId1413" Type="http://schemas.openxmlformats.org/officeDocument/2006/relationships/hyperlink" Target="https://mgg.stores-apple.com/catalog/besprovodnye-naushniki-marshall-monitor-2-anc-chernyi/" TargetMode="External"/><Relationship Id="rId1414" Type="http://schemas.openxmlformats.org/officeDocument/2006/relationships/hyperlink" Target="https://mgg.stores-apple.com/catalog/portativnaya_audiosistema_ubear_groove_160vt_bluetooth_5_3/" TargetMode="External"/><Relationship Id="rId1415" Type="http://schemas.openxmlformats.org/officeDocument/2006/relationships/hyperlink" Target="https://mgg.stores-apple.com/catalog/kolonka-yandeks-stanciya-2-sinij-kobalt/" TargetMode="External"/><Relationship Id="rId1416" Type="http://schemas.openxmlformats.org/officeDocument/2006/relationships/hyperlink" Target="https://mgg.stores-apple.com/catalog/kolonka-yandeks-stanciya-2-krasnyj-rubin/" TargetMode="External"/><Relationship Id="rId1417" Type="http://schemas.openxmlformats.org/officeDocument/2006/relationships/hyperlink" Target="https://mgg.stores-apple.com/catalog/kolonka-yandeks-stanciya-2-pesochnyj/" TargetMode="External"/><Relationship Id="rId1418" Type="http://schemas.openxmlformats.org/officeDocument/2006/relationships/hyperlink" Target="https://mgg.stores-apple.com/catalog/kolonka-yandeks-stanciya-2-limitirovannaya-seriya-kiberderevnya-chernyj-antracit/" TargetMode="External"/><Relationship Id="rId1419" Type="http://schemas.openxmlformats.org/officeDocument/2006/relationships/hyperlink" Target="https://mgg.stores-apple.com/catalog/kolonka-yandeks-stanciya-2-mednyj/" TargetMode="External"/><Relationship Id="rId829" Type="http://schemas.openxmlformats.org/officeDocument/2006/relationships/hyperlink" Target="https://mgg.stores-apple.com/catalog/planshet-apple-ipad-pro-2025-m5-13-wi-fi-cellular-1024-gb-seryj-kosmos-nano/" TargetMode="External"/><Relationship Id="rId828" Type="http://schemas.openxmlformats.org/officeDocument/2006/relationships/hyperlink" Target="https://mgg.stores-apple.com/catalog/planshet-apple-ipad-pro-2025-m5-13-wi-fi-cellular-1024-gb-serebristyj-nano/" TargetMode="External"/><Relationship Id="rId827" Type="http://schemas.openxmlformats.org/officeDocument/2006/relationships/hyperlink" Target="https://mgg.stores-apple.com/catalog/planshet-apple-ipad-pro-2025-m5-11-wi-fi-cellular-2048-gb-seryj-kosmos-nano/" TargetMode="External"/><Relationship Id="rId822" Type="http://schemas.openxmlformats.org/officeDocument/2006/relationships/hyperlink" Target="https://mgg.stores-apple.com/catalog/planshet-apple-ipad-pro-2024-m4-13-wi-fi-2048-gb-chernyj-kosmos/" TargetMode="External"/><Relationship Id="rId821" Type="http://schemas.openxmlformats.org/officeDocument/2006/relationships/hyperlink" Target="https://mgg.stores-apple.com/catalog/planshet-apple-ipad-pro-2025-m5-13-wi-fi-cellular-1024-gb-serebristyj/" TargetMode="External"/><Relationship Id="rId820" Type="http://schemas.openxmlformats.org/officeDocument/2006/relationships/hyperlink" Target="https://mgg.stores-apple.com/catalog/planshet-apple-ipad-pro-2025-m5-13-wi-fi-cellular-1024-gb-seryj-kosmos/" TargetMode="External"/><Relationship Id="rId826" Type="http://schemas.openxmlformats.org/officeDocument/2006/relationships/hyperlink" Target="https://mgg.stores-apple.com/catalog/planshet-apple-ipad-pro-2025-m5-11-wi-fi-cellular-2048-gb-serebristyj-nano/" TargetMode="External"/><Relationship Id="rId825" Type="http://schemas.openxmlformats.org/officeDocument/2006/relationships/hyperlink" Target="https://mgg.stores-apple.com/catalog/planshet-apple-ipad-pro-2025-m5-13-wi-fi-1024-gb-seryj-kosmos-nano/" TargetMode="External"/><Relationship Id="rId824" Type="http://schemas.openxmlformats.org/officeDocument/2006/relationships/hyperlink" Target="https://mgg.stores-apple.com/catalog/planshet-apple-ipad-pro-2025-m5-13-wi-fi-1024-gb-serebristyj-nano/" TargetMode="External"/><Relationship Id="rId823" Type="http://schemas.openxmlformats.org/officeDocument/2006/relationships/hyperlink" Target="https://mgg.stores-apple.com/catalog/planshet-apple-ipad-pro-2024-m4-13-wi-fi-2048-gb-serebristyj/" TargetMode="External"/><Relationship Id="rId1410" Type="http://schemas.openxmlformats.org/officeDocument/2006/relationships/hyperlink" Target="https://mgg.stores-apple.com/catalog/umnaya-kolonka-apple-homepod-mini-sinyaya/" TargetMode="External"/><Relationship Id="rId1400" Type="http://schemas.openxmlformats.org/officeDocument/2006/relationships/hyperlink" Target="https://mgg.stores-apple.com/catalog/besprovodnye-naushniki-samsung-galaxy-buds-3-pro-serebristyje/" TargetMode="External"/><Relationship Id="rId1401" Type="http://schemas.openxmlformats.org/officeDocument/2006/relationships/hyperlink" Target="https://mgg.stores-apple.com/catalog/besprovodnye-naushniki-marshall-matif-2-anc/" TargetMode="External"/><Relationship Id="rId1402" Type="http://schemas.openxmlformats.org/officeDocument/2006/relationships/hyperlink" Target="https://mgg.stores-apple.com/catalog/kolonka-yandeks-stanciya-midi-oranzhevyj/" TargetMode="External"/><Relationship Id="rId1403" Type="http://schemas.openxmlformats.org/officeDocument/2006/relationships/hyperlink" Target="https://mgg.stores-apple.com/catalog/kolonka-yandeks-stanciya-midi-izumrudnyj/" TargetMode="External"/><Relationship Id="rId1404" Type="http://schemas.openxmlformats.org/officeDocument/2006/relationships/hyperlink" Target="https://mgg.stores-apple.com/catalog/kolonka-yandeks-stanciya-midi-malinovyj/" TargetMode="External"/><Relationship Id="rId1405" Type="http://schemas.openxmlformats.org/officeDocument/2006/relationships/hyperlink" Target="https://mgg.stores-apple.com/catalog/kolonka-yandeks-stanciya-midi-chernyj/" TargetMode="External"/><Relationship Id="rId1406" Type="http://schemas.openxmlformats.org/officeDocument/2006/relationships/hyperlink" Target="https://mgg.stores-apple.com/catalog/besprovodnye_naushniki_samsung_galaxy_buds_4_pro_belye/" TargetMode="External"/><Relationship Id="rId1407" Type="http://schemas.openxmlformats.org/officeDocument/2006/relationships/hyperlink" Target="https://mgg.stores-apple.com/catalog/kolonka-yandeks-stanciya-midi-seryj/" TargetMode="External"/><Relationship Id="rId819" Type="http://schemas.openxmlformats.org/officeDocument/2006/relationships/hyperlink" Target="https://mgg.stores-apple.com/catalog/planshet-apple-ipad-pro-2025-m5-11-wi-fi-cellular-2048-gb-serebristyj/" TargetMode="External"/><Relationship Id="rId1408" Type="http://schemas.openxmlformats.org/officeDocument/2006/relationships/hyperlink" Target="https://mgg.stores-apple.com/catalog/umnaya-kolonka-apple-homepod-mini-zheltaya/" TargetMode="External"/><Relationship Id="rId818" Type="http://schemas.openxmlformats.org/officeDocument/2006/relationships/hyperlink" Target="https://mgg.stores-apple.com/catalog/planshet-apple-ipad-pro-2025-m5-11-wi-fi-cellular-2048-gb-seryj-kosmos/" TargetMode="External"/><Relationship Id="rId1409" Type="http://schemas.openxmlformats.org/officeDocument/2006/relationships/hyperlink" Target="https://mgg.stores-apple.com/catalog/umnaya-kolonka-apple-homepod-mini-oranzhevaya/" TargetMode="External"/><Relationship Id="rId817" Type="http://schemas.openxmlformats.org/officeDocument/2006/relationships/hyperlink" Target="https://mgg.stores-apple.com/catalog/planshet-apple-ipad-pro-2025-m5-11-wi-fi-2048-gb-serebristyj-nano/" TargetMode="External"/><Relationship Id="rId816" Type="http://schemas.openxmlformats.org/officeDocument/2006/relationships/hyperlink" Target="https://mgg.stores-apple.com/catalog/planshet-apple-ipad-pro-2025-m5-11-wi-fi-2048-gb-seryj-kosmos-nano/" TargetMode="External"/><Relationship Id="rId811" Type="http://schemas.openxmlformats.org/officeDocument/2006/relationships/hyperlink" Target="https://mgg.stores-apple.com/catalog/planshet-apple-ipad-pro-2025-m5-11-wi-fi-2048-gb-serebristyj/" TargetMode="External"/><Relationship Id="rId810" Type="http://schemas.openxmlformats.org/officeDocument/2006/relationships/hyperlink" Target="https://mgg.stores-apple.com/catalog/planshet-apple-ipad-pro-2025-m5-11-wi-fi-2048-gb-seryj-kosmos/" TargetMode="External"/><Relationship Id="rId815" Type="http://schemas.openxmlformats.org/officeDocument/2006/relationships/hyperlink" Target="https://mgg.stores-apple.com/catalog/planshet-apple-ipad-pro-2024-m4-13-wi-fi-cellular-2048-gb-serebristyj/" TargetMode="External"/><Relationship Id="rId814" Type="http://schemas.openxmlformats.org/officeDocument/2006/relationships/hyperlink" Target="https://mgg.stores-apple.com/catalog/planshet-apple-ipad-pro-2024-m4-13-wi-fi-cellular-2048-gb-chernyj-kosmos/" TargetMode="External"/><Relationship Id="rId813" Type="http://schemas.openxmlformats.org/officeDocument/2006/relationships/hyperlink" Target="https://mgg.stores-apple.com/catalog/planshet-apple-ipad-pro-2025-m5-13-wi-fi-1024-gb-serebristyj/" TargetMode="External"/><Relationship Id="rId812" Type="http://schemas.openxmlformats.org/officeDocument/2006/relationships/hyperlink" Target="https://mgg.stores-apple.com/catalog/planshet-apple-ipad-pro-2025-m5-13-wi-fi-1024-gb-seryj-kosmos/" TargetMode="External"/><Relationship Id="rId1433" Type="http://schemas.openxmlformats.org/officeDocument/2006/relationships/hyperlink" Target="https://mgg.stores-apple.com/catalog/besprovodnye_naushniki_apple_airpods_max_2_siyayushchaya_zvezda/" TargetMode="External"/><Relationship Id="rId1434" Type="http://schemas.openxmlformats.org/officeDocument/2006/relationships/hyperlink" Target="https://mgg.stores-apple.com/catalog/besprovodnye_naushniki_apple_airpods_max_2_oranzhevyy/" TargetMode="External"/><Relationship Id="rId1435" Type="http://schemas.openxmlformats.org/officeDocument/2006/relationships/hyperlink" Target="https://mgg.stores-apple.com/catalog/besprovodnye_naushniki_apple_airpods_max_2_polunochnyy_chernyy/" TargetMode="External"/><Relationship Id="rId1436" Type="http://schemas.openxmlformats.org/officeDocument/2006/relationships/hyperlink" Target="https://mgg.stores-apple.com/catalog/besprovodnye_naushniki_apple_airpods_max_2_siniy/" TargetMode="External"/><Relationship Id="rId1437" Type="http://schemas.openxmlformats.org/officeDocument/2006/relationships/hyperlink" Target="https://mgg.stores-apple.com/catalog/kolonka-yandeks-stanciya-duo-maks-zelenyj/" TargetMode="External"/><Relationship Id="rId1438" Type="http://schemas.openxmlformats.org/officeDocument/2006/relationships/hyperlink" Target="https://mgg.stores-apple.com/catalog/kolonka-yandeks-stanciya-duo-maks-krasnyj/" TargetMode="External"/><Relationship Id="rId1439" Type="http://schemas.openxmlformats.org/officeDocument/2006/relationships/hyperlink" Target="https://mgg.stores-apple.com/catalog/kolonka-yandeks-stanciya-duo-maks-chernyj/" TargetMode="External"/><Relationship Id="rId609" Type="http://schemas.openxmlformats.org/officeDocument/2006/relationships/hyperlink" Target="https://mgg.stores-apple.com/catalog/smartfon-google-pixel-9a-8-128-gb-bezhevyi/" TargetMode="External"/><Relationship Id="rId608" Type="http://schemas.openxmlformats.org/officeDocument/2006/relationships/hyperlink" Target="https://mgg.stores-apple.com/catalog/smartfon-google-pixel-9-pro-xl-16-256-gb-chernyi/" TargetMode="External"/><Relationship Id="rId607" Type="http://schemas.openxmlformats.org/officeDocument/2006/relationships/hyperlink" Target="https://mgg.stores-apple.com/catalog/smartfon-google-pixel-9-pro-xl-16-256-gb-rozovyi/" TargetMode="External"/><Relationship Id="rId849" Type="http://schemas.openxmlformats.org/officeDocument/2006/relationships/hyperlink" Target="https://mgg.stores-apple.com/catalog/planshet-apple-ipad-air-2025-m3-13-wi-fi-cellular-128-gb-fiioletovyj/" TargetMode="External"/><Relationship Id="rId602" Type="http://schemas.openxmlformats.org/officeDocument/2006/relationships/hyperlink" Target="https://mgg.stores-apple.com/catalog/smartfon-google-pixel-9-pro-xl-16-128-gb-rozovyi/" TargetMode="External"/><Relationship Id="rId844" Type="http://schemas.openxmlformats.org/officeDocument/2006/relationships/hyperlink" Target="https://mgg.stores-apple.com/catalog/planshet-apple-ipad-air-2025-m3-13-wi-fi-256-gb-fioletovyj/" TargetMode="External"/><Relationship Id="rId601" Type="http://schemas.openxmlformats.org/officeDocument/2006/relationships/hyperlink" Target="https://mgg.stores-apple.com/catalog/smartfon-google-pixel-9-pro-xl-16-128-gb-bezhevyi/" TargetMode="External"/><Relationship Id="rId843" Type="http://schemas.openxmlformats.org/officeDocument/2006/relationships/hyperlink" Target="https://mgg.stores-apple.com/catalog/planshet-apple-ipad-air-2025-m3-13-wi-fi-128-gb-goluboj/" TargetMode="External"/><Relationship Id="rId600" Type="http://schemas.openxmlformats.org/officeDocument/2006/relationships/hyperlink" Target="https://mgg.stores-apple.com/catalog/smartfon_google_pixel_11_pro_16_1024_gb_matovyy_chyernyy_/" TargetMode="External"/><Relationship Id="rId842" Type="http://schemas.openxmlformats.org/officeDocument/2006/relationships/hyperlink" Target="https://mgg.stores-apple.com/catalog/planshet-apple-ipad-air-2025-m3-11-wi-fi-cellular-128-gb-seryj-kosmos/" TargetMode="External"/><Relationship Id="rId841" Type="http://schemas.openxmlformats.org/officeDocument/2006/relationships/hyperlink" Target="https://mgg.stores-apple.com/catalog/planshet-apple-ipad-air-2025-m3-11-wi-fi-cellular-128-gb-goluboj/" TargetMode="External"/><Relationship Id="rId606" Type="http://schemas.openxmlformats.org/officeDocument/2006/relationships/hyperlink" Target="https://mgg.stores-apple.com/catalog/smartfon-google-pixel-9-pro-xl-16-256-gb-seryi/" TargetMode="External"/><Relationship Id="rId848" Type="http://schemas.openxmlformats.org/officeDocument/2006/relationships/hyperlink" Target="https://mgg.stores-apple.com/catalog/planshet-apple-ipad-air-2025-m3-13-wi-fi-cellular-128-gb-seryj-kosmos/" TargetMode="External"/><Relationship Id="rId605" Type="http://schemas.openxmlformats.org/officeDocument/2006/relationships/hyperlink" Target="https://mgg.stores-apple.com/catalog/smartfon-google-pixel-9-pro-xl-16-256-gb-bezhevyi/" TargetMode="External"/><Relationship Id="rId847" Type="http://schemas.openxmlformats.org/officeDocument/2006/relationships/hyperlink" Target="https://mgg.stores-apple.com/catalog/planshet-apple-ipad-air-2025-m3-13-wi-fi-cellular-128-gb-goluboj/" TargetMode="External"/><Relationship Id="rId604" Type="http://schemas.openxmlformats.org/officeDocument/2006/relationships/hyperlink" Target="https://mgg.stores-apple.com/catalog/smartfon-google-pixel-9-pro-xl-16-128-gb-seryi/" TargetMode="External"/><Relationship Id="rId846" Type="http://schemas.openxmlformats.org/officeDocument/2006/relationships/hyperlink" Target="https://mgg.stores-apple.com/catalog/planshet_apple_ipad_air_2026_m4_11_wi_fi_cellular_128_gb_goluboy/" TargetMode="External"/><Relationship Id="rId603" Type="http://schemas.openxmlformats.org/officeDocument/2006/relationships/hyperlink" Target="https://mgg.stores-apple.com/catalog/smartfon-google-pixel-9-pro-xl-16-128-gb-chernyi/" TargetMode="External"/><Relationship Id="rId845" Type="http://schemas.openxmlformats.org/officeDocument/2006/relationships/hyperlink" Target="https://mgg.stores-apple.com/catalog/planshet_apple_ipad_air_2026_m4_11_wi_fi_cellular_128_gb_seryy_kosmos/" TargetMode="External"/><Relationship Id="rId840" Type="http://schemas.openxmlformats.org/officeDocument/2006/relationships/hyperlink" Target="https://mgg.stores-apple.com/catalog/planshet-apple-ipad-air-2025-m3-11-wi-fi-128-gb-goluboj/" TargetMode="External"/><Relationship Id="rId1430" Type="http://schemas.openxmlformats.org/officeDocument/2006/relationships/hyperlink" Target="https://mgg.stores-apple.com/catalog/besprovodnye-naushniki-apple-airpods-max-lunnyj-svet/" TargetMode="External"/><Relationship Id="rId1431" Type="http://schemas.openxmlformats.org/officeDocument/2006/relationships/hyperlink" Target="https://mgg.stores-apple.com/catalog/besprovodnye-naushniki-apple-airpods-max-sinij/" TargetMode="External"/><Relationship Id="rId1432" Type="http://schemas.openxmlformats.org/officeDocument/2006/relationships/hyperlink" Target="https://mgg.stores-apple.com/catalog/besprovodnye_naushniki_apple_airpods_max_2_fioletovyy/" TargetMode="External"/><Relationship Id="rId1422" Type="http://schemas.openxmlformats.org/officeDocument/2006/relationships/hyperlink" Target="https://mgg.stores-apple.com/catalog/kolonka-yandeks-stanciya-maks-krasnyj/" TargetMode="External"/><Relationship Id="rId1423" Type="http://schemas.openxmlformats.org/officeDocument/2006/relationships/hyperlink" Target="https://mgg.stores-apple.com/catalog/kolonka-yandeks-stanciya-maks-chernyj/" TargetMode="External"/><Relationship Id="rId1424" Type="http://schemas.openxmlformats.org/officeDocument/2006/relationships/hyperlink" Target="https://mgg.stores-apple.com/catalog/kolonka-yandeks-stanciya-maks-zelenyj/" TargetMode="External"/><Relationship Id="rId1425" Type="http://schemas.openxmlformats.org/officeDocument/2006/relationships/hyperlink" Target="https://mgg.stores-apple.com/catalog/kolonka-yandeks-stanciya-maks-bezhevaya/" TargetMode="External"/><Relationship Id="rId1426" Type="http://schemas.openxmlformats.org/officeDocument/2006/relationships/hyperlink" Target="https://mgg.stores-apple.com/catalog/besprovodnye-naushniki-apple-airpods-max-fioletovyj/" TargetMode="External"/><Relationship Id="rId1427" Type="http://schemas.openxmlformats.org/officeDocument/2006/relationships/hyperlink" Target="https://mgg.stores-apple.com/catalog/umnaya-kolonka-apple-homepod-2-belaya/" TargetMode="External"/><Relationship Id="rId1428" Type="http://schemas.openxmlformats.org/officeDocument/2006/relationships/hyperlink" Target="https://mgg.stores-apple.com/catalog/umnaya-kolonka-apple-homepod-2-seraja/" TargetMode="External"/><Relationship Id="rId1429" Type="http://schemas.openxmlformats.org/officeDocument/2006/relationships/hyperlink" Target="https://mgg.stores-apple.com/catalog/besprovodnye-naushniki-apple-airpods-max-apelsin/" TargetMode="External"/><Relationship Id="rId839" Type="http://schemas.openxmlformats.org/officeDocument/2006/relationships/hyperlink" Target="https://mgg.stores-apple.com/catalog/planshet-apple-ipad-pro-2025-m5-13-wi-fi-cellular-2048-gb-serebristyj-nano/" TargetMode="External"/><Relationship Id="rId838" Type="http://schemas.openxmlformats.org/officeDocument/2006/relationships/hyperlink" Target="https://mgg.stores-apple.com/catalog/planshet-apple-ipad-pro-2025-m5-13-wi-fi-cellular-2048-gb-seryj-kosmos-nano/" TargetMode="External"/><Relationship Id="rId833" Type="http://schemas.openxmlformats.org/officeDocument/2006/relationships/hyperlink" Target="https://mgg.stores-apple.com/catalog/planshet-apple-ipad-pro-2024-m4-11-wi-fi-cellular-2048-gb-chernyj-kosmos/" TargetMode="External"/><Relationship Id="rId832" Type="http://schemas.openxmlformats.org/officeDocument/2006/relationships/hyperlink" Target="https://mgg.stores-apple.com/catalog/planshet-apple-ipad-pro-2024-m4-11-wi-fi-cellular-2048-gb-serebristyj/" TargetMode="External"/><Relationship Id="rId831" Type="http://schemas.openxmlformats.org/officeDocument/2006/relationships/hyperlink" Target="https://mgg.stores-apple.com/catalog/planshet-apple-ipad-pro-2025-m5-13-wi-fi-2048-gb-serebristyj/" TargetMode="External"/><Relationship Id="rId830" Type="http://schemas.openxmlformats.org/officeDocument/2006/relationships/hyperlink" Target="https://mgg.stores-apple.com/catalog/planshet-apple-ipad-pro-2025-m5-13-wi-fi-2048-gb-seryj-kosmos/" TargetMode="External"/><Relationship Id="rId837" Type="http://schemas.openxmlformats.org/officeDocument/2006/relationships/hyperlink" Target="https://mgg.stores-apple.com/catalog/planshet-apple-ipad-pro-2025-m5-13-wi-fi-cellular-2048-gb-serebristyj/" TargetMode="External"/><Relationship Id="rId836" Type="http://schemas.openxmlformats.org/officeDocument/2006/relationships/hyperlink" Target="https://mgg.stores-apple.com/catalog/planshet-apple-ipad-pro-2025-m5-13-wi-fi-cellular-2048-gb-seryj-kosmos/" TargetMode="External"/><Relationship Id="rId835" Type="http://schemas.openxmlformats.org/officeDocument/2006/relationships/hyperlink" Target="https://mgg.stores-apple.com/catalog/planshet-apple-ipad-pro-2025-m5-13-wi-fi-2048-gb-serebristyj-nano/" TargetMode="External"/><Relationship Id="rId834" Type="http://schemas.openxmlformats.org/officeDocument/2006/relationships/hyperlink" Target="https://mgg.stores-apple.com/catalog/planshet-apple-ipad-pro-2025-m5-13-wi-fi-2048-gb-seryj-kosmos-nano/" TargetMode="External"/><Relationship Id="rId1420" Type="http://schemas.openxmlformats.org/officeDocument/2006/relationships/hyperlink" Target="https://mgg.stores-apple.com/catalog/kolonka-yandeks-stanciya-2-chernyj-antracit/" TargetMode="External"/><Relationship Id="rId1421" Type="http://schemas.openxmlformats.org/officeDocument/2006/relationships/hyperlink" Target="https://mgg.stores-apple.com/catalog/kolonka-yandeks-stanciya-maks-biryuzovyj/" TargetMode="External"/><Relationship Id="rId1059" Type="http://schemas.openxmlformats.org/officeDocument/2006/relationships/hyperlink" Target="https://mgg.stores-apple.com/catalog/smart-chasy-apple-watch-se-3-40-mm-chernyi-chernyi-m-l-lte/" TargetMode="External"/><Relationship Id="rId228" Type="http://schemas.openxmlformats.org/officeDocument/2006/relationships/hyperlink" Target="https://mgg.stores-apple.com/catalog/smartfon_apple_iphone_18_pro_max_2048_gb_burgundy_burgundi_esim/" TargetMode="External"/><Relationship Id="rId227" Type="http://schemas.openxmlformats.org/officeDocument/2006/relationships/hyperlink" Target="https://mgg.stores-apple.com/catalog/smartfon_apple_iphone_18_pro_max_1024_gb_black_chyernyy_esim/" TargetMode="External"/><Relationship Id="rId469" Type="http://schemas.openxmlformats.org/officeDocument/2006/relationships/hyperlink" Target="https://mgg.stores-apple.com/catalog/smartfon_samsung_galaxy_z_fold_8_16_1024_gb_seryy/" TargetMode="External"/><Relationship Id="rId226" Type="http://schemas.openxmlformats.org/officeDocument/2006/relationships/hyperlink" Target="https://mgg.stores-apple.com/catalog/smartfon_apple_iphone_18_pro_max_1024_gb_silver_serebro_esim/" TargetMode="External"/><Relationship Id="rId468" Type="http://schemas.openxmlformats.org/officeDocument/2006/relationships/hyperlink" Target="https://mgg.stores-apple.com/catalog/smartfon_samsung_galaxy_z_fold_8_16_1024_gb_fioletovyy/" TargetMode="External"/><Relationship Id="rId225" Type="http://schemas.openxmlformats.org/officeDocument/2006/relationships/hyperlink" Target="https://mgg.stores-apple.com/catalog/smartfon_apple_iphone_18_pro_max_1024_gb_glacier_ledyanoy_esim/" TargetMode="External"/><Relationship Id="rId467" Type="http://schemas.openxmlformats.org/officeDocument/2006/relationships/hyperlink" Target="https://mgg.stores-apple.com/catalog/smartfon_samsung_galaxy_z_fold_8_16_1024_gb_bezhevyy/" TargetMode="External"/><Relationship Id="rId1290" Type="http://schemas.openxmlformats.org/officeDocument/2006/relationships/hyperlink" Target="https://mgg.stores-apple.com/catalog/mini-pk-apple-mac-mini-m4-2024-10c-cpu-10c-gpu-16-gb-512-gb-ssd-serebristyy-mu9e3/" TargetMode="External"/><Relationship Id="rId1291" Type="http://schemas.openxmlformats.org/officeDocument/2006/relationships/hyperlink" Target="https://mgg.stores-apple.com/catalog/mini-pk-apple-mac-mini-m4-2024-10c-cpu-10c-gpu-24-gb-512-gb-ssd-serebristyy-mcyt4/" TargetMode="External"/><Relationship Id="rId229" Type="http://schemas.openxmlformats.org/officeDocument/2006/relationships/hyperlink" Target="https://mgg.stores-apple.com/catalog/smartfon_apple_iphone_18_pro_max_2048_gb_glacier_ledyanoy_esim/" TargetMode="External"/><Relationship Id="rId1050" Type="http://schemas.openxmlformats.org/officeDocument/2006/relationships/hyperlink" Target="https://mgg.stores-apple.com/catalog/smart-chasy-apple-watch-series-11-46-mm-alyuminii-chernyi-chernyi-m-l-rezina/" TargetMode="External"/><Relationship Id="rId1292" Type="http://schemas.openxmlformats.org/officeDocument/2006/relationships/hyperlink" Target="https://mgg.stores-apple.com/catalog/mini-pk-apple-mac-mini-m4-pro-2024-12c-cpu-16c-gpu-24-gb-512-gb-ssd-serebristyy-mcx44/" TargetMode="External"/><Relationship Id="rId220" Type="http://schemas.openxmlformats.org/officeDocument/2006/relationships/hyperlink" Target="https://mgg.stores-apple.com/catalog/smartfon_apple_iphone_18_pro_max_512_gb_burgundy_burgundi_esim/" TargetMode="External"/><Relationship Id="rId462" Type="http://schemas.openxmlformats.org/officeDocument/2006/relationships/hyperlink" Target="https://mgg.stores-apple.com/catalog/smartfon_samsung_galaxy_z_fold_8_ultra_12_512_gb_seryy/" TargetMode="External"/><Relationship Id="rId1051" Type="http://schemas.openxmlformats.org/officeDocument/2006/relationships/hyperlink" Target="https://mgg.stores-apple.com/catalog/smart-chasy-apple-watch-series-11-42-mm-alyuminii-zolotistyi-bezhevyi-s-m-rezina/" TargetMode="External"/><Relationship Id="rId1293" Type="http://schemas.openxmlformats.org/officeDocument/2006/relationships/hyperlink" Target="https://mgg.stores-apple.com/catalog/noutbuk-apple-macbook-pro-14-m5-2025-10-core-gpu-16-gb-512-gb-serebristyi-mde44/" TargetMode="External"/><Relationship Id="rId461" Type="http://schemas.openxmlformats.org/officeDocument/2006/relationships/hyperlink" Target="https://mgg.stores-apple.com/catalog/smartfon_samsung_galaxy_z_fold_8_ultra_12_512_gb_bezhevyy/" TargetMode="External"/><Relationship Id="rId1052" Type="http://schemas.openxmlformats.org/officeDocument/2006/relationships/hyperlink" Target="https://mgg.stores-apple.com/catalog/smart-chasy-apple-watch-series-11-42-mm-alyuminii-seryi-chernyi-s-m-rezina/" TargetMode="External"/><Relationship Id="rId1294" Type="http://schemas.openxmlformats.org/officeDocument/2006/relationships/hyperlink" Target="https://mgg.stores-apple.com/catalog/noutbuk-apple-macbook-pro-14-m5-2025-10-core-gpu-16-gb-512-gb-chernyi-mde04/" TargetMode="External"/><Relationship Id="rId460" Type="http://schemas.openxmlformats.org/officeDocument/2006/relationships/hyperlink" Target="https://mgg.stores-apple.com/catalog/smartfon_samsung_galaxy_z_fold_8_ultra_12_512_gb_fioletovyy/" TargetMode="External"/><Relationship Id="rId1053" Type="http://schemas.openxmlformats.org/officeDocument/2006/relationships/hyperlink" Target="https://mgg.stores-apple.com/catalog/smart-chasy-apple-watch-series-11-42-mm-alyuminii-serebristyi-fioletovyi-s-m-rezina/" TargetMode="External"/><Relationship Id="rId1295" Type="http://schemas.openxmlformats.org/officeDocument/2006/relationships/hyperlink" Target="https://mgg.stores-apple.com/catalog/noutbuk-apple-macbook-pro-14-m5-2025-10-core-gpu-16-gb-1000-gb-serebristyi-mde54/" TargetMode="External"/><Relationship Id="rId1054" Type="http://schemas.openxmlformats.org/officeDocument/2006/relationships/hyperlink" Target="https://mgg.stores-apple.com/catalog/smart-chasy-apple-watch-series-11-42-mm-alyuminii-chernyi-chernyi-s-m-rezina/" TargetMode="External"/><Relationship Id="rId1296" Type="http://schemas.openxmlformats.org/officeDocument/2006/relationships/hyperlink" Target="https://mgg.stores-apple.com/catalog/noutbuk-apple-macbook-pro-14-m5-2025-10-core-gpu-16-gb-1000-gb-chernyi-mde14/" TargetMode="External"/><Relationship Id="rId224" Type="http://schemas.openxmlformats.org/officeDocument/2006/relationships/hyperlink" Target="https://mgg.stores-apple.com/catalog/smartfon_apple_iphone_18_pro_max_1024_gb_black_chyernyy_esim/" TargetMode="External"/><Relationship Id="rId466" Type="http://schemas.openxmlformats.org/officeDocument/2006/relationships/hyperlink" Target="https://mgg.stores-apple.com/catalog/smartfon-samsung-galaxy-z-fold7-16-1024-gb-cernyj/" TargetMode="External"/><Relationship Id="rId1055" Type="http://schemas.openxmlformats.org/officeDocument/2006/relationships/hyperlink" Target="https://mgg.stores-apple.com/catalog/smart-chasy-apple-watch-ultra-3-49-mm-chernyi-chernyi-5g/" TargetMode="External"/><Relationship Id="rId1297" Type="http://schemas.openxmlformats.org/officeDocument/2006/relationships/hyperlink" Target="https://mgg.stores-apple.com/catalog/noutbuk-apple-macbook-pro-14-m5-2025-10-core-gpu-24-gb-1024-gb-serebristyi-mde64/" TargetMode="External"/><Relationship Id="rId223" Type="http://schemas.openxmlformats.org/officeDocument/2006/relationships/hyperlink" Target="https://mgg.stores-apple.com/catalog/smartfon_apple_iphone_18_pro_max_512_gb_black_chyernyy_esim/" TargetMode="External"/><Relationship Id="rId465" Type="http://schemas.openxmlformats.org/officeDocument/2006/relationships/hyperlink" Target="https://mgg.stores-apple.com/catalog/smartfon-samsung-galaxy-z-fold7-16-1024-gb-miatnyj/" TargetMode="External"/><Relationship Id="rId1056" Type="http://schemas.openxmlformats.org/officeDocument/2006/relationships/hyperlink" Target="https://mgg.stores-apple.com/catalog/smart-chasy-apple-watch-se-3-40-mm-bezhevyi-zheltyi-s-m-lte/" TargetMode="External"/><Relationship Id="rId1298" Type="http://schemas.openxmlformats.org/officeDocument/2006/relationships/hyperlink" Target="https://mgg.stores-apple.com/catalog/noutbuk-apple-macbook-pro-14-m5-2025-10-core-gpu-24-gb-1000-gb-chernyi-mde34/" TargetMode="External"/><Relationship Id="rId222" Type="http://schemas.openxmlformats.org/officeDocument/2006/relationships/hyperlink" Target="https://mgg.stores-apple.com/catalog/smartfon_apple_iphone_18_pro_max_512_gb_silver_serebro_esim/" TargetMode="External"/><Relationship Id="rId464" Type="http://schemas.openxmlformats.org/officeDocument/2006/relationships/hyperlink" Target="https://mgg.stores-apple.com/catalog/smartfon-samsung-galaxy-z-fold7-16-1024-gb-sinij/" TargetMode="External"/><Relationship Id="rId1057" Type="http://schemas.openxmlformats.org/officeDocument/2006/relationships/hyperlink" Target="https://mgg.stores-apple.com/catalog/smart-chasy-apple-watch-se-3-40-mm-bezhevyi-zheltyi-m-l-lte/" TargetMode="External"/><Relationship Id="rId1299" Type="http://schemas.openxmlformats.org/officeDocument/2006/relationships/hyperlink" Target="https://mgg.stores-apple.com/catalog/konvert_gurdini_felt_dlya_macbook_air_13_neo_seryy/" TargetMode="External"/><Relationship Id="rId221" Type="http://schemas.openxmlformats.org/officeDocument/2006/relationships/hyperlink" Target="https://mgg.stores-apple.com/catalog/smartfon_apple_iphone_18_pro_max_512_gb_glacier_ledyanoy_esim/" TargetMode="External"/><Relationship Id="rId463" Type="http://schemas.openxmlformats.org/officeDocument/2006/relationships/hyperlink" Target="https://mgg.stores-apple.com/catalog/smartfon-samsung-galaxy-z-fold7-16-1024-gb-seryj/" TargetMode="External"/><Relationship Id="rId1058" Type="http://schemas.openxmlformats.org/officeDocument/2006/relationships/hyperlink" Target="https://mgg.stores-apple.com/catalog/smart-chasy-apple-watch-se-3-40-mm-chernyi-sinii-m-l-lte/" TargetMode="External"/><Relationship Id="rId1048" Type="http://schemas.openxmlformats.org/officeDocument/2006/relationships/hyperlink" Target="https://mgg.stores-apple.com/catalog/smart-chasy-apple-watch-series-11-46-mm-alyuminii-seryi-chernyi-m-l-rezina/" TargetMode="External"/><Relationship Id="rId1049" Type="http://schemas.openxmlformats.org/officeDocument/2006/relationships/hyperlink" Target="https://mgg.stores-apple.com/catalog/smart-chasy-apple-watch-series-11-46-mm-alyuminii-serebristyi-fioletovyi-m-l-rezina/" TargetMode="External"/><Relationship Id="rId217" Type="http://schemas.openxmlformats.org/officeDocument/2006/relationships/hyperlink" Target="https://mgg.stores-apple.com/catalog/smartfon_apple_iphone_18_pro_max_256_gb_glacier_ledyanoy_esim/" TargetMode="External"/><Relationship Id="rId459" Type="http://schemas.openxmlformats.org/officeDocument/2006/relationships/hyperlink" Target="https://mgg.stores-apple.com/catalog/smartfon_samsung_galaxy_z_fold_8_ultra_12_256_gb_bezhevyy/" TargetMode="External"/><Relationship Id="rId216" Type="http://schemas.openxmlformats.org/officeDocument/2006/relationships/hyperlink" Target="https://mgg.stores-apple.com/catalog/smartfon_apple_iphone_18_pro_max_256_gb_dark_cherry_tyemnaya_vishnya_esim_/" TargetMode="External"/><Relationship Id="rId458" Type="http://schemas.openxmlformats.org/officeDocument/2006/relationships/hyperlink" Target="https://mgg.stores-apple.com/catalog/smartfon_samsung_galaxy_z_fold_8_12_512_gb_seryy/" TargetMode="External"/><Relationship Id="rId215" Type="http://schemas.openxmlformats.org/officeDocument/2006/relationships/hyperlink" Target="https://mgg.stores-apple.com/catalog/smartfon_apple_iphone_18_pro_2048_gb_dark_grey_tyemno_seryy/" TargetMode="External"/><Relationship Id="rId457" Type="http://schemas.openxmlformats.org/officeDocument/2006/relationships/hyperlink" Target="https://mgg.stores-apple.com/catalog/smartfon_samsung_galaxy_z_fold_8_12_512_gb_bezhevyy/" TargetMode="External"/><Relationship Id="rId699" Type="http://schemas.openxmlformats.org/officeDocument/2006/relationships/hyperlink" Target="https://mgg.stores-apple.com/catalog/smartfon_poco_x8_pro_8_256_gb_chernyy/" TargetMode="External"/><Relationship Id="rId214" Type="http://schemas.openxmlformats.org/officeDocument/2006/relationships/hyperlink" Target="https://mgg.stores-apple.com/catalog/smartfon_apple_iphone_18_pro_2048_gb_silver_serebro/" TargetMode="External"/><Relationship Id="rId456" Type="http://schemas.openxmlformats.org/officeDocument/2006/relationships/hyperlink" Target="https://mgg.stores-apple.com/catalog/smartfon_samsung_galaxy_z_fold_8_ultra_12_256_gb_fioletovyy/" TargetMode="External"/><Relationship Id="rId698" Type="http://schemas.openxmlformats.org/officeDocument/2006/relationships/hyperlink" Target="https://mgg.stores-apple.com/catalog/smartfon_poco_x8_pro_8_256_gb_belyy/" TargetMode="External"/><Relationship Id="rId219" Type="http://schemas.openxmlformats.org/officeDocument/2006/relationships/hyperlink" Target="https://mgg.stores-apple.com/catalog/smartfon_apple_iphone_18_pro_max_256_gb_dark_grey_tyemno_seryy_esim/" TargetMode="External"/><Relationship Id="rId1280" Type="http://schemas.openxmlformats.org/officeDocument/2006/relationships/hyperlink" Target="https://mgg.stores-apple.com/catalog/noutbuk_apple_macbook_air_13_m5_2026_24_gb_1024_gb_ssd_siyayushchaya_zvezda/" TargetMode="External"/><Relationship Id="rId218" Type="http://schemas.openxmlformats.org/officeDocument/2006/relationships/hyperlink" Target="https://mgg.stores-apple.com/catalog/smartfon_apple_iphone_18_pro_max_256_gb_silver_serebro_esim/" TargetMode="External"/><Relationship Id="rId1281" Type="http://schemas.openxmlformats.org/officeDocument/2006/relationships/hyperlink" Target="https://mgg.stores-apple.com/catalog/noutbuk_apple_macbook_air_15_m5_2026_16_gb_1024_gb_ssd_serebristyy/" TargetMode="External"/><Relationship Id="rId451" Type="http://schemas.openxmlformats.org/officeDocument/2006/relationships/hyperlink" Target="https://mgg.stores-apple.com/catalog/smartfon-samsung-galaxy-z-fold7-12-512-gb-sinij/" TargetMode="External"/><Relationship Id="rId693" Type="http://schemas.openxmlformats.org/officeDocument/2006/relationships/hyperlink" Target="https://mgg.stores-apple.com/catalog/smartfon_poco_m8_8_512_gb_serebristyy/" TargetMode="External"/><Relationship Id="rId1040" Type="http://schemas.openxmlformats.org/officeDocument/2006/relationships/hyperlink" Target="https://mgg.stores-apple.com/catalog/stilus-apple-pencil-pro/" TargetMode="External"/><Relationship Id="rId1282" Type="http://schemas.openxmlformats.org/officeDocument/2006/relationships/hyperlink" Target="https://mgg.stores-apple.com/catalog/noutbuk_apple_macbook_air_15_m5_2026_16_gb_1024_gb_ssd_siyayushchaya_zvezda/" TargetMode="External"/><Relationship Id="rId450" Type="http://schemas.openxmlformats.org/officeDocument/2006/relationships/hyperlink" Target="https://mgg.stores-apple.com/catalog/smartfon-samsung-galaxy-z-fold7-12-512-gb-seryj/" TargetMode="External"/><Relationship Id="rId692" Type="http://schemas.openxmlformats.org/officeDocument/2006/relationships/hyperlink" Target="https://mgg.stores-apple.com/catalog/smartfon_poco_m8_8_512_gb_chernyy/" TargetMode="External"/><Relationship Id="rId1041" Type="http://schemas.openxmlformats.org/officeDocument/2006/relationships/hyperlink" Target="https://mgg.stores-apple.com/catalog/klaviatura_magic_keyboard_dlya_ipad_air_13_white_mwr43_2024_/" TargetMode="External"/><Relationship Id="rId1283" Type="http://schemas.openxmlformats.org/officeDocument/2006/relationships/hyperlink" Target="https://mgg.stores-apple.com/catalog/noutbuk_apple_macbook_air_15_m5_2026_16_gb_1024_gb_ssd_nebesno_goluboy/" TargetMode="External"/><Relationship Id="rId691" Type="http://schemas.openxmlformats.org/officeDocument/2006/relationships/hyperlink" Target="https://mgg.stores-apple.com/catalog/smartfon_poco_m8_8_512_gb_zelenyy/" TargetMode="External"/><Relationship Id="rId1042" Type="http://schemas.openxmlformats.org/officeDocument/2006/relationships/hyperlink" Target="https://mgg.stores-apple.com/catalog/klaviatura_magic_keyboard_dlya_ipad_air_13_chernaya_mjqk3/" TargetMode="External"/><Relationship Id="rId1284" Type="http://schemas.openxmlformats.org/officeDocument/2006/relationships/hyperlink" Target="https://mgg.stores-apple.com/catalog/noutbuk_apple_macbook_air_15_m5_2026_16_gb_1024_gb_ssd_temnaya_noch/" TargetMode="External"/><Relationship Id="rId690" Type="http://schemas.openxmlformats.org/officeDocument/2006/relationships/hyperlink" Target="https://mgg.stores-apple.com/catalog/smartfon-poco-x7-pro-12-256gb-zelenyy/" TargetMode="External"/><Relationship Id="rId1043" Type="http://schemas.openxmlformats.org/officeDocument/2006/relationships/hyperlink" Target="https://mgg.stores-apple.com/catalog/smart-chasy-apple-watch-se-3-40-mm-bezhevyi-bezhevyi-s-m-gps/" TargetMode="External"/><Relationship Id="rId1285" Type="http://schemas.openxmlformats.org/officeDocument/2006/relationships/hyperlink" Target="https://mgg.stores-apple.com/catalog/noutbuk_apple_macbook_air_15_m5_2026_24_gb_1024_gb_ssd_serebristyy/" TargetMode="External"/><Relationship Id="rId213" Type="http://schemas.openxmlformats.org/officeDocument/2006/relationships/hyperlink" Target="https://mgg.stores-apple.com/catalog/smartfon_apple_iphone_18_pro_2048_gb_blue_goluboy/" TargetMode="External"/><Relationship Id="rId455" Type="http://schemas.openxmlformats.org/officeDocument/2006/relationships/hyperlink" Target="https://mgg.stores-apple.com/catalog/smartfon_samsung_galaxy_z_fold_8_ultra_12_256_gb_seryy/" TargetMode="External"/><Relationship Id="rId697" Type="http://schemas.openxmlformats.org/officeDocument/2006/relationships/hyperlink" Target="https://mgg.stores-apple.com/catalog/smartfon_poco_x8_pro_8_256_gb_zelenyy/" TargetMode="External"/><Relationship Id="rId1044" Type="http://schemas.openxmlformats.org/officeDocument/2006/relationships/hyperlink" Target="https://mgg.stores-apple.com/catalog/smart-chasy-apple-watch-se-3-40-mm-chernyi-chernyi-s-m-gps/" TargetMode="External"/><Relationship Id="rId1286" Type="http://schemas.openxmlformats.org/officeDocument/2006/relationships/hyperlink" Target="https://mgg.stores-apple.com/catalog/noutbuk_apple_macbook_air_15_m5_2026_24_gb_1024_gb_ssd_siyayushchaya_zvezda/" TargetMode="External"/><Relationship Id="rId212" Type="http://schemas.openxmlformats.org/officeDocument/2006/relationships/hyperlink" Target="https://mgg.stores-apple.com/catalog/smartfon_apple_iphone_18_pro_2048_gb_dark_cherry_tyemnaya_vishnya/" TargetMode="External"/><Relationship Id="rId454" Type="http://schemas.openxmlformats.org/officeDocument/2006/relationships/hyperlink" Target="https://mgg.stores-apple.com/catalog/smartfon_samsung_galaxy_z_fold_8_12_512_gb_fioletovyy/" TargetMode="External"/><Relationship Id="rId696" Type="http://schemas.openxmlformats.org/officeDocument/2006/relationships/hyperlink" Target="https://mgg.stores-apple.com/catalog/smartfon-poco-x7-pro-12-512gb-chernyy/" TargetMode="External"/><Relationship Id="rId1045" Type="http://schemas.openxmlformats.org/officeDocument/2006/relationships/hyperlink" Target="https://mgg.stores-apple.com/catalog/smart-chasy-apple-watch-se-3-44-mm-chernyi-chernyi-m-l-gps/" TargetMode="External"/><Relationship Id="rId1287" Type="http://schemas.openxmlformats.org/officeDocument/2006/relationships/hyperlink" Target="https://mgg.stores-apple.com/catalog/noutbuk_apple_macbook_air_15_m5_2026_24_gb_1024_gb_ssd_temnaya_noch/" TargetMode="External"/><Relationship Id="rId211" Type="http://schemas.openxmlformats.org/officeDocument/2006/relationships/hyperlink" Target="https://mgg.stores-apple.com/catalog/smartfon_apple_iphone_18_pro_1024_gb_dark_grey_tyemno_seryy/" TargetMode="External"/><Relationship Id="rId453" Type="http://schemas.openxmlformats.org/officeDocument/2006/relationships/hyperlink" Target="https://mgg.stores-apple.com/catalog/smartfon-samsung-galaxy-z-fold7-12-512-gb-cernyj/" TargetMode="External"/><Relationship Id="rId695" Type="http://schemas.openxmlformats.org/officeDocument/2006/relationships/hyperlink" Target="https://mgg.stores-apple.com/catalog/smartfon-poco-x7-pro-12-512gb-zelenyy/" TargetMode="External"/><Relationship Id="rId1046" Type="http://schemas.openxmlformats.org/officeDocument/2006/relationships/hyperlink" Target="https://mgg.stores-apple.com/catalog/smart-chasy-apple-watch-se-3-44-mm-bezhevyi-bezhevyi-m-l-gps/" TargetMode="External"/><Relationship Id="rId1288" Type="http://schemas.openxmlformats.org/officeDocument/2006/relationships/hyperlink" Target="https://mgg.stores-apple.com/catalog/noutbuk_apple_macbook_air_15_m5_2026_24_gb_1024_gb_ssd_nebesno_goluboy/" TargetMode="External"/><Relationship Id="rId210" Type="http://schemas.openxmlformats.org/officeDocument/2006/relationships/hyperlink" Target="https://mgg.stores-apple.com/catalog/smartfon_apple_iphone_18_pro_1024_gb_silver_serebro/" TargetMode="External"/><Relationship Id="rId452" Type="http://schemas.openxmlformats.org/officeDocument/2006/relationships/hyperlink" Target="https://mgg.stores-apple.com/catalog/smartfon-samsung-galaxy-z-fold7-12-512-gb-miatnyj/" TargetMode="External"/><Relationship Id="rId694" Type="http://schemas.openxmlformats.org/officeDocument/2006/relationships/hyperlink" Target="https://mgg.stores-apple.com/catalog/smartfon-poco-x7-pro-12-512gb-zheltyy/" TargetMode="External"/><Relationship Id="rId1047" Type="http://schemas.openxmlformats.org/officeDocument/2006/relationships/hyperlink" Target="https://mgg.stores-apple.com/catalog/smart-chasy-apple-watch-series-11-46-mm-alyuminii-zolotistyi-bezhevyi-m-l-rezina/" TargetMode="External"/><Relationship Id="rId1289" Type="http://schemas.openxmlformats.org/officeDocument/2006/relationships/hyperlink" Target="https://mgg.stores-apple.com/catalog/mini-pk-apple-mac-mini-m4-2024-10c-cpu-10c-gpu-16-gb-256-gb-ssd-serebristyy-mu9d3/" TargetMode="External"/><Relationship Id="rId491" Type="http://schemas.openxmlformats.org/officeDocument/2006/relationships/hyperlink" Target="https://mgg.stores-apple.com/catalog/igrovaya-pristavka-sony-playstation-5-825gb-s-diskovodom-cfi-1118a/" TargetMode="External"/><Relationship Id="rId490" Type="http://schemas.openxmlformats.org/officeDocument/2006/relationships/hyperlink" Target="https://mgg.stores-apple.com/catalog/sony-playstation-5-cfi-1118b/" TargetMode="External"/><Relationship Id="rId249" Type="http://schemas.openxmlformats.org/officeDocument/2006/relationships/hyperlink" Target="https://mgg.stores-apple.com/catalog/smartfon_apple_iphone_duo_256_gb_night_sky_nochnoe_nebo/" TargetMode="External"/><Relationship Id="rId248" Type="http://schemas.openxmlformats.org/officeDocument/2006/relationships/hyperlink" Target="https://mgg.stores-apple.com/catalog/smartfon_apple_iphone_duo_256_gb_star_white_belaya_zvezda/" TargetMode="External"/><Relationship Id="rId247" Type="http://schemas.openxmlformats.org/officeDocument/2006/relationships/hyperlink" Target="https://mgg.stores-apple.com/catalog/smartfon_apple_iphone_18_pro_max_2048_gb_dark_grey_tyemno_seryy/" TargetMode="External"/><Relationship Id="rId489" Type="http://schemas.openxmlformats.org/officeDocument/2006/relationships/hyperlink" Target="https://mgg.stores-apple.com/catalog/sony_playstation_portal_chernyy/" TargetMode="External"/><Relationship Id="rId1070" Type="http://schemas.openxmlformats.org/officeDocument/2006/relationships/hyperlink" Target="https://mgg.stores-apple.com/catalog/smart-chasy-apple-watch-se-3-44-mm-chernyi-sinii-m-l-gps/" TargetMode="External"/><Relationship Id="rId1071" Type="http://schemas.openxmlformats.org/officeDocument/2006/relationships/hyperlink" Target="https://mgg.stores-apple.com/catalog/smart-chasy-apple-watch-se-3-44-mm-bezhevyi-zheltyi-m-l-gps/" TargetMode="External"/><Relationship Id="rId1072" Type="http://schemas.openxmlformats.org/officeDocument/2006/relationships/hyperlink" Target="https://mgg.stores-apple.com/catalog/smart-chasy-apple-watch-se-3-44-mm-bezhevyi-zheltyi-m-l-lte/" TargetMode="External"/><Relationship Id="rId242" Type="http://schemas.openxmlformats.org/officeDocument/2006/relationships/hyperlink" Target="https://mgg.stores-apple.com/catalog/smartfon_apple_iphone_18_pro_max_1024_gb_silver_serebro/" TargetMode="External"/><Relationship Id="rId484" Type="http://schemas.openxmlformats.org/officeDocument/2006/relationships/hyperlink" Target="https://mgg.stores-apple.com/catalog/geympad-sony-dualsense-dlya-ps5-zvezdnyy-siniy/" TargetMode="External"/><Relationship Id="rId1073" Type="http://schemas.openxmlformats.org/officeDocument/2006/relationships/hyperlink" Target="https://mgg.stores-apple.com/catalog/smart-chasy-apple-watch-se-3-44-mm-bezhevyi-zheltyi-s-m-lte/" TargetMode="External"/><Relationship Id="rId241" Type="http://schemas.openxmlformats.org/officeDocument/2006/relationships/hyperlink" Target="https://mgg.stores-apple.com/catalog/smartfon_apple_iphone_18_pro_max_1024_gb_blue_goluboy/" TargetMode="External"/><Relationship Id="rId483" Type="http://schemas.openxmlformats.org/officeDocument/2006/relationships/hyperlink" Target="https://mgg.stores-apple.com/catalog/zaryadnaya_stantsiya_playstation_dualsense_charging_station/" TargetMode="External"/><Relationship Id="rId1074" Type="http://schemas.openxmlformats.org/officeDocument/2006/relationships/hyperlink" Target="https://mgg.stores-apple.com/catalog/smart-chasy-apple-watch-se-3-44-mm-bezhevyi-bezhevyi-m-l-lte/" TargetMode="External"/><Relationship Id="rId240" Type="http://schemas.openxmlformats.org/officeDocument/2006/relationships/hyperlink" Target="https://mgg.stores-apple.com/catalog/smartfon_apple_iphone_18_pro_max_1024_gb_dark_cherry_tyemnaya_vishnya/" TargetMode="External"/><Relationship Id="rId482" Type="http://schemas.openxmlformats.org/officeDocument/2006/relationships/hyperlink" Target="https://mgg.stores-apple.com/catalog/igrovaya-pristavka-sony-playstation-5-slim-s-diskovodom/" TargetMode="External"/><Relationship Id="rId1075" Type="http://schemas.openxmlformats.org/officeDocument/2006/relationships/hyperlink" Target="https://mgg.stores-apple.com/catalog/smart-chasy-apple-watch-se-3-44-mm-chernyi-sinii-s-m-lte/" TargetMode="External"/><Relationship Id="rId481" Type="http://schemas.openxmlformats.org/officeDocument/2006/relationships/hyperlink" Target="https://mgg.stores-apple.com/catalog/geympad_sony_dualsense_dlya_ps5_belyy/" TargetMode="External"/><Relationship Id="rId1076" Type="http://schemas.openxmlformats.org/officeDocument/2006/relationships/hyperlink" Target="https://mgg.stores-apple.com/catalog/smart-chasy-apple-watch-se-3-44-mm-chernyi-sinii-m-l-lte/" TargetMode="External"/><Relationship Id="rId246" Type="http://schemas.openxmlformats.org/officeDocument/2006/relationships/hyperlink" Target="https://mgg.stores-apple.com/catalog/smartfon_apple_iphone_18_pro_max_2048_gb_silver_serebro/" TargetMode="External"/><Relationship Id="rId488" Type="http://schemas.openxmlformats.org/officeDocument/2006/relationships/hyperlink" Target="https://mgg.stores-apple.com/catalog/sony_playstation_portal_belyy/" TargetMode="External"/><Relationship Id="rId1077" Type="http://schemas.openxmlformats.org/officeDocument/2006/relationships/hyperlink" Target="https://mgg.stores-apple.com/catalog/smart-chasy-apple-watch-se-3-44-mm-chernyi-chernyi-s-m-lte/" TargetMode="External"/><Relationship Id="rId245" Type="http://schemas.openxmlformats.org/officeDocument/2006/relationships/hyperlink" Target="https://mgg.stores-apple.com/catalog/smartfon_apple_iphone_18_pro_max_2048_gb_blue_goluboy/" TargetMode="External"/><Relationship Id="rId487" Type="http://schemas.openxmlformats.org/officeDocument/2006/relationships/hyperlink" Target="https://mgg.stores-apple.com/catalog/diskovod_dlya_pristavki_sony_disc_drive_dlya_playstation_5_slim_pro/" TargetMode="External"/><Relationship Id="rId1078" Type="http://schemas.openxmlformats.org/officeDocument/2006/relationships/hyperlink" Target="https://mgg.stores-apple.com/catalog/smart-chasy-apple-watch-se-3-44-mm-chernyi-chernyi-m-l-lte/" TargetMode="External"/><Relationship Id="rId244" Type="http://schemas.openxmlformats.org/officeDocument/2006/relationships/hyperlink" Target="https://mgg.stores-apple.com/catalog/smartfon_apple_iphone_18_pro_max_2048_gb_dark_cherry_tyemnaya_vishnya/" TargetMode="External"/><Relationship Id="rId486" Type="http://schemas.openxmlformats.org/officeDocument/2006/relationships/hyperlink" Target="https://mgg.stores-apple.com/catalog/geympad-sony-dualsense-dlya-ps5-cobalt-blue/" TargetMode="External"/><Relationship Id="rId1079" Type="http://schemas.openxmlformats.org/officeDocument/2006/relationships/hyperlink" Target="https://mgg.stores-apple.com/catalog/smart-chasy-apple-watch-se-3-44-mm-bezhevyi-zheltyi-s-m-gps/" TargetMode="External"/><Relationship Id="rId243" Type="http://schemas.openxmlformats.org/officeDocument/2006/relationships/hyperlink" Target="https://mgg.stores-apple.com/catalog/smartfon_apple_iphone_18_pro_max_1024_gb_dark_grey_tyemno_seryy/" TargetMode="External"/><Relationship Id="rId485" Type="http://schemas.openxmlformats.org/officeDocument/2006/relationships/hyperlink" Target="https://mgg.stores-apple.com/catalog/geympad-sony-dualsense-dlya-ps5-cosmis-red/" TargetMode="External"/><Relationship Id="rId480" Type="http://schemas.openxmlformats.org/officeDocument/2006/relationships/hyperlink" Target="https://mgg.stores-apple.com/catalog/geympad-sony-dualsense-dlya-ps5-midnight-black/" TargetMode="External"/><Relationship Id="rId239" Type="http://schemas.openxmlformats.org/officeDocument/2006/relationships/hyperlink" Target="https://mgg.stores-apple.com/catalog/smartfon_apple_iphone_18_pro_max_512_gb_dark_cherry_tyemnaya_vishnya/" TargetMode="External"/><Relationship Id="rId238" Type="http://schemas.openxmlformats.org/officeDocument/2006/relationships/hyperlink" Target="https://mgg.stores-apple.com/catalog/smartfon_apple_iphone_18_pro_max_512_gb_blue_goluboy/" TargetMode="External"/><Relationship Id="rId237" Type="http://schemas.openxmlformats.org/officeDocument/2006/relationships/hyperlink" Target="https://mgg.stores-apple.com/catalog/smartfon_apple_iphone_18_pro_max_512_gb_dark_grey_tyemno_seryy/" TargetMode="External"/><Relationship Id="rId479" Type="http://schemas.openxmlformats.org/officeDocument/2006/relationships/hyperlink" Target="https://mgg.stores-apple.com/catalog/smartfon-nothing-phone-3a-pro-12-256-gb-chernyy/" TargetMode="External"/><Relationship Id="rId236" Type="http://schemas.openxmlformats.org/officeDocument/2006/relationships/hyperlink" Target="https://mgg.stores-apple.com/catalog/smartfon_apple_iphone_18_pro_max_512_gb_silver_serebro/" TargetMode="External"/><Relationship Id="rId478" Type="http://schemas.openxmlformats.org/officeDocument/2006/relationships/hyperlink" Target="https://mgg.stores-apple.com/catalog/smartfon-nothing-phone-3a-pro-12-256-gb-seryy/" TargetMode="External"/><Relationship Id="rId1060" Type="http://schemas.openxmlformats.org/officeDocument/2006/relationships/hyperlink" Target="https://mgg.stores-apple.com/catalog/smart-chasy-apple-watch-se-3-40-mm-chernyi-chernyi-s-m-lte/" TargetMode="External"/><Relationship Id="rId1061" Type="http://schemas.openxmlformats.org/officeDocument/2006/relationships/hyperlink" Target="https://mgg.stores-apple.com/catalog/smart-chasy-apple-watch-se-3-40-mm-chernyi-sinii-s-m-lte/" TargetMode="External"/><Relationship Id="rId231" Type="http://schemas.openxmlformats.org/officeDocument/2006/relationships/hyperlink" Target="https://mgg.stores-apple.com/catalog/smartfon_apple_iphone_18_pro_max_2048_gb_black_chyernyy_esim/" TargetMode="External"/><Relationship Id="rId473" Type="http://schemas.openxmlformats.org/officeDocument/2006/relationships/hyperlink" Target="https://mgg.stores-apple.com/catalog/smartfon-nothing-phone-3a-8-128-gb-chernyy/" TargetMode="External"/><Relationship Id="rId1062" Type="http://schemas.openxmlformats.org/officeDocument/2006/relationships/hyperlink" Target="https://mgg.stores-apple.com/catalog/smart-chasy-apple-watch-se-3-40-mm-chernyi-sinii-s-m-gps/" TargetMode="External"/><Relationship Id="rId230" Type="http://schemas.openxmlformats.org/officeDocument/2006/relationships/hyperlink" Target="https://mgg.stores-apple.com/catalog/smartfon_apple_iphone_18_pro_max_2048_gb_silver_serebro_esim/" TargetMode="External"/><Relationship Id="rId472" Type="http://schemas.openxmlformats.org/officeDocument/2006/relationships/hyperlink" Target="https://mgg.stores-apple.com/catalog/smartfon_samsung_galaxy_z_fold_8_ultra_16_1024_gb_bezhevyy/" TargetMode="External"/><Relationship Id="rId1063" Type="http://schemas.openxmlformats.org/officeDocument/2006/relationships/hyperlink" Target="https://mgg.stores-apple.com/catalog/smart-chasy-apple-watch-se-3-40-mm-bezhevyi-zheltyi-s-m-gps/" TargetMode="External"/><Relationship Id="rId471" Type="http://schemas.openxmlformats.org/officeDocument/2006/relationships/hyperlink" Target="https://mgg.stores-apple.com/catalog/smartfon_samsung_galaxy_z_fold_8_ultra_16_1024_gb_fioletovyy/" TargetMode="External"/><Relationship Id="rId1064" Type="http://schemas.openxmlformats.org/officeDocument/2006/relationships/hyperlink" Target="https://mgg.stores-apple.com/catalog/smart-chasy-apple-watch-se-3-44-mm-bezhevyi-bezhevyi-s-m-gps/" TargetMode="External"/><Relationship Id="rId470" Type="http://schemas.openxmlformats.org/officeDocument/2006/relationships/hyperlink" Target="https://mgg.stores-apple.com/catalog/smartfon_samsung_galaxy_z_fold_8_ultra_16_1024_gb_seryy/" TargetMode="External"/><Relationship Id="rId1065" Type="http://schemas.openxmlformats.org/officeDocument/2006/relationships/hyperlink" Target="https://mgg.stores-apple.com/catalog/smart-chasy-apple-watch-se-3-40-mm-bezhevyi-bezhevyi-m-l-gps/" TargetMode="External"/><Relationship Id="rId235" Type="http://schemas.openxmlformats.org/officeDocument/2006/relationships/hyperlink" Target="https://mgg.stores-apple.com/catalog/smartfon_apple_iphone_18_pro_max_256_gb_dark_cherry_tyemnaya_vishnya/" TargetMode="External"/><Relationship Id="rId477" Type="http://schemas.openxmlformats.org/officeDocument/2006/relationships/hyperlink" Target="https://mgg.stores-apple.com/catalog/smartfon_nothing_phone_3a_12_256_gb_siniy/" TargetMode="External"/><Relationship Id="rId1066" Type="http://schemas.openxmlformats.org/officeDocument/2006/relationships/hyperlink" Target="https://mgg.stores-apple.com/catalog/smart-chasy-apple-watch-se-3-40-mm-bezhevyi-zheltyi-m-l-gps/" TargetMode="External"/><Relationship Id="rId234" Type="http://schemas.openxmlformats.org/officeDocument/2006/relationships/hyperlink" Target="https://mgg.stores-apple.com/catalog/smartfon_apple_iphone_18_pro_max_256_gb_dark_grey_tyemno_seryy/" TargetMode="External"/><Relationship Id="rId476" Type="http://schemas.openxmlformats.org/officeDocument/2006/relationships/hyperlink" Target="https://mgg.stores-apple.com/catalog/smartfon-nothing-phone-3a-12-256-gb-chernyy/" TargetMode="External"/><Relationship Id="rId1067" Type="http://schemas.openxmlformats.org/officeDocument/2006/relationships/hyperlink" Target="https://mgg.stores-apple.com/catalog/smart-chasy-apple-watch-se-3-40-mm-chernyi-chernyi-m-l-gps/" TargetMode="External"/><Relationship Id="rId233" Type="http://schemas.openxmlformats.org/officeDocument/2006/relationships/hyperlink" Target="https://mgg.stores-apple.com/catalog/smartfon_apple_iphone_18_pro_max_256_gb_silver_serebro/" TargetMode="External"/><Relationship Id="rId475" Type="http://schemas.openxmlformats.org/officeDocument/2006/relationships/hyperlink" Target="https://mgg.stores-apple.com/catalog/smartfon-nothing-phone-3a-12-256-gb-belyy/" TargetMode="External"/><Relationship Id="rId1068" Type="http://schemas.openxmlformats.org/officeDocument/2006/relationships/hyperlink" Target="https://mgg.stores-apple.com/catalog/smart-chasy-apple-watch-se-3-40-mm-chernyi-sinii-m-l-gps/" TargetMode="External"/><Relationship Id="rId232" Type="http://schemas.openxmlformats.org/officeDocument/2006/relationships/hyperlink" Target="https://mgg.stores-apple.com/catalog/smartfon_apple_iphone_18_pro_max_256_gb_blue_goluboy/" TargetMode="External"/><Relationship Id="rId474" Type="http://schemas.openxmlformats.org/officeDocument/2006/relationships/hyperlink" Target="https://mgg.stores-apple.com/catalog/smartfon-nothing-phone-3a-8-128-gb-belyy/" TargetMode="External"/><Relationship Id="rId1069" Type="http://schemas.openxmlformats.org/officeDocument/2006/relationships/hyperlink" Target="https://mgg.stores-apple.com/catalog/smart-chasy-apple-watch-se-3-44-mm-chernyi-chernyi-s-m-gps/" TargetMode="External"/><Relationship Id="rId1015" Type="http://schemas.openxmlformats.org/officeDocument/2006/relationships/hyperlink" Target="https://mgg.stores-apple.com/catalog/planshet-samsung-galaxy-tab-s11-ultra-wifi-512-gb-serebro/" TargetMode="External"/><Relationship Id="rId1257" Type="http://schemas.openxmlformats.org/officeDocument/2006/relationships/hyperlink" Target="https://mgg.stores-apple.com/catalog/noutbuk-apple-macbook-air-13-m4-2025-10c-cpu-10c-gpu-24gb-512-gb-ssd-goluboe-nebo-mc6v4/" TargetMode="External"/><Relationship Id="rId1016" Type="http://schemas.openxmlformats.org/officeDocument/2006/relationships/hyperlink" Target="https://mgg.stores-apple.com/catalog/planshet-samsung-galaxy-tab-s11-ultra-lte-256-gb-serebro/" TargetMode="External"/><Relationship Id="rId1258" Type="http://schemas.openxmlformats.org/officeDocument/2006/relationships/hyperlink" Target="https://mgg.stores-apple.com/catalog/noutbuk-apple-macbook-air-15-m4-2025-10c-cpu-10c-gpu-16gb-512-gb-ssd-siyayushchaya-zvezda-mw1k3/" TargetMode="External"/><Relationship Id="rId1017" Type="http://schemas.openxmlformats.org/officeDocument/2006/relationships/hyperlink" Target="https://mgg.stores-apple.com/catalog/planshet-samsung-galaxy-tab-s11-ultra-lte-256-gb-seryy/" TargetMode="External"/><Relationship Id="rId1259" Type="http://schemas.openxmlformats.org/officeDocument/2006/relationships/hyperlink" Target="https://mgg.stores-apple.com/catalog/noutbuk-apple-macbook-air-15-m4-2025-10c-cpu-10c-gpu-16gb-512-gb-ssd-goluboe-nebo-mc7c4/" TargetMode="External"/><Relationship Id="rId1018" Type="http://schemas.openxmlformats.org/officeDocument/2006/relationships/hyperlink" Target="https://mgg.stores-apple.com/catalog/planshet-samsung-galaxy-tab-s11-ultra-lte-512-gb-seryy/" TargetMode="External"/><Relationship Id="rId1019" Type="http://schemas.openxmlformats.org/officeDocument/2006/relationships/hyperlink" Target="https://mgg.stores-apple.com/catalog/planshet-samsung-galaxy-tab-s11-ultra-lte-512-gb-serebro/" TargetMode="External"/><Relationship Id="rId426" Type="http://schemas.openxmlformats.org/officeDocument/2006/relationships/hyperlink" Target="https://mgg.stores-apple.com/catalog/smartfon_samsung_galaxy_s26_ultra_12_256_gb_black_shadow/" TargetMode="External"/><Relationship Id="rId668" Type="http://schemas.openxmlformats.org/officeDocument/2006/relationships/hyperlink" Target="https://mgg.stores-apple.com/catalog/smartfon-poco-m7-pro-5g-12-512-gb-chernyi/" TargetMode="External"/><Relationship Id="rId425" Type="http://schemas.openxmlformats.org/officeDocument/2006/relationships/hyperlink" Target="https://mgg.stores-apple.com/catalog/smartfon_samsung_galaxy_s26_ultra_1024_gb_white_shadow/" TargetMode="External"/><Relationship Id="rId667" Type="http://schemas.openxmlformats.org/officeDocument/2006/relationships/hyperlink" Target="https://mgg.stores-apple.com/catalog/smartfon-poco-m7-pro-5g-12-512-gb-serebryanyi/" TargetMode="External"/><Relationship Id="rId424" Type="http://schemas.openxmlformats.org/officeDocument/2006/relationships/hyperlink" Target="https://mgg.stores-apple.com/catalog/smartfon_samsung_galaxy_s26_ultra_16_1024_gb_pink_gold_rozovoe_zoloto/" TargetMode="External"/><Relationship Id="rId666" Type="http://schemas.openxmlformats.org/officeDocument/2006/relationships/hyperlink" Target="https://mgg.stores-apple.com/catalog/smartfon-poco-m7-pro-5g-12-256-gb-chernyi/" TargetMode="External"/><Relationship Id="rId423" Type="http://schemas.openxmlformats.org/officeDocument/2006/relationships/hyperlink" Target="https://mgg.stores-apple.com/catalog/smartfon_samsung_galaxy_s26_ultra_16_1024_gb_silver_shadow_serebryanaya_ten/" TargetMode="External"/><Relationship Id="rId665" Type="http://schemas.openxmlformats.org/officeDocument/2006/relationships/hyperlink" Target="https://mgg.stores-apple.com/catalog/smartfon-poco-m7-pro-5g-12-256-gb-fioletovyi/" TargetMode="External"/><Relationship Id="rId429" Type="http://schemas.openxmlformats.org/officeDocument/2006/relationships/hyperlink" Target="https://mgg.stores-apple.com/catalog/smartfon-samsung-galaxy-z-flip7-fe-8-256-gb-miatnyj/" TargetMode="External"/><Relationship Id="rId428" Type="http://schemas.openxmlformats.org/officeDocument/2006/relationships/hyperlink" Target="https://mgg.stores-apple.com/catalog/smartfon-samsung-galaxy-z-flip7-fe-8-128-gb-miatnyj/" TargetMode="External"/><Relationship Id="rId427" Type="http://schemas.openxmlformats.org/officeDocument/2006/relationships/hyperlink" Target="https://mgg.stores-apple.com/catalog/smartfon-samsung-galaxy-z-flip7-fe-8-128-gb-belyj/" TargetMode="External"/><Relationship Id="rId669" Type="http://schemas.openxmlformats.org/officeDocument/2006/relationships/hyperlink" Target="https://mgg.stores-apple.com/catalog/smartfon-poco-m7-pro-5g-12-512-gb-zelenyi/" TargetMode="External"/><Relationship Id="rId660" Type="http://schemas.openxmlformats.org/officeDocument/2006/relationships/hyperlink" Target="https://mgg.stores-apple.com/catalog/smartfon-poco-x7-8-128gb-zelenyy/" TargetMode="External"/><Relationship Id="rId1250" Type="http://schemas.openxmlformats.org/officeDocument/2006/relationships/hyperlink" Target="https://mgg.stores-apple.com/catalog/noutbuk-apple-macbook-air-13-m4-2025-10c-cpu-10c-gpu-16gb-512-gb-ssd-temnaya-noch-mw133/" TargetMode="External"/><Relationship Id="rId1251" Type="http://schemas.openxmlformats.org/officeDocument/2006/relationships/hyperlink" Target="https://mgg.stores-apple.com/catalog/noutbuk-apple-macbook-air-13-m4-2025-10c-cpu-10c-gpu-16gb-512-gb-ssd-goluboe-nebo-mc6u4/" TargetMode="External"/><Relationship Id="rId1010" Type="http://schemas.openxmlformats.org/officeDocument/2006/relationships/hyperlink" Target="https://mgg.stores-apple.com/catalog/planshet-samsung-galaxy-tab-s11-ultra-wifi-256-gb-serebro/" TargetMode="External"/><Relationship Id="rId1252" Type="http://schemas.openxmlformats.org/officeDocument/2006/relationships/hyperlink" Target="https://mgg.stores-apple.com/catalog/noutbuk-apple-macbook-air-13-m4-2025-10c-cpu-10c-gpu-16gb-512-gb-ssd-serebristyy-mw0x3/" TargetMode="External"/><Relationship Id="rId422" Type="http://schemas.openxmlformats.org/officeDocument/2006/relationships/hyperlink" Target="https://mgg.stores-apple.com/catalog/smartfon_samsung_galaxy_s26_ultra_1024_gb_sky_blue/" TargetMode="External"/><Relationship Id="rId664" Type="http://schemas.openxmlformats.org/officeDocument/2006/relationships/hyperlink" Target="https://mgg.stores-apple.com/catalog/smartfon-poco-m7-pro-5g-12-256-gb-serebryanyi/" TargetMode="External"/><Relationship Id="rId1011" Type="http://schemas.openxmlformats.org/officeDocument/2006/relationships/hyperlink" Target="https://mgg.stores-apple.com/catalog/planshet-samsung-galaxy-tab-s11-ultra-wifi-256-gb-seryy/" TargetMode="External"/><Relationship Id="rId1253" Type="http://schemas.openxmlformats.org/officeDocument/2006/relationships/hyperlink" Target="https://mgg.stores-apple.com/catalog/noutbuk-apple-macbook-air-13-m4-2025-10c-cpu-10c-gpu-24gb-512-gb-ssd-siyayushchaya-zvezda-mc6a4/" TargetMode="External"/><Relationship Id="rId421" Type="http://schemas.openxmlformats.org/officeDocument/2006/relationships/hyperlink" Target="https://mgg.stores-apple.com/catalog/smartfon_samsung_galaxy_s26_ultra_12_512_gb_silver_shadow_serebryanaya_ten/" TargetMode="External"/><Relationship Id="rId663" Type="http://schemas.openxmlformats.org/officeDocument/2006/relationships/hyperlink" Target="https://mgg.stores-apple.com/catalog/smartfon-poco-x7-8-128gb-serebristyy/" TargetMode="External"/><Relationship Id="rId1012" Type="http://schemas.openxmlformats.org/officeDocument/2006/relationships/hyperlink" Target="https://mgg.stores-apple.com/catalog/planshet-samsung-galaxy-tab-s11-lte-512-gb-serebro/" TargetMode="External"/><Relationship Id="rId1254" Type="http://schemas.openxmlformats.org/officeDocument/2006/relationships/hyperlink" Target="https://mgg.stores-apple.com/catalog/noutbuk-apple-macbook-air-13-m4-2025-10c-cpu-10c-gpu-24gb-512-gb-ssd-serebristyj-mc654/" TargetMode="External"/><Relationship Id="rId420" Type="http://schemas.openxmlformats.org/officeDocument/2006/relationships/hyperlink" Target="https://mgg.stores-apple.com/catalog/smartfon_samsung_galaxy_s26_ultra_512_gb_sky_blue/" TargetMode="External"/><Relationship Id="rId662" Type="http://schemas.openxmlformats.org/officeDocument/2006/relationships/hyperlink" Target="https://mgg.stores-apple.com/catalog/smartfon-poco-m7-pro-5g-12-256-gb-zelenyi/" TargetMode="External"/><Relationship Id="rId1013" Type="http://schemas.openxmlformats.org/officeDocument/2006/relationships/hyperlink" Target="https://mgg.stores-apple.com/catalog/planshet-samsung-galaxy-tab-s11-lte-512-gb-seryy/" TargetMode="External"/><Relationship Id="rId1255" Type="http://schemas.openxmlformats.org/officeDocument/2006/relationships/hyperlink" Target="https://mgg.stores-apple.com/catalog/noutbuk-apple-macbook-air-13-m4-2025-10c-cpu-10c-gpu-24gb-512-gb-ssd-temnaya-noch-mc6c4/" TargetMode="External"/><Relationship Id="rId661" Type="http://schemas.openxmlformats.org/officeDocument/2006/relationships/hyperlink" Target="https://mgg.stores-apple.com/catalog/smartfon-poco-x7-8-128gb-chernyy/" TargetMode="External"/><Relationship Id="rId1014" Type="http://schemas.openxmlformats.org/officeDocument/2006/relationships/hyperlink" Target="https://mgg.stores-apple.com/catalog/planshet-samsung-galaxy-tab-s11-ultra-wifi-512-gb-seryy/" TargetMode="External"/><Relationship Id="rId1256" Type="http://schemas.openxmlformats.org/officeDocument/2006/relationships/hyperlink" Target="https://mgg.stores-apple.com/catalog/noutbuk-apple-macbook-air-15-m4-2025-10c-cpu-10c-gpu-16gb-512-gb-ssd-temnaya-noch-mw1m3/" TargetMode="External"/><Relationship Id="rId1004" Type="http://schemas.openxmlformats.org/officeDocument/2006/relationships/hyperlink" Target="https://mgg.stores-apple.com/catalog/planshet-samsung-galaxy-tab-s11-lte-128-gb-seryy/" TargetMode="External"/><Relationship Id="rId1246" Type="http://schemas.openxmlformats.org/officeDocument/2006/relationships/hyperlink" Target="https://mgg.stores-apple.com/catalog/notebook-apple-macbook-air-15-m4-2025-10c-cpu-10c-gpu-16gb-256-gb-ssd-goluboe-nebo-mc7a4/" TargetMode="External"/><Relationship Id="rId1005" Type="http://schemas.openxmlformats.org/officeDocument/2006/relationships/hyperlink" Target="https://mgg.stores-apple.com/catalog/planshet-samsung-galaxy-tab-s11-lte-128-gb-serebro/" TargetMode="External"/><Relationship Id="rId1247" Type="http://schemas.openxmlformats.org/officeDocument/2006/relationships/hyperlink" Target="https://mgg.stores-apple.com/catalog/noutbuk-apple-macbook-air-13-m4-2025-10c-cpu-10c-gpu-16gb-512-gb-ssd-siyayushchaya-zvezda-mw103/" TargetMode="External"/><Relationship Id="rId1006" Type="http://schemas.openxmlformats.org/officeDocument/2006/relationships/hyperlink" Target="https://mgg.stores-apple.com/catalog/planshet-samsung-galaxy-tab-s11-wifi-512-gb-serebro/" TargetMode="External"/><Relationship Id="rId1248" Type="http://schemas.openxmlformats.org/officeDocument/2006/relationships/hyperlink" Target="https://mgg.stores-apple.com/catalog/notebook-apple-macbook-air-15-m4-2025-10c-cpu-10c-gpu-16gb-256-gb-ssd-temnaya-noch-mw1l3/" TargetMode="External"/><Relationship Id="rId1007" Type="http://schemas.openxmlformats.org/officeDocument/2006/relationships/hyperlink" Target="https://mgg.stores-apple.com/catalog/planshet-samsung-galaxy-tab-s11-wifi-512-gb-seryy/" TargetMode="External"/><Relationship Id="rId1249" Type="http://schemas.openxmlformats.org/officeDocument/2006/relationships/hyperlink" Target="https://mgg.stores-apple.com/catalog/notebook-apple-macbook-air-15-m4-2025-10c-cpu-10c-gpu-16gb-256-gb-ssd-serebristyi-mw1g3/" TargetMode="External"/><Relationship Id="rId1008" Type="http://schemas.openxmlformats.org/officeDocument/2006/relationships/hyperlink" Target="https://mgg.stores-apple.com/catalog/planshet-samsung-galaxy-tab-s11-lte-256-gb-seryy/" TargetMode="External"/><Relationship Id="rId1009" Type="http://schemas.openxmlformats.org/officeDocument/2006/relationships/hyperlink" Target="https://mgg.stores-apple.com/catalog/planshet-samsung-galaxy-tab-s11-lte-256-gb-serebro/" TargetMode="External"/><Relationship Id="rId415" Type="http://schemas.openxmlformats.org/officeDocument/2006/relationships/hyperlink" Target="https://mgg.stores-apple.com/catalog/smartfon-samsung-galaxy-s25-ultra-1024-gb-zelenyy-titan/" TargetMode="External"/><Relationship Id="rId657" Type="http://schemas.openxmlformats.org/officeDocument/2006/relationships/hyperlink" Target="https://mgg.stores-apple.com/catalog/smartfon-poco-m7-pro-5g-8-256-gb-zelenyi/" TargetMode="External"/><Relationship Id="rId899" Type="http://schemas.openxmlformats.org/officeDocument/2006/relationships/hyperlink" Target="https://mgg.stores-apple.com/catalog/planshet_apple_ipad_air_2026_m4_11_wi_fi_cellular_512_gb_goluboy/" TargetMode="External"/><Relationship Id="rId414" Type="http://schemas.openxmlformats.org/officeDocument/2006/relationships/hyperlink" Target="https://mgg.stores-apple.com/catalog/smartfon_samsung_galaxy_s26_512_gb_white_belyy/" TargetMode="External"/><Relationship Id="rId656" Type="http://schemas.openxmlformats.org/officeDocument/2006/relationships/hyperlink" Target="https://mgg.stores-apple.com/catalog/smartfon-poco-m7-pro-5g-8-256-gb-fioletovyi/" TargetMode="External"/><Relationship Id="rId898" Type="http://schemas.openxmlformats.org/officeDocument/2006/relationships/hyperlink" Target="https://mgg.stores-apple.com/catalog/planshet-apple-ipad-air-2025-m3-13-wi-fi-1024-gb-seryy-kosmos/" TargetMode="External"/><Relationship Id="rId413" Type="http://schemas.openxmlformats.org/officeDocument/2006/relationships/hyperlink" Target="https://mgg.stores-apple.com/catalog/smartfon_samsung_galaxy_s26_512_gb_blue_goluboy_1/" TargetMode="External"/><Relationship Id="rId655" Type="http://schemas.openxmlformats.org/officeDocument/2006/relationships/hyperlink" Target="https://mgg.stores-apple.com/catalog/smartfon_poco_x8_pro_8_512_gb_belyy/" TargetMode="External"/><Relationship Id="rId897" Type="http://schemas.openxmlformats.org/officeDocument/2006/relationships/hyperlink" Target="https://mgg.stores-apple.com/catalog/planshet-apple-ipad-air-2025-m3-13-wi-fi-1024-gb-siyayushchaya-zvezda/" TargetMode="External"/><Relationship Id="rId412" Type="http://schemas.openxmlformats.org/officeDocument/2006/relationships/hyperlink" Target="https://mgg.stores-apple.com/catalog/smartfon_samsung_galaxy_s26_12_512_gb_silver_shadow_serebryanaya_ten_1/" TargetMode="External"/><Relationship Id="rId654" Type="http://schemas.openxmlformats.org/officeDocument/2006/relationships/hyperlink" Target="https://mgg.stores-apple.com/catalog/smartfon_poco_m8_pro_5g_8_256_gb_chernyy/" TargetMode="External"/><Relationship Id="rId896" Type="http://schemas.openxmlformats.org/officeDocument/2006/relationships/hyperlink" Target="https://mgg.stores-apple.com/catalog/planshet-apple-ipad-air-2025-m3-13-wi-fi-1024-gb-goluboy/" TargetMode="External"/><Relationship Id="rId419" Type="http://schemas.openxmlformats.org/officeDocument/2006/relationships/hyperlink" Target="https://mgg.stores-apple.com/catalog/smartfon-samsung-galaxy-s25-ultra-1024-gb-siniy-titan/" TargetMode="External"/><Relationship Id="rId418" Type="http://schemas.openxmlformats.org/officeDocument/2006/relationships/hyperlink" Target="https://mgg.stores-apple.com/catalog/smartfon-samsung-galaxy-s25-ultra-1024-gb-rozovyy-titan/" TargetMode="External"/><Relationship Id="rId417" Type="http://schemas.openxmlformats.org/officeDocument/2006/relationships/hyperlink" Target="https://mgg.stores-apple.com/catalog/smartfon_samsung_galaxy_s26_512_gb_violet_fioletovyy_1/" TargetMode="External"/><Relationship Id="rId659" Type="http://schemas.openxmlformats.org/officeDocument/2006/relationships/hyperlink" Target="https://mgg.stores-apple.com/catalog/smartfon-poco-m7-pro-5g-8-256-gb-serebryanyi/" TargetMode="External"/><Relationship Id="rId416" Type="http://schemas.openxmlformats.org/officeDocument/2006/relationships/hyperlink" Target="https://mgg.stores-apple.com/catalog/smartfon-samsung-galaxy-s25-ultra-1024-gb-seryy-titan/" TargetMode="External"/><Relationship Id="rId658" Type="http://schemas.openxmlformats.org/officeDocument/2006/relationships/hyperlink" Target="https://mgg.stores-apple.com/catalog/smartfon-poco-m7-pro-5g-8-256-gb-chernyi/" TargetMode="External"/><Relationship Id="rId891" Type="http://schemas.openxmlformats.org/officeDocument/2006/relationships/hyperlink" Target="https://mgg.stores-apple.com/catalog/planshet_apple_ipad_air_2026_m4_13_wi_fi_cellular_256_gb_siyayushchaya_zvezda/" TargetMode="External"/><Relationship Id="rId890" Type="http://schemas.openxmlformats.org/officeDocument/2006/relationships/hyperlink" Target="https://mgg.stores-apple.com/catalog/planshet-apple-ipad-air-2025-m3-13-wi-fi-512-gb-seryj-kosmos/" TargetMode="External"/><Relationship Id="rId1240" Type="http://schemas.openxmlformats.org/officeDocument/2006/relationships/hyperlink" Target="https://mgg.stores-apple.com/catalog/noutbuk_apple_macbook_neo_2026_8_gb_512_gb_indigo_angliyskaya_raskladka/" TargetMode="External"/><Relationship Id="rId1241" Type="http://schemas.openxmlformats.org/officeDocument/2006/relationships/hyperlink" Target="https://mgg.stores-apple.com/catalog/noutbuk-apple-macbook-air-13-m4-2025-10c-cpu-8c-gpu-16gb-256-gb-ssd-siyayushchaya-zvezda-mw0y3/" TargetMode="External"/><Relationship Id="rId411" Type="http://schemas.openxmlformats.org/officeDocument/2006/relationships/hyperlink" Target="https://mgg.stores-apple.com/catalog/smartfon_samsung_galaxy_s26_12_512_gb_pink_gold_rozovoe_zoloto_1/" TargetMode="External"/><Relationship Id="rId653" Type="http://schemas.openxmlformats.org/officeDocument/2006/relationships/hyperlink" Target="https://mgg.stores-apple.com/catalog/smartfon_honor_magic_8_pro_16_1024_gb_black_chernyy/" TargetMode="External"/><Relationship Id="rId895" Type="http://schemas.openxmlformats.org/officeDocument/2006/relationships/hyperlink" Target="https://mgg.stores-apple.com/catalog/planshet-apple-ipad-air-2025-m3-13-wi-fi-1024-gb-fioletovyj/" TargetMode="External"/><Relationship Id="rId1000" Type="http://schemas.openxmlformats.org/officeDocument/2006/relationships/hyperlink" Target="https://mgg.stores-apple.com/catalog/planshet-samsung-galaxy-tab-s11-wifi-128-gb-serebro/" TargetMode="External"/><Relationship Id="rId1242" Type="http://schemas.openxmlformats.org/officeDocument/2006/relationships/hyperlink" Target="https://mgg.stores-apple.com/catalog/noutbuk-apple-macbook-air-13-m4-2025-10c-cpu-8c-gpu-16gb-256-gb-ssd-goluboe-nebo-mc6t4/" TargetMode="External"/><Relationship Id="rId410" Type="http://schemas.openxmlformats.org/officeDocument/2006/relationships/hyperlink" Target="https://mgg.stores-apple.com/catalog/smartfon-samsung-galaxy-s25-ultra-512-gb-ugolno-chernyy-titan/" TargetMode="External"/><Relationship Id="rId652" Type="http://schemas.openxmlformats.org/officeDocument/2006/relationships/hyperlink" Target="https://mgg.stores-apple.com/catalog/smartfon_honor_magic_8_pro_16_1024_gb_sunrise_gold_zolotoy/" TargetMode="External"/><Relationship Id="rId894" Type="http://schemas.openxmlformats.org/officeDocument/2006/relationships/hyperlink" Target="https://mgg.stores-apple.com/catalog/planshet_apple_ipad_air_2026_m4_11_wi_fi_512_gb_seryy_kosmos/" TargetMode="External"/><Relationship Id="rId1001" Type="http://schemas.openxmlformats.org/officeDocument/2006/relationships/hyperlink" Target="https://mgg.stores-apple.com/catalog/planshet-samsung-galaxy-tab-s11-wifi-128-gb-seryy/" TargetMode="External"/><Relationship Id="rId1243" Type="http://schemas.openxmlformats.org/officeDocument/2006/relationships/hyperlink" Target="https://mgg.stores-apple.com/catalog/noutbuk-apple-macbook-air-13-m4-2025-10c-cpu-8c-gpu-16gb-256-gb-ssd-temnaya-noch-mw123/" TargetMode="External"/><Relationship Id="rId651" Type="http://schemas.openxmlformats.org/officeDocument/2006/relationships/hyperlink" Target="https://mgg.stores-apple.com/catalog/smartfon_honor_magic_8_pro_12_512_gb_sunrise_gold_zolotoy/" TargetMode="External"/><Relationship Id="rId893" Type="http://schemas.openxmlformats.org/officeDocument/2006/relationships/hyperlink" Target="https://mgg.stores-apple.com/catalog/planshet_apple_ipad_air_2026_m4_11_wi_fi_512_gb_siyayushchaya_zvezda/" TargetMode="External"/><Relationship Id="rId1002" Type="http://schemas.openxmlformats.org/officeDocument/2006/relationships/hyperlink" Target="https://mgg.stores-apple.com/catalog/planshet-samsung-galaxy-tab-s11-wifi-256-gb-serebro/" TargetMode="External"/><Relationship Id="rId1244" Type="http://schemas.openxmlformats.org/officeDocument/2006/relationships/hyperlink" Target="https://mgg.stores-apple.com/catalog/noutbuk-apple-macbook-air-13-m4-2025-10c-cpu-8c-gpu-16gb-256-gb-ssd-serebristyy-mw0w3/" TargetMode="External"/><Relationship Id="rId650" Type="http://schemas.openxmlformats.org/officeDocument/2006/relationships/hyperlink" Target="https://mgg.stores-apple.com/catalog/smartfon_honor_magic_8_pro_12_512_gb_black_chernyy/" TargetMode="External"/><Relationship Id="rId892" Type="http://schemas.openxmlformats.org/officeDocument/2006/relationships/hyperlink" Target="https://mgg.stores-apple.com/catalog/planshet_apple_ipad_air_2026_m4_11_wi_fi_512_gb_goluboy/" TargetMode="External"/><Relationship Id="rId1003" Type="http://schemas.openxmlformats.org/officeDocument/2006/relationships/hyperlink" Target="https://mgg.stores-apple.com/catalog/planshet-samsung-galaxy-tab-s11-wifi-256-gb-seryy/" TargetMode="External"/><Relationship Id="rId1245" Type="http://schemas.openxmlformats.org/officeDocument/2006/relationships/hyperlink" Target="https://mgg.stores-apple.com/catalog/notebook-apple-macbook-air-15-m4-2025-10c-cpu-10c-gpu-16gb-256-gb-ssd-siyayushchaya-zvezda-mw1j3/" TargetMode="External"/><Relationship Id="rId1037" Type="http://schemas.openxmlformats.org/officeDocument/2006/relationships/hyperlink" Target="https://mgg.stores-apple.com/catalog/planshet-xiaomi-pad-7-pro-12-512gb-wi-fi-seryy/" TargetMode="External"/><Relationship Id="rId1279" Type="http://schemas.openxmlformats.org/officeDocument/2006/relationships/hyperlink" Target="https://mgg.stores-apple.com/catalog/noutbuk_apple_macbook_air_13_m5_2026_24_gb_1024_gb_ssd_serebristyy/" TargetMode="External"/><Relationship Id="rId1038" Type="http://schemas.openxmlformats.org/officeDocument/2006/relationships/hyperlink" Target="https://mgg.stores-apple.com/catalog/planshet-xiaomi-pad-7-pro-12-512gb-wi-fi-zelenyy/" TargetMode="External"/><Relationship Id="rId1039" Type="http://schemas.openxmlformats.org/officeDocument/2006/relationships/hyperlink" Target="https://mgg.stores-apple.com/catalog/stilus-apple-pencil-usb-c/" TargetMode="External"/><Relationship Id="rId206" Type="http://schemas.openxmlformats.org/officeDocument/2006/relationships/hyperlink" Target="https://mgg.stores-apple.com/catalog/smartfon_apple_iphone_18_pro_512_gb_dark_grey_tyemno_seryy/" TargetMode="External"/><Relationship Id="rId448" Type="http://schemas.openxmlformats.org/officeDocument/2006/relationships/hyperlink" Target="https://mgg.stores-apple.com/catalog/smartfon_samsung_galaxy_z_fold_8_12_256_gb_seryy/" TargetMode="External"/><Relationship Id="rId205" Type="http://schemas.openxmlformats.org/officeDocument/2006/relationships/hyperlink" Target="https://mgg.stores-apple.com/catalog/smartfon_apple_iphone_18_pro_512_gb_blue_goluboy/" TargetMode="External"/><Relationship Id="rId447" Type="http://schemas.openxmlformats.org/officeDocument/2006/relationships/hyperlink" Target="https://mgg.stores-apple.com/catalog/smartfon_samsung_galaxy_z_fold_8_12_256_gb_fioletovyy/" TargetMode="External"/><Relationship Id="rId689" Type="http://schemas.openxmlformats.org/officeDocument/2006/relationships/hyperlink" Target="https://mgg.stores-apple.com/catalog/smartfon-poco-x7-pro-12-256gb-chernyy/" TargetMode="External"/><Relationship Id="rId204" Type="http://schemas.openxmlformats.org/officeDocument/2006/relationships/hyperlink" Target="https://mgg.stores-apple.com/catalog/smartfon_apple_iphone_18_pro_512_gb_dark_cherry_tyemnaya_vishnya/" TargetMode="External"/><Relationship Id="rId446" Type="http://schemas.openxmlformats.org/officeDocument/2006/relationships/hyperlink" Target="https://mgg.stores-apple.com/catalog/smartfon-samsung-galaxy-z-fold7-12-256-gb-miatnyj/" TargetMode="External"/><Relationship Id="rId688" Type="http://schemas.openxmlformats.org/officeDocument/2006/relationships/hyperlink" Target="https://mgg.stores-apple.com/catalog/smartfon-poco-x7-pro-12-256gb-zheltyy/" TargetMode="External"/><Relationship Id="rId203" Type="http://schemas.openxmlformats.org/officeDocument/2006/relationships/hyperlink" Target="https://mgg.stores-apple.com/catalog/smartfon_apple_iphone_18_pro_256_gb_dark_grey_tyemno_seryy/" TargetMode="External"/><Relationship Id="rId445" Type="http://schemas.openxmlformats.org/officeDocument/2006/relationships/hyperlink" Target="https://mgg.stores-apple.com/catalog/smartfon-samsung-galaxy-z-fold7-12-256-gb-cernyj/" TargetMode="External"/><Relationship Id="rId687" Type="http://schemas.openxmlformats.org/officeDocument/2006/relationships/hyperlink" Target="https://mgg.stores-apple.com/catalog/smartfon_poco_m8_pro_5g_12_256_gb_serebristyy/" TargetMode="External"/><Relationship Id="rId209" Type="http://schemas.openxmlformats.org/officeDocument/2006/relationships/hyperlink" Target="https://mgg.stores-apple.com/catalog/smartfon_apple_iphone_18_pro_1024_gb_blue_goluboy/" TargetMode="External"/><Relationship Id="rId208" Type="http://schemas.openxmlformats.org/officeDocument/2006/relationships/hyperlink" Target="https://mgg.stores-apple.com/catalog/smartfon_apple_iphone_18_pro_1024_gb_dark_cherry_tyemnaya_vishnya/" TargetMode="External"/><Relationship Id="rId207" Type="http://schemas.openxmlformats.org/officeDocument/2006/relationships/hyperlink" Target="https://mgg.stores-apple.com/catalog/smartfon_apple_iphone_18_pro_512_gb_silver_serebro/" TargetMode="External"/><Relationship Id="rId449" Type="http://schemas.openxmlformats.org/officeDocument/2006/relationships/hyperlink" Target="https://mgg.stores-apple.com/catalog/smartfon_samsung_galaxy_z_fold_8_12_256_gb_bezhevyy/" TargetMode="External"/><Relationship Id="rId1270" Type="http://schemas.openxmlformats.org/officeDocument/2006/relationships/hyperlink" Target="https://mgg.stores-apple.com/catalog/noutbuk_apple_macbook_air_13_m5_2026_16_gb_1024_gb_ssd_nebesno_goluboy/" TargetMode="External"/><Relationship Id="rId440" Type="http://schemas.openxmlformats.org/officeDocument/2006/relationships/hyperlink" Target="https://mgg.stores-apple.com/catalog/smartfon_samsung_galaxy_z_flip_8_12_512_gb_bezhevyy/" TargetMode="External"/><Relationship Id="rId682" Type="http://schemas.openxmlformats.org/officeDocument/2006/relationships/hyperlink" Target="https://mgg.stores-apple.com/catalog/smartfon-poco-x7-pro-8-256gb-zelenyy/" TargetMode="External"/><Relationship Id="rId1271" Type="http://schemas.openxmlformats.org/officeDocument/2006/relationships/hyperlink" Target="https://mgg.stores-apple.com/catalog/noutbuk_apple_macbook_air_13_m5_2026_16_gb_1024_gb_ssd_serebristyy/" TargetMode="External"/><Relationship Id="rId681" Type="http://schemas.openxmlformats.org/officeDocument/2006/relationships/hyperlink" Target="https://mgg.stores-apple.com/catalog/smartfon_poco_m8_pro_5g_8_256_gb_serebristyy/" TargetMode="External"/><Relationship Id="rId1030" Type="http://schemas.openxmlformats.org/officeDocument/2006/relationships/hyperlink" Target="https://mgg.stores-apple.com/catalog/planshet-xiaomi-pad-7-pro-8-128gb-wi-fi-goluboy/" TargetMode="External"/><Relationship Id="rId1272" Type="http://schemas.openxmlformats.org/officeDocument/2006/relationships/hyperlink" Target="https://mgg.stores-apple.com/catalog/noutbuk_apple_macbook_air_15_m5_2026_16_gb_512_gb_ssd_temnaya_noch/" TargetMode="External"/><Relationship Id="rId680" Type="http://schemas.openxmlformats.org/officeDocument/2006/relationships/hyperlink" Target="https://mgg.stores-apple.com/catalog/smartfon_poco_m8_pro_5g_8_256_gb_zelenyy/" TargetMode="External"/><Relationship Id="rId1031" Type="http://schemas.openxmlformats.org/officeDocument/2006/relationships/hyperlink" Target="https://mgg.stores-apple.com/catalog/planshet-xiaomi-pad-7-pro-8-128gb-wi-fi-seryy/" TargetMode="External"/><Relationship Id="rId1273" Type="http://schemas.openxmlformats.org/officeDocument/2006/relationships/hyperlink" Target="https://mgg.stores-apple.com/catalog/noutbuk_apple_macbook_air_13_m5_2026_16_gb_1024_gb_ssd_siyayushchaya_zvezda/" TargetMode="External"/><Relationship Id="rId1032" Type="http://schemas.openxmlformats.org/officeDocument/2006/relationships/hyperlink" Target="https://mgg.stores-apple.com/catalog/planshet-xiaomi-pad-7-pro-8-128gb-wi-fi-zelenyy/" TargetMode="External"/><Relationship Id="rId1274" Type="http://schemas.openxmlformats.org/officeDocument/2006/relationships/hyperlink" Target="https://mgg.stores-apple.com/catalog/noutbuk_apple_macbook_air_13_m5_2026_16_gb_1024_gb_ssd_temnaya_noch/" TargetMode="External"/><Relationship Id="rId202" Type="http://schemas.openxmlformats.org/officeDocument/2006/relationships/hyperlink" Target="https://mgg.stores-apple.com/catalog/smartfon_apple_iphone_18_pro_256_gb_silver_serebro/" TargetMode="External"/><Relationship Id="rId444" Type="http://schemas.openxmlformats.org/officeDocument/2006/relationships/hyperlink" Target="https://mgg.stores-apple.com/catalog/smartfon-samsung-galaxy-z-fold7-12-256-gb-sinij/" TargetMode="External"/><Relationship Id="rId686" Type="http://schemas.openxmlformats.org/officeDocument/2006/relationships/hyperlink" Target="https://mgg.stores-apple.com/catalog/smartfon_poco_m8_pro_5g_12_256_gb_chernyy/" TargetMode="External"/><Relationship Id="rId1033" Type="http://schemas.openxmlformats.org/officeDocument/2006/relationships/hyperlink" Target="https://mgg.stores-apple.com/catalog/planshet-xiaomi-pad-7-pro-8-256gb-wi-fi-seryy/" TargetMode="External"/><Relationship Id="rId1275" Type="http://schemas.openxmlformats.org/officeDocument/2006/relationships/hyperlink" Target="https://mgg.stores-apple.com/catalog/noutbuk_apple_macbook_air_15_m5_2026_16_gb_512_gb_ssd_siyayushchaya_zvezda/" TargetMode="External"/><Relationship Id="rId201" Type="http://schemas.openxmlformats.org/officeDocument/2006/relationships/hyperlink" Target="https://mgg.stores-apple.com/catalog/smartfon_apple_iphone_18_pro_256_gb_blue_goluboy/" TargetMode="External"/><Relationship Id="rId443" Type="http://schemas.openxmlformats.org/officeDocument/2006/relationships/hyperlink" Target="https://mgg.stores-apple.com/catalog/smartfon-samsung-galaxy-z-fold7-12-256-gb-seryj/" TargetMode="External"/><Relationship Id="rId685" Type="http://schemas.openxmlformats.org/officeDocument/2006/relationships/hyperlink" Target="https://mgg.stores-apple.com/catalog/smartfon_poco_m8_pro_5g_12_256_gb_zelenyy/" TargetMode="External"/><Relationship Id="rId1034" Type="http://schemas.openxmlformats.org/officeDocument/2006/relationships/hyperlink" Target="https://mgg.stores-apple.com/catalog/planshet-xiaomi-pad-7-pro-8-256gb-wi-fi-goluboy/" TargetMode="External"/><Relationship Id="rId1276" Type="http://schemas.openxmlformats.org/officeDocument/2006/relationships/hyperlink" Target="https://mgg.stores-apple.com/catalog/noutbuk_apple_macbook_air_15_m5_2026_16_gb_512_gb_ssd_nebesno_goluboy/" TargetMode="External"/><Relationship Id="rId200" Type="http://schemas.openxmlformats.org/officeDocument/2006/relationships/hyperlink" Target="https://mgg.stores-apple.com/catalog/smartfon_apple_iphone_18_pro_256_gb_dark_cherry_tyemnaya_vishnya/" TargetMode="External"/><Relationship Id="rId442" Type="http://schemas.openxmlformats.org/officeDocument/2006/relationships/hyperlink" Target="https://mgg.stores-apple.com/catalog/smartfon_samsung_galaxy_z_flip_8_12_512_gb_rozovyy/" TargetMode="External"/><Relationship Id="rId684" Type="http://schemas.openxmlformats.org/officeDocument/2006/relationships/hyperlink" Target="https://mgg.stores-apple.com/catalog/smartfon-poco-x7-pro-8-256gb-chernyy/" TargetMode="External"/><Relationship Id="rId1035" Type="http://schemas.openxmlformats.org/officeDocument/2006/relationships/hyperlink" Target="https://mgg.stores-apple.com/catalog/planshet-xiaomi-pad-7-pro-8-256gb-wi-fi-zelenyy/" TargetMode="External"/><Relationship Id="rId1277" Type="http://schemas.openxmlformats.org/officeDocument/2006/relationships/hyperlink" Target="https://mgg.stores-apple.com/catalog/noutbuk_apple_macbook_air_13_m5_2026_24_gb_1024_gb_ssd_nebesno_goluboy/" TargetMode="External"/><Relationship Id="rId441" Type="http://schemas.openxmlformats.org/officeDocument/2006/relationships/hyperlink" Target="https://mgg.stores-apple.com/catalog/smartfon_samsung_galaxy_z_flip_8_12_512_gb_seryy/" TargetMode="External"/><Relationship Id="rId683" Type="http://schemas.openxmlformats.org/officeDocument/2006/relationships/hyperlink" Target="https://mgg.stores-apple.com/catalog/smartfon-poco-x7-pro-8-256gb-zheltyy/" TargetMode="External"/><Relationship Id="rId1036" Type="http://schemas.openxmlformats.org/officeDocument/2006/relationships/hyperlink" Target="https://mgg.stores-apple.com/catalog/planshet-xiaomi-pad-7-pro-12-512gb-wi-fi-goluboy/" TargetMode="External"/><Relationship Id="rId1278" Type="http://schemas.openxmlformats.org/officeDocument/2006/relationships/hyperlink" Target="https://mgg.stores-apple.com/catalog/noutbuk_apple_macbook_air_13_m5_2026_24_gb_1024_gb_ssd_temnaya_noch/" TargetMode="External"/><Relationship Id="rId1026" Type="http://schemas.openxmlformats.org/officeDocument/2006/relationships/hyperlink" Target="https://mgg.stores-apple.com/catalog/planshet-xiaomi-pad-7-8-128gb-wifi-zelenyy/" TargetMode="External"/><Relationship Id="rId1268" Type="http://schemas.openxmlformats.org/officeDocument/2006/relationships/hyperlink" Target="https://mgg.stores-apple.com/catalog/noutbuk_apple_macbook_air_13_m5_2026_16_gb_512_gb_ssd_nebesno_goluboy/" TargetMode="External"/><Relationship Id="rId1027" Type="http://schemas.openxmlformats.org/officeDocument/2006/relationships/hyperlink" Target="https://mgg.stores-apple.com/catalog/planshet-xiaomi-pad-7-8-256gb-wifi-seryy/" TargetMode="External"/><Relationship Id="rId1269" Type="http://schemas.openxmlformats.org/officeDocument/2006/relationships/hyperlink" Target="https://mgg.stores-apple.com/catalog/noutbuk_apple_macbook_air_13_m5_2026_16_gb_512_gb_ssd_temnaya_noch/" TargetMode="External"/><Relationship Id="rId1028" Type="http://schemas.openxmlformats.org/officeDocument/2006/relationships/hyperlink" Target="https://mgg.stores-apple.com/catalog/planshet-xiaomi-pad-7-8-256gb-wifi-zelenyy/" TargetMode="External"/><Relationship Id="rId1029" Type="http://schemas.openxmlformats.org/officeDocument/2006/relationships/hyperlink" Target="https://mgg.stores-apple.com/catalog/planshet-xiaomi-pad-7-8-256gb-wifi-goluboy/" TargetMode="External"/><Relationship Id="rId437" Type="http://schemas.openxmlformats.org/officeDocument/2006/relationships/hyperlink" Target="https://mgg.stores-apple.com/catalog/smartfon-samsung-galaxy-z-flip7-12-512-gb-oranzevyj/" TargetMode="External"/><Relationship Id="rId679" Type="http://schemas.openxmlformats.org/officeDocument/2006/relationships/hyperlink" Target="https://mgg.stores-apple.com/catalog/smartfon_poco_m8_8_256_gb_chernyy/" TargetMode="External"/><Relationship Id="rId436" Type="http://schemas.openxmlformats.org/officeDocument/2006/relationships/hyperlink" Target="https://mgg.stores-apple.com/catalog/smartfon_samsung_galaxy_z_flip_8_12_256_gb_rozovyy/" TargetMode="External"/><Relationship Id="rId678" Type="http://schemas.openxmlformats.org/officeDocument/2006/relationships/hyperlink" Target="https://mgg.stores-apple.com/catalog/smartfon_poco_m8_8_256_gb_serebristyy/" TargetMode="External"/><Relationship Id="rId435" Type="http://schemas.openxmlformats.org/officeDocument/2006/relationships/hyperlink" Target="https://mgg.stores-apple.com/catalog/smartfon-samsung-galaxy-z-flip7-12-256-gb-oranzevyj/" TargetMode="External"/><Relationship Id="rId677" Type="http://schemas.openxmlformats.org/officeDocument/2006/relationships/hyperlink" Target="https://mgg.stores-apple.com/catalog/smartfon_poco_m8_8_256_gb_zelenyy/" TargetMode="External"/><Relationship Id="rId434" Type="http://schemas.openxmlformats.org/officeDocument/2006/relationships/hyperlink" Target="https://mgg.stores-apple.com/catalog/smartfon-samsung-galaxy-z-flip7-12-256-gb-sinij/" TargetMode="External"/><Relationship Id="rId676" Type="http://schemas.openxmlformats.org/officeDocument/2006/relationships/hyperlink" Target="https://mgg.stores-apple.com/catalog/smartfon-poco-x7-12-512gb-chernyy/" TargetMode="External"/><Relationship Id="rId439" Type="http://schemas.openxmlformats.org/officeDocument/2006/relationships/hyperlink" Target="https://mgg.stores-apple.com/catalog/smartfon-samsung-galaxy-z-flip7-12-512-gb-cernyj/" TargetMode="External"/><Relationship Id="rId438" Type="http://schemas.openxmlformats.org/officeDocument/2006/relationships/hyperlink" Target="https://mgg.stores-apple.com/catalog/smartfon-samsung-galaxy-z-flip7-12-512-gb-sinij/" TargetMode="External"/><Relationship Id="rId671" Type="http://schemas.openxmlformats.org/officeDocument/2006/relationships/hyperlink" Target="https://mgg.stores-apple.com/catalog/smartfon-poco-x7-8-256gb-serebristyy/" TargetMode="External"/><Relationship Id="rId1260" Type="http://schemas.openxmlformats.org/officeDocument/2006/relationships/hyperlink" Target="https://mgg.stores-apple.com/catalog/noutbuk-apple-macbook-air-15-m4-2025-10c-cpu-10c-gpu-16gb-512-gb-ssd-serebristyy-mw1h3/" TargetMode="External"/><Relationship Id="rId670" Type="http://schemas.openxmlformats.org/officeDocument/2006/relationships/hyperlink" Target="https://mgg.stores-apple.com/catalog/smartfon-poco-m7-pro-5g-12-512-gb-fioletovyi/" TargetMode="External"/><Relationship Id="rId1261" Type="http://schemas.openxmlformats.org/officeDocument/2006/relationships/hyperlink" Target="https://mgg.stores-apple.com/catalog/noutbuk-apple-macbook-air-15-m4-2025-10c-cpu-10c-gpu-24gb-512-gb-ssd-goluboe-nebo-mc7d4/" TargetMode="External"/><Relationship Id="rId1020" Type="http://schemas.openxmlformats.org/officeDocument/2006/relationships/hyperlink" Target="https://mgg.stores-apple.com/catalog/planshet-samsung-galaxy-tab-s11-ultra-wifi-1024-gb-serebro/" TargetMode="External"/><Relationship Id="rId1262" Type="http://schemas.openxmlformats.org/officeDocument/2006/relationships/hyperlink" Target="https://mgg.stores-apple.com/catalog/noutbuk-apple-macbook-air-15-m4-2025-10c-cpu-10c-gpu-24gb-512-gb-ssd-siyayushchaya-zvezda-mc6k4/" TargetMode="External"/><Relationship Id="rId1021" Type="http://schemas.openxmlformats.org/officeDocument/2006/relationships/hyperlink" Target="https://mgg.stores-apple.com/catalog/planshet-samsung-galaxy-tab-s11-ultra-wifi-1024-gb-seryy/" TargetMode="External"/><Relationship Id="rId1263" Type="http://schemas.openxmlformats.org/officeDocument/2006/relationships/hyperlink" Target="https://mgg.stores-apple.com/catalog/noutbuk-apple-macbook-air-15-m4-2025-10c-cpu-10c-gpu-24gb-512-gb-ssd-serebristyi-mc6j4/" TargetMode="External"/><Relationship Id="rId433" Type="http://schemas.openxmlformats.org/officeDocument/2006/relationships/hyperlink" Target="https://mgg.stores-apple.com/catalog/smartfon-samsung-galaxy-z-flip7-12-256-gb-cernyj/" TargetMode="External"/><Relationship Id="rId675" Type="http://schemas.openxmlformats.org/officeDocument/2006/relationships/hyperlink" Target="https://mgg.stores-apple.com/catalog/smartfon-poco-x7-12-512gb-zelenyy/" TargetMode="External"/><Relationship Id="rId1022" Type="http://schemas.openxmlformats.org/officeDocument/2006/relationships/hyperlink" Target="https://mgg.stores-apple.com/catalog/planshet-samsung-galaxy-tab-s11-ultra-lte-1024-gb-seryy/" TargetMode="External"/><Relationship Id="rId1264" Type="http://schemas.openxmlformats.org/officeDocument/2006/relationships/hyperlink" Target="https://mgg.stores-apple.com/catalog/noutbuk-apple-macbook-air-15-m4-2025-10c-cpu-10c-gpu-24gb-512-gb-ssd-temnaya-noch-mc6l4/" TargetMode="External"/><Relationship Id="rId432" Type="http://schemas.openxmlformats.org/officeDocument/2006/relationships/hyperlink" Target="https://mgg.stores-apple.com/catalog/smartfon_samsung_galaxy_z_flip_8_12_256_gb_seryy/" TargetMode="External"/><Relationship Id="rId674" Type="http://schemas.openxmlformats.org/officeDocument/2006/relationships/hyperlink" Target="https://mgg.stores-apple.com/catalog/smartfon-poco-x7-12-512gb-serebristyy/" TargetMode="External"/><Relationship Id="rId1023" Type="http://schemas.openxmlformats.org/officeDocument/2006/relationships/hyperlink" Target="https://mgg.stores-apple.com/catalog/planshet-samsung-galaxy-tab-s11-ultra-lte-1024-gb-serebro/" TargetMode="External"/><Relationship Id="rId1265" Type="http://schemas.openxmlformats.org/officeDocument/2006/relationships/hyperlink" Target="https://mgg.stores-apple.com/catalog/noutbuk_apple_macbook_air_13_m5_2026_16_gb_512_gb_ssd_serebristyy/" TargetMode="External"/><Relationship Id="rId431" Type="http://schemas.openxmlformats.org/officeDocument/2006/relationships/hyperlink" Target="https://mgg.stores-apple.com/catalog/smartfon_samsung_galaxy_z_flip_8_12_256_gb_bezhevyy/" TargetMode="External"/><Relationship Id="rId673" Type="http://schemas.openxmlformats.org/officeDocument/2006/relationships/hyperlink" Target="https://mgg.stores-apple.com/catalog/smartfon-poco-x7-8-256gb-zelenyy/" TargetMode="External"/><Relationship Id="rId1024" Type="http://schemas.openxmlformats.org/officeDocument/2006/relationships/hyperlink" Target="https://mgg.stores-apple.com/catalog/planshet-xiaomi-pad-7-8-128gb-wifi-seryy/" TargetMode="External"/><Relationship Id="rId1266" Type="http://schemas.openxmlformats.org/officeDocument/2006/relationships/hyperlink" Target="https://mgg.stores-apple.com/catalog/noutbuk_apple_macbook_air_15_m5_2026_16_gb_512_gb_ssd_serebristyy/" TargetMode="External"/><Relationship Id="rId430" Type="http://schemas.openxmlformats.org/officeDocument/2006/relationships/hyperlink" Target="https://mgg.stores-apple.com/catalog/smartfon-samsung-galaxy-z-flip7-fe-8-256-gb-belyj/" TargetMode="External"/><Relationship Id="rId672" Type="http://schemas.openxmlformats.org/officeDocument/2006/relationships/hyperlink" Target="https://mgg.stores-apple.com/catalog/smartfon-poco-x7-8-256gb-chernyy/" TargetMode="External"/><Relationship Id="rId1025" Type="http://schemas.openxmlformats.org/officeDocument/2006/relationships/hyperlink" Target="https://mgg.stores-apple.com/catalog/planshet-xiaomi-pad-7-8-128gb-wifi-goluboy/" TargetMode="External"/><Relationship Id="rId1267" Type="http://schemas.openxmlformats.org/officeDocument/2006/relationships/hyperlink" Target="https://mgg.stores-apple.com/catalog/noutbuk_apple_macbook_air_13_m5_2026_16_gb_512_gb_ssd_siyayushchaya_zvezda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kingstore.link/bitrix/admin/iblock_element_edit.php?IBLOCK_ID=36&amp;type=catalog&amp;lang=ru&amp;ID=2547&amp;find_section_section=518&amp;WF=Y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https://mgg.stores-apple.com/catalog/smartfon_apple_iphone_17e_256_gb_rozovyy_esim/" TargetMode="External"/><Relationship Id="rId391" Type="http://schemas.openxmlformats.org/officeDocument/2006/relationships/hyperlink" Target="https://mgg.stores-apple.com/catalog/smartfon_apple_iphone_17e_256_gb_belyy_esim/" TargetMode="External"/><Relationship Id="rId390" Type="http://schemas.openxmlformats.org/officeDocument/2006/relationships/hyperlink" Target="https://mgg.stores-apple.com/catalog/smartfon_apple_iphone_17e_256_gb_chernyy/" TargetMode="External"/><Relationship Id="rId1" Type="http://schemas.openxmlformats.org/officeDocument/2006/relationships/hyperlink" Target="https://mgg.stores-apple.com/catalog/smartfon_apple_iphone_18_pro_max_256_gb_dark_grey_tyemno_seryy_esim/" TargetMode="External"/><Relationship Id="rId2" Type="http://schemas.openxmlformats.org/officeDocument/2006/relationships/hyperlink" Target="https://mgg.stores-apple.com/catalog/smartfon_apple_iphone_18_pro_max_256_gb_silver_serebro_esim/" TargetMode="External"/><Relationship Id="rId3" Type="http://schemas.openxmlformats.org/officeDocument/2006/relationships/hyperlink" Target="https://mgg.stores-apple.com/catalog/smartfon_apple_iphone_18_pro_max_256_gb_dark_cherry_tyemnaya_vishnya_esim_/" TargetMode="External"/><Relationship Id="rId4" Type="http://schemas.openxmlformats.org/officeDocument/2006/relationships/hyperlink" Target="https://mgg.stores-apple.com/catalog/smartfon_apple_iphone_18_pro_max_256_gb_blue_goluboy/" TargetMode="External"/><Relationship Id="rId9" Type="http://schemas.openxmlformats.org/officeDocument/2006/relationships/hyperlink" Target="https://mgg.stores-apple.com/catalog/smartfon_apple_iphone_18_pro_max_512_gb_dark_grey_tyemno_seryy/" TargetMode="External"/><Relationship Id="rId385" Type="http://schemas.openxmlformats.org/officeDocument/2006/relationships/hyperlink" Target="https://mgg.stores-apple.com/catalog/smartfon-apple-iphone-14-pro-128-gb-temno-fioletovyj-demo/" TargetMode="External"/><Relationship Id="rId384" Type="http://schemas.openxmlformats.org/officeDocument/2006/relationships/hyperlink" Target="https://mgg.stores-apple.com/catalog/apple-iphone-15-256-gb-pink/" TargetMode="External"/><Relationship Id="rId383" Type="http://schemas.openxmlformats.org/officeDocument/2006/relationships/hyperlink" Target="https://mgg.stores-apple.com/catalog/apple-iphone-15-256-gb-green/" TargetMode="External"/><Relationship Id="rId382" Type="http://schemas.openxmlformats.org/officeDocument/2006/relationships/hyperlink" Target="https://mgg.stores-apple.com/catalog/apple-iphone-15-128-gb-pink/" TargetMode="External"/><Relationship Id="rId5" Type="http://schemas.openxmlformats.org/officeDocument/2006/relationships/hyperlink" Target="https://mgg.stores-apple.com/catalog/smartfon_apple_iphone_18_pro_max_256_gb_dark_grey_tyemno_seryy/" TargetMode="External"/><Relationship Id="rId389" Type="http://schemas.openxmlformats.org/officeDocument/2006/relationships/hyperlink" Target="https://mgg.stores-apple.com/catalog/apple-iphone-13-128-gb-belyj/" TargetMode="External"/><Relationship Id="rId6" Type="http://schemas.openxmlformats.org/officeDocument/2006/relationships/hyperlink" Target="https://mgg.stores-apple.com/catalog/smartfon_apple_iphone_18_pro_max_256_gb_silver_serebro/" TargetMode="External"/><Relationship Id="rId388" Type="http://schemas.openxmlformats.org/officeDocument/2006/relationships/hyperlink" Target="https://mgg.stores-apple.com/catalog/apple-iphone-13-128-gb-chernyj/" TargetMode="External"/><Relationship Id="rId7" Type="http://schemas.openxmlformats.org/officeDocument/2006/relationships/hyperlink" Target="https://mgg.stores-apple.com/catalog/smartfon_apple_iphone_18_pro_max_256_gb_dark_cherry_tyemnaya_vishnya/" TargetMode="External"/><Relationship Id="rId387" Type="http://schemas.openxmlformats.org/officeDocument/2006/relationships/hyperlink" Target="https://mgg.stores-apple.com/catalog/apple-iphone-14-128-gb-polnoch/" TargetMode="External"/><Relationship Id="rId8" Type="http://schemas.openxmlformats.org/officeDocument/2006/relationships/hyperlink" Target="https://mgg.stores-apple.com/catalog/smartfon_apple_iphone_18_pro_max_512_gb_blue_goluboy/" TargetMode="External"/><Relationship Id="rId386" Type="http://schemas.openxmlformats.org/officeDocument/2006/relationships/hyperlink" Target="https://mgg.stores-apple.com/catalog/smartfon-apple-iphone-14-pro-512-gb-temno-fioletovyj-demo/" TargetMode="External"/><Relationship Id="rId381" Type="http://schemas.openxmlformats.org/officeDocument/2006/relationships/hyperlink" Target="https://mgg.stores-apple.com/catalog/apple-iphone-15-128-gb-green/" TargetMode="External"/><Relationship Id="rId380" Type="http://schemas.openxmlformats.org/officeDocument/2006/relationships/hyperlink" Target="https://mgg.stores-apple.com/catalog/apple-iphone-15-256-gb-siniy/" TargetMode="External"/><Relationship Id="rId379" Type="http://schemas.openxmlformats.org/officeDocument/2006/relationships/hyperlink" Target="https://mgg.stores-apple.com/catalog/apple-iphone-15-256-gb-black/" TargetMode="External"/><Relationship Id="rId374" Type="http://schemas.openxmlformats.org/officeDocument/2006/relationships/hyperlink" Target="https://mgg.stores-apple.com/catalog/smartfon_apple_iphone_15_128_gb_chernyy_/" TargetMode="External"/><Relationship Id="rId373" Type="http://schemas.openxmlformats.org/officeDocument/2006/relationships/hyperlink" Target="https://mgg.stores-apple.com/catalog/smartfon_apple_iphone_15_128_gb_goluboy_/" TargetMode="External"/><Relationship Id="rId372" Type="http://schemas.openxmlformats.org/officeDocument/2006/relationships/hyperlink" Target="https://mgg.stores-apple.com/catalog/smartfon-apple-iphone-16e-512-gb-belyy/" TargetMode="External"/><Relationship Id="rId371" Type="http://schemas.openxmlformats.org/officeDocument/2006/relationships/hyperlink" Target="https://mgg.stores-apple.com/catalog/smartfon-apple-iphone-16e-512-gb-chernyj/" TargetMode="External"/><Relationship Id="rId378" Type="http://schemas.openxmlformats.org/officeDocument/2006/relationships/hyperlink" Target="https://mgg.stores-apple.com/catalog/smartfon_apple_iphone_15_256_gb_goluboy_/" TargetMode="External"/><Relationship Id="rId377" Type="http://schemas.openxmlformats.org/officeDocument/2006/relationships/hyperlink" Target="https://mgg.stores-apple.com/catalog/smartfon_apple_iphone_15_256_gb_chernyy_/" TargetMode="External"/><Relationship Id="rId376" Type="http://schemas.openxmlformats.org/officeDocument/2006/relationships/hyperlink" Target="https://mgg.stores-apple.com/catalog/apple-iphone-15-128-gb-black/" TargetMode="External"/><Relationship Id="rId375" Type="http://schemas.openxmlformats.org/officeDocument/2006/relationships/hyperlink" Target="https://mgg.stores-apple.com/catalog/apple-iphone-15-128-gb-siniy/" TargetMode="External"/><Relationship Id="rId396" Type="http://schemas.openxmlformats.org/officeDocument/2006/relationships/hyperlink" Target="https://mgg.stores-apple.com/catalog/smartfon_apple_iphone_17e_512_gb_chernyy_esim/" TargetMode="External"/><Relationship Id="rId395" Type="http://schemas.openxmlformats.org/officeDocument/2006/relationships/hyperlink" Target="https://mgg.stores-apple.com/catalog/smartfon_apple_iphone_17e_256_gb_rozovyy/" TargetMode="External"/><Relationship Id="rId394" Type="http://schemas.openxmlformats.org/officeDocument/2006/relationships/hyperlink" Target="https://mgg.stores-apple.com/catalog/smartfon_apple_iphone_17e_256_gb_belyy/" TargetMode="External"/><Relationship Id="rId393" Type="http://schemas.openxmlformats.org/officeDocument/2006/relationships/hyperlink" Target="https://mgg.stores-apple.com/catalog/smartfon_apple_iphone_17e_256_gb_chernyy_esim/" TargetMode="External"/><Relationship Id="rId399" Type="http://schemas.openxmlformats.org/officeDocument/2006/relationships/hyperlink" Target="https://mgg.stores-apple.com/catalog/smartfon_apple_iphone_17e_512_gb_rozovyy/" TargetMode="External"/><Relationship Id="rId398" Type="http://schemas.openxmlformats.org/officeDocument/2006/relationships/hyperlink" Target="https://mgg.stores-apple.com/catalog/smartfon_apple_iphone_17e_512_gb_rozovyy_esim/" TargetMode="External"/><Relationship Id="rId397" Type="http://schemas.openxmlformats.org/officeDocument/2006/relationships/hyperlink" Target="https://mgg.stores-apple.com/catalog/smartfon_apple_iphone_17e_512_gb_belyy_esim/" TargetMode="External"/><Relationship Id="rId808" Type="http://schemas.openxmlformats.org/officeDocument/2006/relationships/hyperlink" Target="https://mgg.stores-apple.com/catalog/smartfon_honor_magic_8_pro_12_512_gb_sky_cyan_biryuzovyy/" TargetMode="External"/><Relationship Id="rId807" Type="http://schemas.openxmlformats.org/officeDocument/2006/relationships/hyperlink" Target="https://mgg.stores-apple.com/catalog/smartfon_honor_600_pro_12_512_gb_orange_oranzhevyy/" TargetMode="External"/><Relationship Id="rId806" Type="http://schemas.openxmlformats.org/officeDocument/2006/relationships/hyperlink" Target="https://mgg.stores-apple.com/catalog/smartfon_honor_600_pro_12_512_gb_golden_white_bezhevyy/" TargetMode="External"/><Relationship Id="rId805" Type="http://schemas.openxmlformats.org/officeDocument/2006/relationships/hyperlink" Target="https://mgg.stores-apple.com/catalog/smartfon_honor_600_pro_12_256_gb_golden_white_bezhevyy/" TargetMode="External"/><Relationship Id="rId809" Type="http://schemas.openxmlformats.org/officeDocument/2006/relationships/hyperlink" Target="https://mgg.stores-apple.com/catalog/smartfon_honor_magic_8_pro_12_512_gb_black_chernyy/" TargetMode="External"/><Relationship Id="rId800" Type="http://schemas.openxmlformats.org/officeDocument/2006/relationships/hyperlink" Target="https://mgg.stores-apple.com/catalog/smartfon_honor_600_12_256_gb_golden_white_bezhevyy/" TargetMode="External"/><Relationship Id="rId804" Type="http://schemas.openxmlformats.org/officeDocument/2006/relationships/hyperlink" Target="https://mgg.stores-apple.com/catalog/smartfon_honor_600_pro_12_512_gb_black_chernyy/" TargetMode="External"/><Relationship Id="rId803" Type="http://schemas.openxmlformats.org/officeDocument/2006/relationships/hyperlink" Target="https://mgg.stores-apple.com/catalog/smartfon_honor_600_pro_12_256_gb_black_chernyy/" TargetMode="External"/><Relationship Id="rId802" Type="http://schemas.openxmlformats.org/officeDocument/2006/relationships/hyperlink" Target="https://mgg.stores-apple.com/catalog/smartfon_honor_600_12_512_gb_orange_oranzhevyy/" TargetMode="External"/><Relationship Id="rId801" Type="http://schemas.openxmlformats.org/officeDocument/2006/relationships/hyperlink" Target="https://mgg.stores-apple.com/catalog/smartfon_honor_600_12_512_gb_black_chernyy/" TargetMode="External"/><Relationship Id="rId40" Type="http://schemas.openxmlformats.org/officeDocument/2006/relationships/hyperlink" Target="https://mgg.stores-apple.com/catalog/smartfon_apple_iphone_duo_1024_gb_night_sky_nochnoe_nebo/" TargetMode="External"/><Relationship Id="rId1334" Type="http://schemas.openxmlformats.org/officeDocument/2006/relationships/hyperlink" Target="https://mgg.stores-apple.com/catalog/noutbuk-apple-macbook-pro-14-m5-2025-10-core-gpu-16-gb-1000-gb-serebristyi-mde54/" TargetMode="External"/><Relationship Id="rId1335" Type="http://schemas.openxmlformats.org/officeDocument/2006/relationships/hyperlink" Target="https://mgg.stores-apple.com/catalog/noutbuk-apple-macbook-pro-14-m5-2025-10-core-gpu-16-gb-1000-gb-chernyi-mde14/" TargetMode="External"/><Relationship Id="rId42" Type="http://schemas.openxmlformats.org/officeDocument/2006/relationships/hyperlink" Target="https://mgg.stores-apple.com/catalog/smartfon_apple_iphone_duo_2048_gb_star_white_belaya_zvezda/" TargetMode="External"/><Relationship Id="rId1336" Type="http://schemas.openxmlformats.org/officeDocument/2006/relationships/hyperlink" Target="https://mgg.stores-apple.com/catalog/noutbuk-apple-macbook-pro-14-m4-pro-2024-16-core-gpu-24-gb-512-gb-serebristyy-mx2e3/" TargetMode="External"/><Relationship Id="rId41" Type="http://schemas.openxmlformats.org/officeDocument/2006/relationships/hyperlink" Target="https://mgg.stores-apple.com/catalog/smartfon_apple_iphone_duo_1024_gb_star_white_belaya_zvezda/" TargetMode="External"/><Relationship Id="rId1337" Type="http://schemas.openxmlformats.org/officeDocument/2006/relationships/hyperlink" Target="https://mgg.stores-apple.com/catalog/noutbuk-apple-macbook-pro-14-m5-2025-10-core-gpu-24-gb-1000-gb-chernyi-mde34/" TargetMode="External"/><Relationship Id="rId44" Type="http://schemas.openxmlformats.org/officeDocument/2006/relationships/hyperlink" Target="https://mgg.stores-apple.com/catalog/smartfon_apple_iphone_17_256_gb_lavandovyy_/" TargetMode="External"/><Relationship Id="rId1338" Type="http://schemas.openxmlformats.org/officeDocument/2006/relationships/hyperlink" Target="https://mgg.stores-apple.com/catalog/noutbuk-apple-macbook-pro-14-m5-2025-10-core-gpu-24-gb-1024-gb-serebristyi-mde64/" TargetMode="External"/><Relationship Id="rId43" Type="http://schemas.openxmlformats.org/officeDocument/2006/relationships/hyperlink" Target="https://mgg.stores-apple.com/catalog/smartfon_apple_iphone_duo_2048_gb_night_sky_nochnoe_nebo/" TargetMode="External"/><Relationship Id="rId1339" Type="http://schemas.openxmlformats.org/officeDocument/2006/relationships/hyperlink" Target="https://mgg.stores-apple.com/catalog/noutbuk-apple-macbook-pro-14-m4-2024-10-core-gpu-24-gb-1024-gb-chernyj-kosmos-mcx04/" TargetMode="External"/><Relationship Id="rId46" Type="http://schemas.openxmlformats.org/officeDocument/2006/relationships/hyperlink" Target="https://mgg.stores-apple.com/catalog/smartfon_apple_iphone_17_256_gb_goluboy_nano_sim_esim_aktiv/" TargetMode="External"/><Relationship Id="rId45" Type="http://schemas.openxmlformats.org/officeDocument/2006/relationships/hyperlink" Target="https://mgg.stores-apple.com/catalog/smartfon_apple_iphone_17_256_gb_zelenyy_nano_sim_esim_aktiv/" TargetMode="External"/><Relationship Id="rId745" Type="http://schemas.openxmlformats.org/officeDocument/2006/relationships/hyperlink" Target="https://mgg.stores-apple.com/catalog/smartfon_google_pixel_11_pro_fold_16_256_gb_chyernyy/" TargetMode="External"/><Relationship Id="rId744" Type="http://schemas.openxmlformats.org/officeDocument/2006/relationships/hyperlink" Target="https://mgg.stores-apple.com/catalog/smartfon-google-pixel-9-pro-fold-16-256-gb-chernyi/" TargetMode="External"/><Relationship Id="rId743" Type="http://schemas.openxmlformats.org/officeDocument/2006/relationships/hyperlink" Target="https://mgg.stores-apple.com/catalog/smartfon_google_pixel_11_12_512_gb_fistashka_pistachio/" TargetMode="External"/><Relationship Id="rId742" Type="http://schemas.openxmlformats.org/officeDocument/2006/relationships/hyperlink" Target="https://mgg.stores-apple.com/catalog/smartfon_google_pixel_11_12_512_gb_obsidian_obsidian/" TargetMode="External"/><Relationship Id="rId749" Type="http://schemas.openxmlformats.org/officeDocument/2006/relationships/hyperlink" Target="https://mgg.stores-apple.com/catalog/smartfon_google_pixel_11_pro_fold_16_1024_gb_chyernyy_/" TargetMode="External"/><Relationship Id="rId748" Type="http://schemas.openxmlformats.org/officeDocument/2006/relationships/hyperlink" Target="https://mgg.stores-apple.com/catalog/smartfon_google_pixel_11_pro_fold_16_512_gb_olivkovyy/" TargetMode="External"/><Relationship Id="rId747" Type="http://schemas.openxmlformats.org/officeDocument/2006/relationships/hyperlink" Target="https://mgg.stores-apple.com/catalog/smartfon_google_pixel_11_pro_fold_16_512_gb_chyernyy/" TargetMode="External"/><Relationship Id="rId746" Type="http://schemas.openxmlformats.org/officeDocument/2006/relationships/hyperlink" Target="https://mgg.stores-apple.com/catalog/smartfon_google_pixel_11_pro_fold_16_256_gb_olivkovyy/" TargetMode="External"/><Relationship Id="rId48" Type="http://schemas.openxmlformats.org/officeDocument/2006/relationships/hyperlink" Target="https://mgg.stores-apple.com/catalog/smartfon_apple_iphone_17_256_gb_chernyy_nano_sim_esim_aktiv/" TargetMode="External"/><Relationship Id="rId47" Type="http://schemas.openxmlformats.org/officeDocument/2006/relationships/hyperlink" Target="https://mgg.stores-apple.com/catalog/smartfon_apple_iphone_17_256_gb_lavandovyy_nano_sim_esim_aktiv/" TargetMode="External"/><Relationship Id="rId49" Type="http://schemas.openxmlformats.org/officeDocument/2006/relationships/hyperlink" Target="https://mgg.stores-apple.com/catalog/smartfon_apple_iphone_17_256_gb_belyy_nano_sim_esim_aktiv/" TargetMode="External"/><Relationship Id="rId741" Type="http://schemas.openxmlformats.org/officeDocument/2006/relationships/hyperlink" Target="https://mgg.stores-apple.com/catalog/smartfon_google_pixel_11_12_512_gb_gibiskus_hibiscus/" TargetMode="External"/><Relationship Id="rId1330" Type="http://schemas.openxmlformats.org/officeDocument/2006/relationships/hyperlink" Target="https://mgg.stores-apple.com/catalog/noutbuk-apple-macbook-pro-14-m4-2024-10-core-gpu-16-gb-1024-gb-serebristyy-mw2x3/" TargetMode="External"/><Relationship Id="rId740" Type="http://schemas.openxmlformats.org/officeDocument/2006/relationships/hyperlink" Target="https://mgg.stores-apple.com/catalog/smartfon_google_pixel_11_12_512_gb_moroznyy_frost/" TargetMode="External"/><Relationship Id="rId1331" Type="http://schemas.openxmlformats.org/officeDocument/2006/relationships/hyperlink" Target="https://mgg.stores-apple.com/catalog/noutbuk-apple-macbook-pro-14-m4-2024-10-core-gpu-16-gb-1024-gb-chernyj-kosmos-mw2v3/" TargetMode="External"/><Relationship Id="rId1332" Type="http://schemas.openxmlformats.org/officeDocument/2006/relationships/hyperlink" Target="https://mgg.stores-apple.com/catalog/noutbuk-apple-macbook-pro-14-m5-2025-10-core-gpu-16-gb-512-gb-serebristyi-mde44/" TargetMode="External"/><Relationship Id="rId1333" Type="http://schemas.openxmlformats.org/officeDocument/2006/relationships/hyperlink" Target="https://mgg.stores-apple.com/catalog/noutbuk-apple-macbook-pro-14-m5-2025-10-core-gpu-16-gb-512-gb-chernyi-mde04/" TargetMode="External"/><Relationship Id="rId1323" Type="http://schemas.openxmlformats.org/officeDocument/2006/relationships/hyperlink" Target="https://mgg.stores-apple.com/catalog/sportivnye_chasy_garmin_forerunner_170_music_black_with_black_amp_yellow_band_cherno_zheltyy_/" TargetMode="External"/><Relationship Id="rId1324" Type="http://schemas.openxmlformats.org/officeDocument/2006/relationships/hyperlink" Target="https://mgg.stores-apple.com/catalog/sportivnye_chasy_garmin_forerunner_170_whitestone_with_whitestone_cloud_blue_band_belo_goluboy/" TargetMode="External"/><Relationship Id="rId31" Type="http://schemas.openxmlformats.org/officeDocument/2006/relationships/hyperlink" Target="https://mgg.stores-apple.com/catalog/smartfon_apple_iphone_18_pro_1024_gb_blue_goluboy/" TargetMode="External"/><Relationship Id="rId1325" Type="http://schemas.openxmlformats.org/officeDocument/2006/relationships/hyperlink" Target="https://mgg.stores-apple.com/catalog/sportivnye_chasy_garmin_forerunner_170_black_with_black_amp_yellow_band_cherno_zheltyy_/" TargetMode="External"/><Relationship Id="rId30" Type="http://schemas.openxmlformats.org/officeDocument/2006/relationships/hyperlink" Target="https://mgg.stores-apple.com/catalog/smartfon_apple_iphone_18_pro_1024_gb_dark_cherry_tyemnaya_vishnya/" TargetMode="External"/><Relationship Id="rId1326" Type="http://schemas.openxmlformats.org/officeDocument/2006/relationships/hyperlink" Target="https://mgg.stores-apple.com/catalog/remeshok_stalnoy_ubear_spark_dlya_apple_watch_m_l_42_44_45_49_serebro/" TargetMode="External"/><Relationship Id="rId33" Type="http://schemas.openxmlformats.org/officeDocument/2006/relationships/hyperlink" Target="https://mgg.stores-apple.com/catalog/smartfon_apple_iphone_18_pro_2048_gb_silver_serebro/" TargetMode="External"/><Relationship Id="rId1327" Type="http://schemas.openxmlformats.org/officeDocument/2006/relationships/hyperlink" Target="https://mgg.stores-apple.com/catalog/remeshok_stalnoy_ubear_spark_dlya_apple_watch_s_m_38_40_41_serebro/" TargetMode="External"/><Relationship Id="rId32" Type="http://schemas.openxmlformats.org/officeDocument/2006/relationships/hyperlink" Target="https://mgg.stores-apple.com/catalog/smartfon_apple_iphone_18_pro_2048_gb_dark_grey_tyemno_seryy/" TargetMode="External"/><Relationship Id="rId1328" Type="http://schemas.openxmlformats.org/officeDocument/2006/relationships/hyperlink" Target="https://mgg.stores-apple.com/catalog/noutbuk-apple-macbook-pro-14-m4-2024-10-core-gpu-16-gb-512-gb-serebristyj-mw2w3/" TargetMode="External"/><Relationship Id="rId35" Type="http://schemas.openxmlformats.org/officeDocument/2006/relationships/hyperlink" Target="https://mgg.stores-apple.com/catalog/smartfon_apple_iphone_18_pro_2048_gb_blue_goluboy/" TargetMode="External"/><Relationship Id="rId1329" Type="http://schemas.openxmlformats.org/officeDocument/2006/relationships/hyperlink" Target="https://mgg.stores-apple.com/catalog/noutbuk-apple-macbook-pro-14-m4-2024-10-core-gpu-16-gb-512-gb-chernyj-kosmos-mw2u3/" TargetMode="External"/><Relationship Id="rId34" Type="http://schemas.openxmlformats.org/officeDocument/2006/relationships/hyperlink" Target="https://mgg.stores-apple.com/catalog/smartfon_apple_iphone_18_pro_2048_gb_dark_cherry_tyemnaya_vishnya/" TargetMode="External"/><Relationship Id="rId739" Type="http://schemas.openxmlformats.org/officeDocument/2006/relationships/hyperlink" Target="https://mgg.stores-apple.com/catalog/smartfon_google_pixel_11_12_256_gb_gibiskus_hibiscus/" TargetMode="External"/><Relationship Id="rId734" Type="http://schemas.openxmlformats.org/officeDocument/2006/relationships/hyperlink" Target="https://mgg.stores-apple.com/catalog/smartfon-google-pixel-9-pro-16-512-gb-bezhevyi/" TargetMode="External"/><Relationship Id="rId733" Type="http://schemas.openxmlformats.org/officeDocument/2006/relationships/hyperlink" Target="https://mgg.stores-apple.com/catalog/smartfon-google-pixel-9-pro-16-512-gb-seryi/" TargetMode="External"/><Relationship Id="rId732" Type="http://schemas.openxmlformats.org/officeDocument/2006/relationships/hyperlink" Target="https://mgg.stores-apple.com/catalog/smartfon-google-pixel-9-pro-16-256-gb-chernyi/" TargetMode="External"/><Relationship Id="rId731" Type="http://schemas.openxmlformats.org/officeDocument/2006/relationships/hyperlink" Target="https://mgg.stores-apple.com/catalog/smartfon-google-pixel-9-pro-16-256-gb-seryi/" TargetMode="External"/><Relationship Id="rId738" Type="http://schemas.openxmlformats.org/officeDocument/2006/relationships/hyperlink" Target="https://mgg.stores-apple.com/catalog/smartfon_google_pixel_11_12_256_gb_moroznyy_frost/" TargetMode="External"/><Relationship Id="rId737" Type="http://schemas.openxmlformats.org/officeDocument/2006/relationships/hyperlink" Target="https://mgg.stores-apple.com/catalog/smartfon_google_pixel_11_12_256_gb_obsidian_obsidian/" TargetMode="External"/><Relationship Id="rId736" Type="http://schemas.openxmlformats.org/officeDocument/2006/relationships/hyperlink" Target="https://mgg.stores-apple.com/catalog/smartfon_google_pixel_11_12_256_gb_fistashka_pistachio/" TargetMode="External"/><Relationship Id="rId735" Type="http://schemas.openxmlformats.org/officeDocument/2006/relationships/hyperlink" Target="https://mgg.stores-apple.com/catalog/smartfon-google-pixel-9-pro-16-512-gb-chernyi/" TargetMode="External"/><Relationship Id="rId37" Type="http://schemas.openxmlformats.org/officeDocument/2006/relationships/hyperlink" Target="https://mgg.stores-apple.com/catalog/smartfon_apple_iphone_duo_256_gb_night_sky_nochnoe_nebo/" TargetMode="External"/><Relationship Id="rId36" Type="http://schemas.openxmlformats.org/officeDocument/2006/relationships/hyperlink" Target="https://mgg.stores-apple.com/catalog/smartfon_apple_iphone_duo_256_gb_star_white_belaya_zvezda/" TargetMode="External"/><Relationship Id="rId39" Type="http://schemas.openxmlformats.org/officeDocument/2006/relationships/hyperlink" Target="https://mgg.stores-apple.com/catalog/smartfon_apple_iphone_duo_512_gb_night_sky_nochnoe_nebo/" TargetMode="External"/><Relationship Id="rId38" Type="http://schemas.openxmlformats.org/officeDocument/2006/relationships/hyperlink" Target="https://mgg.stores-apple.com/catalog/smartfon_apple_iphone_duo_512_gb_star_white_belaya_zvezda/" TargetMode="External"/><Relationship Id="rId730" Type="http://schemas.openxmlformats.org/officeDocument/2006/relationships/hyperlink" Target="https://mgg.stores-apple.com/catalog/smartfon-google-pixel-9-pro-16-256-gb-bezhevyi/" TargetMode="External"/><Relationship Id="rId1320" Type="http://schemas.openxmlformats.org/officeDocument/2006/relationships/hyperlink" Target="https://mgg.stores-apple.com/catalog/sportivnye_chasy_garmin_vivoactive_6_black_chernyy_010_02985_00/" TargetMode="External"/><Relationship Id="rId1321" Type="http://schemas.openxmlformats.org/officeDocument/2006/relationships/hyperlink" Target="https://mgg.stores-apple.com/catalog/sportivnye_chasy_garmin_forerunner_170_music_teal_green_with_teal_green_citron_band_zeleno_limonnyy/" TargetMode="External"/><Relationship Id="rId1322" Type="http://schemas.openxmlformats.org/officeDocument/2006/relationships/hyperlink" Target="https://mgg.stores-apple.com/catalog/sportivnye_chasy_garmin_forerunner_170_music_music_red_pink_with_red_pink_mango_band_krasno_rozovyy/" TargetMode="External"/><Relationship Id="rId1356" Type="http://schemas.openxmlformats.org/officeDocument/2006/relationships/hyperlink" Target="https://mgg.stores-apple.com/catalog/monoblok-apple-imac-24-m4-2024-2-porta-8c-cpu-8c-gpu-16-gb-256-gb-ssd-zheltyy-mwud3/" TargetMode="External"/><Relationship Id="rId1357" Type="http://schemas.openxmlformats.org/officeDocument/2006/relationships/hyperlink" Target="https://mgg.stores-apple.com/catalog/monoblok-apple-imac-24-m4-2024-2-porta-8c-cpu-8c-gpu-16-gb-256-gb-ssd-serebristyy-mwuc3/" TargetMode="External"/><Relationship Id="rId20" Type="http://schemas.openxmlformats.org/officeDocument/2006/relationships/hyperlink" Target="https://mgg.stores-apple.com/catalog/smartfon_apple_iphone_18_pro_256_gb_dark_cherry_tyemnaya_vishnya/" TargetMode="External"/><Relationship Id="rId1358" Type="http://schemas.openxmlformats.org/officeDocument/2006/relationships/hyperlink" Target="https://mgg.stores-apple.com/catalog/monoblok-apple-imac-24-m4-2024-2-porta-8c-cpu-8c-gpu-16-gb-256-gb-ssd-goluboy-mwuf3/" TargetMode="External"/><Relationship Id="rId1359" Type="http://schemas.openxmlformats.org/officeDocument/2006/relationships/hyperlink" Target="https://mgg.stores-apple.com/catalog/monoblok-apple-imac-24-m4-2024-2-porta-8c-cpu-8c-gpu-16-gb-256-gb-ssd-oranzhevyy-mwuj3/" TargetMode="External"/><Relationship Id="rId22" Type="http://schemas.openxmlformats.org/officeDocument/2006/relationships/hyperlink" Target="https://mgg.stores-apple.com/catalog/smartfon_apple_iphone_18_pro_256_gb_blue_goluboy/" TargetMode="External"/><Relationship Id="rId21" Type="http://schemas.openxmlformats.org/officeDocument/2006/relationships/hyperlink" Target="https://mgg.stores-apple.com/catalog/smartfon_apple_iphone_18_pro_256_gb_silver_serebro/" TargetMode="External"/><Relationship Id="rId24" Type="http://schemas.openxmlformats.org/officeDocument/2006/relationships/hyperlink" Target="https://mgg.stores-apple.com/catalog/smartfon_apple_iphone_18_pro_512_gb_silver_serebro/" TargetMode="External"/><Relationship Id="rId23" Type="http://schemas.openxmlformats.org/officeDocument/2006/relationships/hyperlink" Target="https://mgg.stores-apple.com/catalog/smartfon_apple_iphone_18_pro_256_gb_dark_grey_tyemno_seryy/" TargetMode="External"/><Relationship Id="rId767" Type="http://schemas.openxmlformats.org/officeDocument/2006/relationships/hyperlink" Target="https://mgg.stores-apple.com/catalog/smartfon-google-pixel-9a-8-128-gb-bezhevyi/" TargetMode="External"/><Relationship Id="rId766" Type="http://schemas.openxmlformats.org/officeDocument/2006/relationships/hyperlink" Target="https://mgg.stores-apple.com/catalog/smartfon-google-pixel-9-pro-xl-16-256-gb-chernyi/" TargetMode="External"/><Relationship Id="rId765" Type="http://schemas.openxmlformats.org/officeDocument/2006/relationships/hyperlink" Target="https://mgg.stores-apple.com/catalog/smartfon-google-pixel-9-pro-xl-16-256-gb-rozovyi/" TargetMode="External"/><Relationship Id="rId764" Type="http://schemas.openxmlformats.org/officeDocument/2006/relationships/hyperlink" Target="https://mgg.stores-apple.com/catalog/smartfon-google-pixel-9-pro-xl-16-256-gb-seryi/" TargetMode="External"/><Relationship Id="rId769" Type="http://schemas.openxmlformats.org/officeDocument/2006/relationships/hyperlink" Target="https://mgg.stores-apple.com/catalog/smartfon-google-pixel-9a-8-128-gb-rozovyi/" TargetMode="External"/><Relationship Id="rId768" Type="http://schemas.openxmlformats.org/officeDocument/2006/relationships/hyperlink" Target="https://mgg.stores-apple.com/catalog/smartfon-google-pixel-9a-8-128-gb-chernyi/" TargetMode="External"/><Relationship Id="rId26" Type="http://schemas.openxmlformats.org/officeDocument/2006/relationships/hyperlink" Target="https://mgg.stores-apple.com/catalog/smartfon_apple_iphone_18_pro_512_gb_dark_cherry_tyemnaya_vishnya/" TargetMode="External"/><Relationship Id="rId25" Type="http://schemas.openxmlformats.org/officeDocument/2006/relationships/hyperlink" Target="https://mgg.stores-apple.com/catalog/smartfon_apple_iphone_18_pro_512_gb_dark_grey_tyemno_seryy/" TargetMode="External"/><Relationship Id="rId28" Type="http://schemas.openxmlformats.org/officeDocument/2006/relationships/hyperlink" Target="https://mgg.stores-apple.com/catalog/smartfon_apple_iphone_18_pro_1024_gb_silver_serebro/" TargetMode="External"/><Relationship Id="rId1350" Type="http://schemas.openxmlformats.org/officeDocument/2006/relationships/hyperlink" Target="https://mgg.stores-apple.com/catalog/noutbuk-apple-macbook-pro-14-m4-max-2024-32-core-gpu-36-gb-1024-gb-chernyy-kosmos-mx2k3/" TargetMode="External"/><Relationship Id="rId27" Type="http://schemas.openxmlformats.org/officeDocument/2006/relationships/hyperlink" Target="https://mgg.stores-apple.com/catalog/smartfon_apple_iphone_18_pro_512_gb_blue_goluboy/" TargetMode="External"/><Relationship Id="rId1351" Type="http://schemas.openxmlformats.org/officeDocument/2006/relationships/hyperlink" Target="https://mgg.stores-apple.com/catalog/noutbuk-apple-macbook-pro-14-m4-max-2024-32-core-gpu-36-gb-1024-gb-serebristyy-mx2g3/" TargetMode="External"/><Relationship Id="rId763" Type="http://schemas.openxmlformats.org/officeDocument/2006/relationships/hyperlink" Target="https://mgg.stores-apple.com/catalog/smartfon-google-pixel-9-pro-xl-16-256-gb-bezhevyi/" TargetMode="External"/><Relationship Id="rId1352" Type="http://schemas.openxmlformats.org/officeDocument/2006/relationships/hyperlink" Target="https://mgg.stores-apple.com/catalog/noutbuk-apple-macbook-pro-16-m4-max-2024-40-core-gpu-48-gb-1024-gb-serebristyy-mx2w3/" TargetMode="External"/><Relationship Id="rId29" Type="http://schemas.openxmlformats.org/officeDocument/2006/relationships/hyperlink" Target="https://mgg.stores-apple.com/catalog/smartfon_apple_iphone_18_pro_1024_gb_dark_grey_tyemno_seryy/" TargetMode="External"/><Relationship Id="rId762" Type="http://schemas.openxmlformats.org/officeDocument/2006/relationships/hyperlink" Target="https://mgg.stores-apple.com/catalog/smartfon-google-pixel-9-pro-xl-16-128-gb-seryi/" TargetMode="External"/><Relationship Id="rId1353" Type="http://schemas.openxmlformats.org/officeDocument/2006/relationships/hyperlink" Target="https://mgg.stores-apple.com/catalog/noutbuk_apple_macbook_pro_16_m5_max_18c_cpu_32c_gpu_2026_36_2048_gb_chernyy_kosmos_mge74/" TargetMode="External"/><Relationship Id="rId761" Type="http://schemas.openxmlformats.org/officeDocument/2006/relationships/hyperlink" Target="https://mgg.stores-apple.com/catalog/smartfon-google-pixel-9-pro-xl-16-128-gb-chernyi/" TargetMode="External"/><Relationship Id="rId1354" Type="http://schemas.openxmlformats.org/officeDocument/2006/relationships/hyperlink" Target="https://mgg.stores-apple.com/catalog/noutbuk-apple-macbook-pro-16-m4-max-2024-40-core-gpu-48-gb-1024-gb-chernyy-kosmos-mx313/" TargetMode="External"/><Relationship Id="rId760" Type="http://schemas.openxmlformats.org/officeDocument/2006/relationships/hyperlink" Target="https://mgg.stores-apple.com/catalog/smartfon-google-pixel-9-pro-xl-16-128-gb-rozovyi/" TargetMode="External"/><Relationship Id="rId1355" Type="http://schemas.openxmlformats.org/officeDocument/2006/relationships/hyperlink" Target="https://mgg.stores-apple.com/catalog/noutbuk_apple_macbook_pro_16_m5_max_18c_cpu_40c_gpu_2026_48_2048_gb_chernyy_kosmos_mde94/" TargetMode="External"/><Relationship Id="rId1345" Type="http://schemas.openxmlformats.org/officeDocument/2006/relationships/hyperlink" Target="https://mgg.stores-apple.com/catalog/noutbuk-apple-macbook-pro-14-m4-pro-2024-20-core-gpu-24-gb-1024-gb-chernyy-kosmos-mx2j3/" TargetMode="External"/><Relationship Id="rId1346" Type="http://schemas.openxmlformats.org/officeDocument/2006/relationships/hyperlink" Target="https://mgg.stores-apple.com/catalog/noutbuk-apple-macbook-pro-16-m4-pro-2024-20-core-gpu-48-gb-512-gb-chernyy-kosmos-mx2y3/" TargetMode="External"/><Relationship Id="rId1347" Type="http://schemas.openxmlformats.org/officeDocument/2006/relationships/hyperlink" Target="https://mgg.stores-apple.com/catalog/noutbuk-apple-macbook-pro-16-m4-max-2024-32-core-gpu-36-gb-1024-gb-chernyy-kosmos-mx303/" TargetMode="External"/><Relationship Id="rId1348" Type="http://schemas.openxmlformats.org/officeDocument/2006/relationships/hyperlink" Target="https://mgg.stores-apple.com/catalog/noutbuk-apple-macbook-pro-16-m4-pro-2024-20-core-gpu-48-gb-512-gb-serebristyy-mx2u3/" TargetMode="External"/><Relationship Id="rId11" Type="http://schemas.openxmlformats.org/officeDocument/2006/relationships/hyperlink" Target="https://mgg.stores-apple.com/catalog/smartfon_apple_iphone_18_pro_max_512_gb_dark_cherry_tyemnaya_vishnya/" TargetMode="External"/><Relationship Id="rId1349" Type="http://schemas.openxmlformats.org/officeDocument/2006/relationships/hyperlink" Target="https://mgg.stores-apple.com/catalog/noutbuk-apple-macbook-pro-16-m4-max-2024-32-core-gpu-36-gb-1024-gb-serebristyy-mx2v3/" TargetMode="External"/><Relationship Id="rId10" Type="http://schemas.openxmlformats.org/officeDocument/2006/relationships/hyperlink" Target="https://mgg.stores-apple.com/catalog/smartfon_apple_iphone_18_pro_max_512_gb_silver_serebro/" TargetMode="External"/><Relationship Id="rId13" Type="http://schemas.openxmlformats.org/officeDocument/2006/relationships/hyperlink" Target="https://mgg.stores-apple.com/catalog/smartfon_apple_iphone_18_pro_max_1024_gb_dark_grey_tyemno_seryy/" TargetMode="External"/><Relationship Id="rId12" Type="http://schemas.openxmlformats.org/officeDocument/2006/relationships/hyperlink" Target="https://mgg.stores-apple.com/catalog/smartfon_apple_iphone_18_pro_max_1024_gb_blue_goluboy/" TargetMode="External"/><Relationship Id="rId756" Type="http://schemas.openxmlformats.org/officeDocument/2006/relationships/hyperlink" Target="https://mgg.stores-apple.com/catalog/smartfon_google_pixel_11_pro_16_512_gb_rozovyy/" TargetMode="External"/><Relationship Id="rId755" Type="http://schemas.openxmlformats.org/officeDocument/2006/relationships/hyperlink" Target="https://mgg.stores-apple.com/catalog/smartfon_google_pixel_11_pro_16_512_gb_tumannyy/" TargetMode="External"/><Relationship Id="rId754" Type="http://schemas.openxmlformats.org/officeDocument/2006/relationships/hyperlink" Target="https://mgg.stores-apple.com/catalog/smartfon_google_pixel_11_pro_16_512_gb_matovyy_chyernyy/" TargetMode="External"/><Relationship Id="rId753" Type="http://schemas.openxmlformats.org/officeDocument/2006/relationships/hyperlink" Target="https://mgg.stores-apple.com/catalog/smartfon_google_pixel_11_pro_12_256_gb_olivkovyy/" TargetMode="External"/><Relationship Id="rId759" Type="http://schemas.openxmlformats.org/officeDocument/2006/relationships/hyperlink" Target="https://mgg.stores-apple.com/catalog/smartfon-google-pixel-9-pro-xl-16-128-gb-bezhevyi/" TargetMode="External"/><Relationship Id="rId758" Type="http://schemas.openxmlformats.org/officeDocument/2006/relationships/hyperlink" Target="https://mgg.stores-apple.com/catalog/smartfon_google_pixel_11_pro_16_1024_gb_matovyy_chyernyy_/" TargetMode="External"/><Relationship Id="rId757" Type="http://schemas.openxmlformats.org/officeDocument/2006/relationships/hyperlink" Target="https://mgg.stores-apple.com/catalog/smartfon_google_pixel_11_pro_16_512_gb_olivkovyy/" TargetMode="External"/><Relationship Id="rId15" Type="http://schemas.openxmlformats.org/officeDocument/2006/relationships/hyperlink" Target="https://mgg.stores-apple.com/catalog/smartfon_apple_iphone_18_pro_max_1024_gb_dark_cherry_tyemnaya_vishnya/" TargetMode="External"/><Relationship Id="rId14" Type="http://schemas.openxmlformats.org/officeDocument/2006/relationships/hyperlink" Target="https://mgg.stores-apple.com/catalog/smartfon_apple_iphone_18_pro_max_1024_gb_silver_serebro/" TargetMode="External"/><Relationship Id="rId17" Type="http://schemas.openxmlformats.org/officeDocument/2006/relationships/hyperlink" Target="https://mgg.stores-apple.com/catalog/smartfon_apple_iphone_18_pro_max_2048_gb_dark_grey_tyemno_seryy/" TargetMode="External"/><Relationship Id="rId16" Type="http://schemas.openxmlformats.org/officeDocument/2006/relationships/hyperlink" Target="https://mgg.stores-apple.com/catalog/smartfon_apple_iphone_18_pro_max_2048_gb_blue_goluboy/" TargetMode="External"/><Relationship Id="rId1340" Type="http://schemas.openxmlformats.org/officeDocument/2006/relationships/hyperlink" Target="https://mgg.stores-apple.com/catalog/noutbuk-apple-macbook-pro-14-m4-pro-2024-16-core-gpu-24-gb-512-gb-chernyj-kosmos-mx2h3/" TargetMode="External"/><Relationship Id="rId19" Type="http://schemas.openxmlformats.org/officeDocument/2006/relationships/hyperlink" Target="https://mgg.stores-apple.com/catalog/smartfon_apple_iphone_18_pro_max_2048_gb_dark_cherry_tyemnaya_vishnya/" TargetMode="External"/><Relationship Id="rId752" Type="http://schemas.openxmlformats.org/officeDocument/2006/relationships/hyperlink" Target="https://mgg.stores-apple.com/catalog/smartfon_google_pixel_11_pro_12_256_gb_rozovyy/" TargetMode="External"/><Relationship Id="rId1341" Type="http://schemas.openxmlformats.org/officeDocument/2006/relationships/hyperlink" Target="https://mgg.stores-apple.com/catalog/noutbuk-apple-macbook-pro-14-m4-2024-10-core-gpu-24-gb-1024-gb-serebristyj-mcx14/" TargetMode="External"/><Relationship Id="rId18" Type="http://schemas.openxmlformats.org/officeDocument/2006/relationships/hyperlink" Target="https://mgg.stores-apple.com/catalog/smartfon_apple_iphone_18_pro_max_2048_gb_silver_serebro/" TargetMode="External"/><Relationship Id="rId751" Type="http://schemas.openxmlformats.org/officeDocument/2006/relationships/hyperlink" Target="https://mgg.stores-apple.com/catalog/smartfon_google_pixel_11_pro_12_256_gb_tumannyy/" TargetMode="External"/><Relationship Id="rId1342" Type="http://schemas.openxmlformats.org/officeDocument/2006/relationships/hyperlink" Target="https://mgg.stores-apple.com/catalog/noutbuk-apple-macbook-pro-16-m4-pro-2024-20-core-gpu-24-gb-512-gb-chernyy-kosmos-mx2x3/" TargetMode="External"/><Relationship Id="rId750" Type="http://schemas.openxmlformats.org/officeDocument/2006/relationships/hyperlink" Target="https://mgg.stores-apple.com/catalog/smartfon_google_pixel_11_pro_12_256_gb_matovyy_chyernyy/" TargetMode="External"/><Relationship Id="rId1343" Type="http://schemas.openxmlformats.org/officeDocument/2006/relationships/hyperlink" Target="https://mgg.stores-apple.com/catalog/noutbuk-apple-macbook-pro-16-m4-pro-2024-20-core-gpu-24-gb-512-gb-serebristyy-mx2t3/" TargetMode="External"/><Relationship Id="rId1344" Type="http://schemas.openxmlformats.org/officeDocument/2006/relationships/hyperlink" Target="https://mgg.stores-apple.com/catalog/noutbuk-apple-macbook-pro-14-m4-pro-2024-20-core-gpu-24-gb-1024-gb-serebristyy-mx2f3/" TargetMode="External"/><Relationship Id="rId84" Type="http://schemas.openxmlformats.org/officeDocument/2006/relationships/hyperlink" Target="https://mgg.stores-apple.com/catalog/smartfon-apple-iphone-17-512-gb-belyi/" TargetMode="External"/><Relationship Id="rId83" Type="http://schemas.openxmlformats.org/officeDocument/2006/relationships/hyperlink" Target="https://mgg.stores-apple.com/catalog/smartfon_apple_iphone_17_512_gb_chernyy_nano_sim_esim_aktiv/" TargetMode="External"/><Relationship Id="rId86" Type="http://schemas.openxmlformats.org/officeDocument/2006/relationships/hyperlink" Target="https://mgg.stores-apple.com/catalog/smartfon_apple_iphone_17_512_gb_goluboy_nano_sim_esim_aktiv/" TargetMode="External"/><Relationship Id="rId85" Type="http://schemas.openxmlformats.org/officeDocument/2006/relationships/hyperlink" Target="https://mgg.stores-apple.com/catalog/smartfon_apple_iphone_17_512_gb_belyy_nano_sim_esim_aktiv/" TargetMode="External"/><Relationship Id="rId88" Type="http://schemas.openxmlformats.org/officeDocument/2006/relationships/hyperlink" Target="https://mgg.stores-apple.com/catalog/smartfon-apple-iphone-17-512-gb-goluboj-esim/" TargetMode="External"/><Relationship Id="rId87" Type="http://schemas.openxmlformats.org/officeDocument/2006/relationships/hyperlink" Target="https://mgg.stores-apple.com/catalog/smartfon-apple-iphone-17-512-gb-lavandovyj-esim/" TargetMode="External"/><Relationship Id="rId89" Type="http://schemas.openxmlformats.org/officeDocument/2006/relationships/hyperlink" Target="https://mgg.stores-apple.com/catalog/smartfon-apple-iphone-17-512-gb-zelenyi-esim/" TargetMode="External"/><Relationship Id="rId709" Type="http://schemas.openxmlformats.org/officeDocument/2006/relationships/hyperlink" Target="https://mgg.stores-apple.com/catalog/smartfon-google-pixel-10-pro-xl-16-1024-gb-chernyi/" TargetMode="External"/><Relationship Id="rId708" Type="http://schemas.openxmlformats.org/officeDocument/2006/relationships/hyperlink" Target="https://mgg.stores-apple.com/catalog/smartfon-google-pixel-10-pro-xl-16-1024-gb-fioletovyi/" TargetMode="External"/><Relationship Id="rId707" Type="http://schemas.openxmlformats.org/officeDocument/2006/relationships/hyperlink" Target="https://mgg.stores-apple.com/catalog/smartfon-google-pixel-10-pro-xl-16-1024-gb-rozovyi/" TargetMode="External"/><Relationship Id="rId706" Type="http://schemas.openxmlformats.org/officeDocument/2006/relationships/hyperlink" Target="https://mgg.stores-apple.com/catalog/smartfon-google-pixel-10-pro-xl-16-512-gb-chernyi/" TargetMode="External"/><Relationship Id="rId80" Type="http://schemas.openxmlformats.org/officeDocument/2006/relationships/hyperlink" Target="https://mgg.stores-apple.com/catalog/smartfon-apple-iphone-17-512-gb-chernyi/" TargetMode="External"/><Relationship Id="rId82" Type="http://schemas.openxmlformats.org/officeDocument/2006/relationships/hyperlink" Target="https://mgg.stores-apple.com/catalog/smartfon-apple-iphone-17-512-gb-goluboj/" TargetMode="External"/><Relationship Id="rId81" Type="http://schemas.openxmlformats.org/officeDocument/2006/relationships/hyperlink" Target="https://mgg.stores-apple.com/catalog/smartfon-apple-iphone-17-512-gb-zelenyi/" TargetMode="External"/><Relationship Id="rId701" Type="http://schemas.openxmlformats.org/officeDocument/2006/relationships/hyperlink" Target="https://mgg.stores-apple.com/catalog/smartfon-google-pixel-10-pro-xl-16-256-gb-zelenyi/" TargetMode="External"/><Relationship Id="rId700" Type="http://schemas.openxmlformats.org/officeDocument/2006/relationships/hyperlink" Target="https://mgg.stores-apple.com/catalog/smartfon-google-pixel-10-pro-xl-16-256-gb-chernyi/" TargetMode="External"/><Relationship Id="rId705" Type="http://schemas.openxmlformats.org/officeDocument/2006/relationships/hyperlink" Target="https://mgg.stores-apple.com/catalog/smartfon-google-pixel-10-pro-xl-16-512-gb-zelenyi/" TargetMode="External"/><Relationship Id="rId704" Type="http://schemas.openxmlformats.org/officeDocument/2006/relationships/hyperlink" Target="https://mgg.stores-apple.com/catalog/smartfon-google-pixel-10-pro-xl-16-512-gb-fioletovyi/" TargetMode="External"/><Relationship Id="rId703" Type="http://schemas.openxmlformats.org/officeDocument/2006/relationships/hyperlink" Target="https://mgg.stores-apple.com/catalog/smartfon-google-pixel-10-pro-xl-16-512-gb-rozovyi/" TargetMode="External"/><Relationship Id="rId702" Type="http://schemas.openxmlformats.org/officeDocument/2006/relationships/hyperlink" Target="https://mgg.stores-apple.com/catalog/smartfon-google-pixel-10-pro-xl-16-256-gb-fioletovyi/" TargetMode="External"/><Relationship Id="rId73" Type="http://schemas.openxmlformats.org/officeDocument/2006/relationships/hyperlink" Target="https://mgg.stores-apple.com/catalog/smartfon_apple_iphone_17_512_gb_esim_belyy_/" TargetMode="External"/><Relationship Id="rId72" Type="http://schemas.openxmlformats.org/officeDocument/2006/relationships/hyperlink" Target="https://mgg.stores-apple.com/catalog/smartfon_apple_iphone_17_512_gb_esim_goluboy_/" TargetMode="External"/><Relationship Id="rId75" Type="http://schemas.openxmlformats.org/officeDocument/2006/relationships/hyperlink" Target="https://mgg.stores-apple.com/catalog/smartfon_apple_iphone_17_512_gb_zelenyy_/" TargetMode="External"/><Relationship Id="rId74" Type="http://schemas.openxmlformats.org/officeDocument/2006/relationships/hyperlink" Target="https://mgg.stores-apple.com/catalog/smartfon_apple_iphone_17_512_gb_chernyy_/" TargetMode="External"/><Relationship Id="rId77" Type="http://schemas.openxmlformats.org/officeDocument/2006/relationships/hyperlink" Target="https://mgg.stores-apple.com/catalog/smartfon_apple_iphone_17_512_gb_belyy_/" TargetMode="External"/><Relationship Id="rId76" Type="http://schemas.openxmlformats.org/officeDocument/2006/relationships/hyperlink" Target="https://mgg.stores-apple.com/catalog/smartfon_apple_iphone_17_512_gb_goluboy_/" TargetMode="External"/><Relationship Id="rId79" Type="http://schemas.openxmlformats.org/officeDocument/2006/relationships/hyperlink" Target="https://mgg.stores-apple.com/catalog/smartfon-apple-iphone-17-512-gb-chernyi-esim/" TargetMode="External"/><Relationship Id="rId78" Type="http://schemas.openxmlformats.org/officeDocument/2006/relationships/hyperlink" Target="https://mgg.stores-apple.com/catalog/smartfon_apple_iphone_17_512_gb_lavandovyy_/" TargetMode="External"/><Relationship Id="rId71" Type="http://schemas.openxmlformats.org/officeDocument/2006/relationships/hyperlink" Target="https://mgg.stores-apple.com/catalog/smartfon_apple_iphone_17_512_gb_esim_zelenyy_/" TargetMode="External"/><Relationship Id="rId70" Type="http://schemas.openxmlformats.org/officeDocument/2006/relationships/hyperlink" Target="https://mgg.stores-apple.com/catalog/smartfon_apple_iphone_17_512_gb_esim_chernyy_/" TargetMode="External"/><Relationship Id="rId62" Type="http://schemas.openxmlformats.org/officeDocument/2006/relationships/hyperlink" Target="https://mgg.stores-apple.com/catalog/smartfon_apple_iphone_17_256_gb_esim_goluboy_/" TargetMode="External"/><Relationship Id="rId1312" Type="http://schemas.openxmlformats.org/officeDocument/2006/relationships/hyperlink" Target="https://mgg.stores-apple.com/catalog/fitnes-braslet-whoop-life-mg/" TargetMode="External"/><Relationship Id="rId61" Type="http://schemas.openxmlformats.org/officeDocument/2006/relationships/hyperlink" Target="https://mgg.stores-apple.com/catalog/smartfon_apple_iphone_17_256_gb_chernyy_/" TargetMode="External"/><Relationship Id="rId1313" Type="http://schemas.openxmlformats.org/officeDocument/2006/relationships/hyperlink" Target="https://mgg.stores-apple.com/catalog/fitnes_treker_google_fitbit_air_obsidan_black_obsidianovo_chernyy/" TargetMode="External"/><Relationship Id="rId64" Type="http://schemas.openxmlformats.org/officeDocument/2006/relationships/hyperlink" Target="https://mgg.stores-apple.com/catalog/smartfon_apple_iphone_17_256_gb_esim_belyy_/" TargetMode="External"/><Relationship Id="rId1314" Type="http://schemas.openxmlformats.org/officeDocument/2006/relationships/hyperlink" Target="https://mgg.stores-apple.com/catalog/fitnes_treker_google_fitbit_air_berry_pink_yagodnyy_rozovyy/" TargetMode="External"/><Relationship Id="rId63" Type="http://schemas.openxmlformats.org/officeDocument/2006/relationships/hyperlink" Target="https://mgg.stores-apple.com/catalog/smartfon_apple_iphone_17_256_gb_esim_zelenyy_/" TargetMode="External"/><Relationship Id="rId1315" Type="http://schemas.openxmlformats.org/officeDocument/2006/relationships/hyperlink" Target="https://mgg.stores-apple.com/catalog/fitnes_treker_google_fitbit_air_lavender_blue_lavandovo_goluboy/" TargetMode="External"/><Relationship Id="rId66" Type="http://schemas.openxmlformats.org/officeDocument/2006/relationships/hyperlink" Target="https://mgg.stores-apple.com/catalog/smartfon-apple-iphone-17-256-gb-chernyi-esim/" TargetMode="External"/><Relationship Id="rId1316" Type="http://schemas.openxmlformats.org/officeDocument/2006/relationships/hyperlink" Target="https://mgg.stores-apple.com/catalog/sportivnye_chasy_garmin_forerunner_70_citron_limonnyy/" TargetMode="External"/><Relationship Id="rId65" Type="http://schemas.openxmlformats.org/officeDocument/2006/relationships/hyperlink" Target="https://mgg.stores-apple.com/catalog/smartfon_apple_iphone_17_256_gb_esim_lavandovyy_/" TargetMode="External"/><Relationship Id="rId1317" Type="http://schemas.openxmlformats.org/officeDocument/2006/relationships/hyperlink" Target="https://mgg.stores-apple.com/catalog/sportivnye_chasy_garmin_vivoactive_6_green_zelenyy_010_02985_42/" TargetMode="External"/><Relationship Id="rId68" Type="http://schemas.openxmlformats.org/officeDocument/2006/relationships/hyperlink" Target="https://mgg.stores-apple.com/catalog/smartfon-apple-iphone-17-256-gb-goluboj-esim/" TargetMode="External"/><Relationship Id="rId1318" Type="http://schemas.openxmlformats.org/officeDocument/2006/relationships/hyperlink" Target="https://mgg.stores-apple.com/catalog/sportivnye_chasy_garmin_vivoactive_6_gold_zolotoy_010_02985_41/" TargetMode="External"/><Relationship Id="rId67" Type="http://schemas.openxmlformats.org/officeDocument/2006/relationships/hyperlink" Target="https://mgg.stores-apple.com/catalog/smartfon-apple-iphone-17-256-gb-belyi-esim/" TargetMode="External"/><Relationship Id="rId1319" Type="http://schemas.openxmlformats.org/officeDocument/2006/relationships/hyperlink" Target="https://mgg.stores-apple.com/catalog/sportivnye_chasy_garmin_vivoactive_6_pink_rozovyy_010_02985_43/" TargetMode="External"/><Relationship Id="rId729" Type="http://schemas.openxmlformats.org/officeDocument/2006/relationships/hyperlink" Target="https://mgg.stores-apple.com/catalog/smartfon-google-pixel-9-pro-16-128-gb-seryi/" TargetMode="External"/><Relationship Id="rId728" Type="http://schemas.openxmlformats.org/officeDocument/2006/relationships/hyperlink" Target="https://mgg.stores-apple.com/catalog/smartfon-google-pixel-9-pro-16-128-gb-bezhevyi/" TargetMode="External"/><Relationship Id="rId60" Type="http://schemas.openxmlformats.org/officeDocument/2006/relationships/hyperlink" Target="https://mgg.stores-apple.com/catalog/smartfon_apple_iphone_17_256_gb_belyy_/" TargetMode="External"/><Relationship Id="rId723" Type="http://schemas.openxmlformats.org/officeDocument/2006/relationships/hyperlink" Target="https://mgg.stores-apple.com/catalog/smartfon_google_pixel_10a_8_256_gb_lavandovyy/" TargetMode="External"/><Relationship Id="rId722" Type="http://schemas.openxmlformats.org/officeDocument/2006/relationships/hyperlink" Target="https://mgg.stores-apple.com/catalog/smartfon_google_pixel_10a_8_128_gb_rozovyy/" TargetMode="External"/><Relationship Id="rId721" Type="http://schemas.openxmlformats.org/officeDocument/2006/relationships/hyperlink" Target="https://mgg.stores-apple.com/catalog/smartfon_google_pixel_10a_8_128_gb_seryy/" TargetMode="External"/><Relationship Id="rId720" Type="http://schemas.openxmlformats.org/officeDocument/2006/relationships/hyperlink" Target="https://mgg.stores-apple.com/catalog/smartfon_google_pixel_10a_8_128_gb_lavandovyy/" TargetMode="External"/><Relationship Id="rId727" Type="http://schemas.openxmlformats.org/officeDocument/2006/relationships/hyperlink" Target="https://mgg.stores-apple.com/catalog/smartfon-google-pixel-9-pro-16-128-gb-chernyi/" TargetMode="External"/><Relationship Id="rId726" Type="http://schemas.openxmlformats.org/officeDocument/2006/relationships/hyperlink" Target="https://mgg.stores-apple.com/catalog/smartfon_google_pixel_10a_8_256_gb_chernyy/" TargetMode="External"/><Relationship Id="rId725" Type="http://schemas.openxmlformats.org/officeDocument/2006/relationships/hyperlink" Target="https://mgg.stores-apple.com/catalog/smartfon_google_pixel_10a_8_256_gb_seryy/" TargetMode="External"/><Relationship Id="rId724" Type="http://schemas.openxmlformats.org/officeDocument/2006/relationships/hyperlink" Target="https://mgg.stores-apple.com/catalog/smartfon_google_pixel_10a_8_256_gb_rozovyy/" TargetMode="External"/><Relationship Id="rId69" Type="http://schemas.openxmlformats.org/officeDocument/2006/relationships/hyperlink" Target="https://mgg.stores-apple.com/catalog/smartfon-apple-iphone-17-256-gb-zelenyi-esim/" TargetMode="External"/><Relationship Id="rId1310" Type="http://schemas.openxmlformats.org/officeDocument/2006/relationships/hyperlink" Target="https://mgg.stores-apple.com/catalog/fitnes-braslet-whoop-one-5-0/" TargetMode="External"/><Relationship Id="rId1311" Type="http://schemas.openxmlformats.org/officeDocument/2006/relationships/hyperlink" Target="https://mgg.stores-apple.com/catalog/fitnes-braslet-whoop-peak-5-0/" TargetMode="External"/><Relationship Id="rId51" Type="http://schemas.openxmlformats.org/officeDocument/2006/relationships/hyperlink" Target="https://mgg.stores-apple.com/catalog/smartfon-apple-iphone-17-256-gb-goluboj/" TargetMode="External"/><Relationship Id="rId1301" Type="http://schemas.openxmlformats.org/officeDocument/2006/relationships/hyperlink" Target="https://mgg.stores-apple.com/catalog/smart-chasy-samsung-galaxy-watch-8-lte-44-mm-grafit/" TargetMode="External"/><Relationship Id="rId50" Type="http://schemas.openxmlformats.org/officeDocument/2006/relationships/hyperlink" Target="https://mgg.stores-apple.com/catalog/smartfon-apple-iphone-17-256-gb-belyi/" TargetMode="External"/><Relationship Id="rId1302" Type="http://schemas.openxmlformats.org/officeDocument/2006/relationships/hyperlink" Target="https://mgg.stores-apple.com/catalog/smart-chasy-samsung-galaxy-watch-8-lte-44-mm-serebryannyi/" TargetMode="External"/><Relationship Id="rId53" Type="http://schemas.openxmlformats.org/officeDocument/2006/relationships/hyperlink" Target="https://mgg.stores-apple.com/catalog/smartfon-apple-iphone-17-256-gb-chernyi/" TargetMode="External"/><Relationship Id="rId1303" Type="http://schemas.openxmlformats.org/officeDocument/2006/relationships/hyperlink" Target="https://mgg.stores-apple.com/catalog/smart-chasy-samsung-galaxy-watch-8-classic-lte-46-mm-chernyi/" TargetMode="External"/><Relationship Id="rId52" Type="http://schemas.openxmlformats.org/officeDocument/2006/relationships/hyperlink" Target="https://mgg.stores-apple.com/catalog/smartfon-apple-iphone-17-256-gb-zelenyi/" TargetMode="External"/><Relationship Id="rId1304" Type="http://schemas.openxmlformats.org/officeDocument/2006/relationships/hyperlink" Target="https://mgg.stores-apple.com/catalog/smart-chasy-samsung-galaxy-watch-ultra-47mm-lte-chernyi/" TargetMode="External"/><Relationship Id="rId55" Type="http://schemas.openxmlformats.org/officeDocument/2006/relationships/hyperlink" Target="https://mgg.stores-apple.com/catalog/smartfon-apple-iphone-17-256-gb-lavandovyj-esim/" TargetMode="External"/><Relationship Id="rId1305" Type="http://schemas.openxmlformats.org/officeDocument/2006/relationships/hyperlink" Target="https://mgg.stores-apple.com/catalog/smart_chasy_samsung_galaxy_watch_ultra_2025_47_mm_lte_titanium_blue_siniy_titan/" TargetMode="External"/><Relationship Id="rId54" Type="http://schemas.openxmlformats.org/officeDocument/2006/relationships/hyperlink" Target="https://mgg.stores-apple.com/catalog/smartfon-apple-iphone-17-256-gb-lavandovyj/" TargetMode="External"/><Relationship Id="rId1306" Type="http://schemas.openxmlformats.org/officeDocument/2006/relationships/hyperlink" Target="https://mgg.stores-apple.com/catalog/smart-chasy-samsung-galaxy-watch-ultra-47mm-lte-belyy/" TargetMode="External"/><Relationship Id="rId57" Type="http://schemas.openxmlformats.org/officeDocument/2006/relationships/hyperlink" Target="https://mgg.stores-apple.com/catalog/smartfon_apple_iphone_17_256_gb_esim_chernyy_/" TargetMode="External"/><Relationship Id="rId1307" Type="http://schemas.openxmlformats.org/officeDocument/2006/relationships/hyperlink" Target="https://mgg.stores-apple.com/catalog/smart-chasy-samsung-galaxy-watch-ultra-47mm-lte-sinii/" TargetMode="External"/><Relationship Id="rId56" Type="http://schemas.openxmlformats.org/officeDocument/2006/relationships/hyperlink" Target="https://mgg.stores-apple.com/catalog/smartfon_apple_iphone_17_512_gb_esim_lavandovyy_/" TargetMode="External"/><Relationship Id="rId1308" Type="http://schemas.openxmlformats.org/officeDocument/2006/relationships/hyperlink" Target="https://mgg.stores-apple.com/catalog/smart-chasy-samsung-galaxy-watch-ultra-2025-lte-47mm-sinii/" TargetMode="External"/><Relationship Id="rId1309" Type="http://schemas.openxmlformats.org/officeDocument/2006/relationships/hyperlink" Target="https://mgg.stores-apple.com/catalog/smart-chasy-samsung-galaxy-watch-ultra-47mm-lte-seryy/" TargetMode="External"/><Relationship Id="rId719" Type="http://schemas.openxmlformats.org/officeDocument/2006/relationships/hyperlink" Target="https://mgg.stores-apple.com/catalog/smartfon_google_pixel_10a_8_128_gb_chernyy/" TargetMode="External"/><Relationship Id="rId718" Type="http://schemas.openxmlformats.org/officeDocument/2006/relationships/hyperlink" Target="https://mgg.stores-apple.com/catalog/smartfon-google-pixel-9-12-256-gb-bezhevyi/" TargetMode="External"/><Relationship Id="rId717" Type="http://schemas.openxmlformats.org/officeDocument/2006/relationships/hyperlink" Target="https://mgg.stores-apple.com/catalog/smartfon-google-pixel-9-12-256-gb-rozovyi/" TargetMode="External"/><Relationship Id="rId712" Type="http://schemas.openxmlformats.org/officeDocument/2006/relationships/hyperlink" Target="https://mgg.stores-apple.com/catalog/smartfon-google-pixel-9-12-128-gb-bezhevyi/" TargetMode="External"/><Relationship Id="rId711" Type="http://schemas.openxmlformats.org/officeDocument/2006/relationships/hyperlink" Target="https://mgg.stores-apple.com/catalog/smartfon-google-pixel-9-12-128-gb-zelenyi/" TargetMode="External"/><Relationship Id="rId710" Type="http://schemas.openxmlformats.org/officeDocument/2006/relationships/hyperlink" Target="https://mgg.stores-apple.com/catalog/smartfon-google-pixel-10-pro-xl-16-1024-gb-zelenyi/" TargetMode="External"/><Relationship Id="rId716" Type="http://schemas.openxmlformats.org/officeDocument/2006/relationships/hyperlink" Target="https://mgg.stores-apple.com/catalog/smartfon-google-pixel-9-12-256-gb-chernyi/" TargetMode="External"/><Relationship Id="rId715" Type="http://schemas.openxmlformats.org/officeDocument/2006/relationships/hyperlink" Target="https://mgg.stores-apple.com/catalog/smartfon-google-pixel-9-12-256-gb-zelenyi/" TargetMode="External"/><Relationship Id="rId714" Type="http://schemas.openxmlformats.org/officeDocument/2006/relationships/hyperlink" Target="https://mgg.stores-apple.com/catalog/smartfon-google-pixel-9-12-128-gb-chernyi/" TargetMode="External"/><Relationship Id="rId713" Type="http://schemas.openxmlformats.org/officeDocument/2006/relationships/hyperlink" Target="https://mgg.stores-apple.com/catalog/smartfon-google-pixel-9-12-128-gb-rozovyi/" TargetMode="External"/><Relationship Id="rId59" Type="http://schemas.openxmlformats.org/officeDocument/2006/relationships/hyperlink" Target="https://mgg.stores-apple.com/catalog/smartfon_apple_iphone_17_256_gb_goluboy_/" TargetMode="External"/><Relationship Id="rId58" Type="http://schemas.openxmlformats.org/officeDocument/2006/relationships/hyperlink" Target="https://mgg.stores-apple.com/catalog/smartfon_apple_iphone_17_256_gb_zelenyy_/" TargetMode="External"/><Relationship Id="rId1300" Type="http://schemas.openxmlformats.org/officeDocument/2006/relationships/hyperlink" Target="https://mgg.stores-apple.com/catalog/smart-chasy-samsung-galaxy-watch-8-classic-lte-46-mm-belyi/" TargetMode="External"/><Relationship Id="rId349" Type="http://schemas.openxmlformats.org/officeDocument/2006/relationships/hyperlink" Target="https://mgg.stores-apple.com/catalog/smartfon-apple-iphone-16-256-gb-chernyj/" TargetMode="External"/><Relationship Id="rId348" Type="http://schemas.openxmlformats.org/officeDocument/2006/relationships/hyperlink" Target="https://mgg.stores-apple.com/catalog/smartfon-apple-iphone-16-256-gb-belyj/" TargetMode="External"/><Relationship Id="rId347" Type="http://schemas.openxmlformats.org/officeDocument/2006/relationships/hyperlink" Target="https://mgg.stores-apple.com/catalog/smartfon-apple-iphone-16-256-gb-ultramarin/" TargetMode="External"/><Relationship Id="rId346" Type="http://schemas.openxmlformats.org/officeDocument/2006/relationships/hyperlink" Target="https://mgg.stores-apple.com/catalog/smartfon-apple-iphone-16-256-gb-biryuzovyj/" TargetMode="External"/><Relationship Id="rId341" Type="http://schemas.openxmlformats.org/officeDocument/2006/relationships/hyperlink" Target="https://mgg.stores-apple.com/catalog/smartfon-apple-iphone-16-128-gb-rozovyj/" TargetMode="External"/><Relationship Id="rId340" Type="http://schemas.openxmlformats.org/officeDocument/2006/relationships/hyperlink" Target="https://mgg.stores-apple.com/catalog/smartfon-apple-iphone-16-256-gb-chernyj-obmen/" TargetMode="External"/><Relationship Id="rId345" Type="http://schemas.openxmlformats.org/officeDocument/2006/relationships/hyperlink" Target="https://mgg.stores-apple.com/catalog/smartfon-apple-iphone-16-256-gb-belyj-obmen/" TargetMode="External"/><Relationship Id="rId344" Type="http://schemas.openxmlformats.org/officeDocument/2006/relationships/hyperlink" Target="https://mgg.stores-apple.com/catalog/smartfon-apple-iphone-16-256-gb-rozovyj-obmen/" TargetMode="External"/><Relationship Id="rId343" Type="http://schemas.openxmlformats.org/officeDocument/2006/relationships/hyperlink" Target="https://mgg.stores-apple.com/catalog/smartfon-apple-iphone-16-256-gb-ultramarin-obmen/" TargetMode="External"/><Relationship Id="rId342" Type="http://schemas.openxmlformats.org/officeDocument/2006/relationships/hyperlink" Target="https://mgg.stores-apple.com/catalog/smartfon-apple-iphone-16-256-gb-biryuzovyj-obmen/" TargetMode="External"/><Relationship Id="rId338" Type="http://schemas.openxmlformats.org/officeDocument/2006/relationships/hyperlink" Target="https://mgg.stores-apple.com/catalog/smartfon-apple-iphone-16-128-gb-ultramarin/" TargetMode="External"/><Relationship Id="rId337" Type="http://schemas.openxmlformats.org/officeDocument/2006/relationships/hyperlink" Target="https://mgg.stores-apple.com/catalog/smartfon-apple-iphone-16-128-gb-belyj/" TargetMode="External"/><Relationship Id="rId336" Type="http://schemas.openxmlformats.org/officeDocument/2006/relationships/hyperlink" Target="https://mgg.stores-apple.com/catalog/smartfon-apple-iphone-16-128-gb-biryuzovyj/" TargetMode="External"/><Relationship Id="rId335" Type="http://schemas.openxmlformats.org/officeDocument/2006/relationships/hyperlink" Target="https://mgg.stores-apple.com/catalog/smartfon-apple-iphone-16-plus-512-gb-rozovyj/" TargetMode="External"/><Relationship Id="rId339" Type="http://schemas.openxmlformats.org/officeDocument/2006/relationships/hyperlink" Target="https://mgg.stores-apple.com/catalog/smartfon-apple-iphone-16-128-gb-chernyj/" TargetMode="External"/><Relationship Id="rId330" Type="http://schemas.openxmlformats.org/officeDocument/2006/relationships/hyperlink" Target="https://mgg.stores-apple.com/catalog/smartfon-apple-iphone-16-plus-512-gb-belyj-obmen/" TargetMode="External"/><Relationship Id="rId334" Type="http://schemas.openxmlformats.org/officeDocument/2006/relationships/hyperlink" Target="https://mgg.stores-apple.com/catalog/smartfon-apple-iphone-16-plus-512-gb-belyj/" TargetMode="External"/><Relationship Id="rId333" Type="http://schemas.openxmlformats.org/officeDocument/2006/relationships/hyperlink" Target="https://mgg.stores-apple.com/catalog/smartfon-apple-iphone-16-plus-512-gb-biryuzovyj/" TargetMode="External"/><Relationship Id="rId332" Type="http://schemas.openxmlformats.org/officeDocument/2006/relationships/hyperlink" Target="https://mgg.stores-apple.com/catalog/smartfon-apple-iphone-16-plus-512-gb-ultramarin/" TargetMode="External"/><Relationship Id="rId331" Type="http://schemas.openxmlformats.org/officeDocument/2006/relationships/hyperlink" Target="https://mgg.stores-apple.com/catalog/smartfon-apple-iphone-16-plus-512-gb-chernyj/" TargetMode="External"/><Relationship Id="rId370" Type="http://schemas.openxmlformats.org/officeDocument/2006/relationships/hyperlink" Target="https://mgg.stores-apple.com/catalog/smartfon-apple-iphone-16e-512-gb-chernyj-obmen/" TargetMode="External"/><Relationship Id="rId369" Type="http://schemas.openxmlformats.org/officeDocument/2006/relationships/hyperlink" Target="https://mgg.stores-apple.com/catalog/smartfon-apple-iphone-16e-512-gb-belyy-obmen/" TargetMode="External"/><Relationship Id="rId368" Type="http://schemas.openxmlformats.org/officeDocument/2006/relationships/hyperlink" Target="https://mgg.stores-apple.com/catalog/smartfon-apple-iphone-16e-256-gb-chernyj-obmen/" TargetMode="External"/><Relationship Id="rId363" Type="http://schemas.openxmlformats.org/officeDocument/2006/relationships/hyperlink" Target="https://mgg.stores-apple.com/catalog/smartfon-apple-iphone-16e-128-gb-belyy/" TargetMode="External"/><Relationship Id="rId362" Type="http://schemas.openxmlformats.org/officeDocument/2006/relationships/hyperlink" Target="https://mgg.stores-apple.com/catalog/smartfon-apple-iphone-16e-128-gb-chernyj-obmen/" TargetMode="External"/><Relationship Id="rId361" Type="http://schemas.openxmlformats.org/officeDocument/2006/relationships/hyperlink" Target="https://mgg.stores-apple.com/catalog/smartfon-apple-iphone-16e-128-gb-belyy-obmen/" TargetMode="External"/><Relationship Id="rId360" Type="http://schemas.openxmlformats.org/officeDocument/2006/relationships/hyperlink" Target="https://mgg.stores-apple.com/catalog/smartfon-apple-iphone-16-512-gb-biryuzovyj/" TargetMode="External"/><Relationship Id="rId367" Type="http://schemas.openxmlformats.org/officeDocument/2006/relationships/hyperlink" Target="https://mgg.stores-apple.com/catalog/smartfon-apple-iphone-16e-256-gb-belyy-obmen/" TargetMode="External"/><Relationship Id="rId366" Type="http://schemas.openxmlformats.org/officeDocument/2006/relationships/hyperlink" Target="https://mgg.stores-apple.com/catalog/smartfon-apple-iphone-16e-256-gb-chernyj/" TargetMode="External"/><Relationship Id="rId365" Type="http://schemas.openxmlformats.org/officeDocument/2006/relationships/hyperlink" Target="https://mgg.stores-apple.com/catalog/smartfon-apple-iphone-16e-256-gb-belyy/" TargetMode="External"/><Relationship Id="rId364" Type="http://schemas.openxmlformats.org/officeDocument/2006/relationships/hyperlink" Target="https://mgg.stores-apple.com/catalog/smartfon-apple-iphone-16e-128-gb-chernyj/" TargetMode="External"/><Relationship Id="rId95" Type="http://schemas.openxmlformats.org/officeDocument/2006/relationships/hyperlink" Target="https://mgg.stores-apple.com/catalog/smartfon_apple_iphone_17_512_gb_lavandovyy_esim_aktiv/" TargetMode="External"/><Relationship Id="rId94" Type="http://schemas.openxmlformats.org/officeDocument/2006/relationships/hyperlink" Target="https://mgg.stores-apple.com/catalog/smartfon_apple_iphone_17_512_gb_chernyy_esim_aktiv/" TargetMode="External"/><Relationship Id="rId97" Type="http://schemas.openxmlformats.org/officeDocument/2006/relationships/hyperlink" Target="https://mgg.stores-apple.com/catalog/smartfon_apple_iphone_17_512_gb_goluboy_esim_aktiv/" TargetMode="External"/><Relationship Id="rId96" Type="http://schemas.openxmlformats.org/officeDocument/2006/relationships/hyperlink" Target="https://mgg.stores-apple.com/catalog/smartfon_apple_iphone_17_512_gb_zelenyy_esim_aktiv/" TargetMode="External"/><Relationship Id="rId99" Type="http://schemas.openxmlformats.org/officeDocument/2006/relationships/hyperlink" Target="https://mgg.stores-apple.com/catalog/smartfon_apple_iphone_17_256_gb_chernyy_esim_aktiv/" TargetMode="External"/><Relationship Id="rId98" Type="http://schemas.openxmlformats.org/officeDocument/2006/relationships/hyperlink" Target="https://mgg.stores-apple.com/catalog/smartfon_apple_iphone_17_512_gb_belyy_esim_aktiv/" TargetMode="External"/><Relationship Id="rId91" Type="http://schemas.openxmlformats.org/officeDocument/2006/relationships/hyperlink" Target="https://mgg.stores-apple.com/catalog/smartfon_apple_iphone_17_512_gb_zelenyy_nano_sim_esim_aktiv/" TargetMode="External"/><Relationship Id="rId90" Type="http://schemas.openxmlformats.org/officeDocument/2006/relationships/hyperlink" Target="https://mgg.stores-apple.com/catalog/smartfon-apple-iphone-17-512-gb-lavandovyj/" TargetMode="External"/><Relationship Id="rId93" Type="http://schemas.openxmlformats.org/officeDocument/2006/relationships/hyperlink" Target="https://mgg.stores-apple.com/catalog/smartfon_apple_iphone_17_512_gb_lavandovyy_nano_sim_esim_aktiv/" TargetMode="External"/><Relationship Id="rId92" Type="http://schemas.openxmlformats.org/officeDocument/2006/relationships/hyperlink" Target="https://mgg.stores-apple.com/catalog/smartfon-apple-iphone-17-512-gb-belyi-esim/" TargetMode="External"/><Relationship Id="rId359" Type="http://schemas.openxmlformats.org/officeDocument/2006/relationships/hyperlink" Target="https://mgg.stores-apple.com/catalog/smartfon-apple-iphone-16-512-gb-ultramarin/" TargetMode="External"/><Relationship Id="rId358" Type="http://schemas.openxmlformats.org/officeDocument/2006/relationships/hyperlink" Target="https://mgg.stores-apple.com/catalog/smartfon-apple-iphone-16-512-gb-chernyj/" TargetMode="External"/><Relationship Id="rId357" Type="http://schemas.openxmlformats.org/officeDocument/2006/relationships/hyperlink" Target="https://mgg.stores-apple.com/catalog/smartfon-apple-iphone-16-512-gb-rozovyj/" TargetMode="External"/><Relationship Id="rId352" Type="http://schemas.openxmlformats.org/officeDocument/2006/relationships/hyperlink" Target="https://mgg.stores-apple.com/catalog/smartfon-apple-iphone-16-512-gb-chernyj-obmen/" TargetMode="External"/><Relationship Id="rId351" Type="http://schemas.openxmlformats.org/officeDocument/2006/relationships/hyperlink" Target="https://mgg.stores-apple.com/catalog/smartfon-apple-iphone-16-512-gb-biryuzovyj-obmen/" TargetMode="External"/><Relationship Id="rId350" Type="http://schemas.openxmlformats.org/officeDocument/2006/relationships/hyperlink" Target="https://mgg.stores-apple.com/catalog/smartfon-apple-iphone-16-256-gb-rozovyj/" TargetMode="External"/><Relationship Id="rId356" Type="http://schemas.openxmlformats.org/officeDocument/2006/relationships/hyperlink" Target="https://mgg.stores-apple.com/catalog/smartfon-apple-iphone-16-512-gb-belyj/" TargetMode="External"/><Relationship Id="rId355" Type="http://schemas.openxmlformats.org/officeDocument/2006/relationships/hyperlink" Target="https://mgg.stores-apple.com/catalog/smartfon-apple-iphone-16-512-gb-rozovyj-obmen/" TargetMode="External"/><Relationship Id="rId354" Type="http://schemas.openxmlformats.org/officeDocument/2006/relationships/hyperlink" Target="https://mgg.stores-apple.com/catalog/smartfon-apple-iphone-16-512-gb-belyj-obmen/" TargetMode="External"/><Relationship Id="rId353" Type="http://schemas.openxmlformats.org/officeDocument/2006/relationships/hyperlink" Target="https://mgg.stores-apple.com/catalog/smartfon-apple-iphone-16-512-gb-ultramarin-obmen/" TargetMode="External"/><Relationship Id="rId1378" Type="http://schemas.openxmlformats.org/officeDocument/2006/relationships/hyperlink" Target="https://mgg.stores-apple.com/catalog/monoblok-apple-imac-24-m4-2024-4-porta-10c-cpu-10c-gpu-24-gb-512-gb-ssd-fiioletovyj/" TargetMode="External"/><Relationship Id="rId1379" Type="http://schemas.openxmlformats.org/officeDocument/2006/relationships/hyperlink" Target="https://mgg.stores-apple.com/catalog/monoblok-apple-imac-24-m4-2024-4-porta-10c-cpu-10c-gpu-24-gb-512-gb-ssd-zheltyj/" TargetMode="External"/><Relationship Id="rId305" Type="http://schemas.openxmlformats.org/officeDocument/2006/relationships/hyperlink" Target="https://mgg.stores-apple.com/catalog/smartfon-apple-iphone-16-pro-1024-gb-chernyj-titan-obmen/" TargetMode="External"/><Relationship Id="rId789" Type="http://schemas.openxmlformats.org/officeDocument/2006/relationships/hyperlink" Target="https://mgg.stores-apple.com/catalog/smartfon_oneplus_15_12_512_gb_ulrafioletovyy/" TargetMode="External"/><Relationship Id="rId304" Type="http://schemas.openxmlformats.org/officeDocument/2006/relationships/hyperlink" Target="https://mgg.stores-apple.com/catalog/smartfon-apple-iphone-16-pro-1024-gb-naturalnyj-titan-obmen/" TargetMode="External"/><Relationship Id="rId788" Type="http://schemas.openxmlformats.org/officeDocument/2006/relationships/hyperlink" Target="https://mgg.stores-apple.com/catalog/smartfon_oneplus_15_16_256_gb_peschnaya_burya/" TargetMode="External"/><Relationship Id="rId303" Type="http://schemas.openxmlformats.org/officeDocument/2006/relationships/hyperlink" Target="https://mgg.stores-apple.com/catalog/smartfon-apple-iphone-16-pro-1024-gb-pustynnyj-titan-obmen/" TargetMode="External"/><Relationship Id="rId787" Type="http://schemas.openxmlformats.org/officeDocument/2006/relationships/hyperlink" Target="https://mgg.stores-apple.com/catalog/smartfon_oneplus_15_16_256_gb_beskonechnaya_chernota/" TargetMode="External"/><Relationship Id="rId302" Type="http://schemas.openxmlformats.org/officeDocument/2006/relationships/hyperlink" Target="https://mgg.stores-apple.com/catalog/smartfon-apple-iphone-16-pro-1024-gb-belyj-titan-obmen/" TargetMode="External"/><Relationship Id="rId786" Type="http://schemas.openxmlformats.org/officeDocument/2006/relationships/hyperlink" Target="https://mgg.stores-apple.com/catalog/smartfon_oneplus_15_16_256_gb_ulrafioletovyy/" TargetMode="External"/><Relationship Id="rId309" Type="http://schemas.openxmlformats.org/officeDocument/2006/relationships/hyperlink" Target="https://mgg.stores-apple.com/catalog/smartfon-apple-iphone-16-plus-128-gb-biryuzovyj-obmen/" TargetMode="External"/><Relationship Id="rId308" Type="http://schemas.openxmlformats.org/officeDocument/2006/relationships/hyperlink" Target="https://mgg.stores-apple.com/catalog/smartfon-apple-iphone-16-plus-128-gb-rozovyj-obmen/" TargetMode="External"/><Relationship Id="rId307" Type="http://schemas.openxmlformats.org/officeDocument/2006/relationships/hyperlink" Target="https://mgg.stores-apple.com/catalog/smartfon-apple-iphone-16-plus-128-gb-ultramarin-obmen/" TargetMode="External"/><Relationship Id="rId306" Type="http://schemas.openxmlformats.org/officeDocument/2006/relationships/hyperlink" Target="https://mgg.stores-apple.com/catalog/smartfon-apple-iphone-16-plus-128-gb-chernyj-obmen/" TargetMode="External"/><Relationship Id="rId781" Type="http://schemas.openxmlformats.org/officeDocument/2006/relationships/hyperlink" Target="https://mgg.stores-apple.com/catalog/smartfon_google_pixel_11_pro_xl_16_1024_gb_matovyy_chyernyy/" TargetMode="External"/><Relationship Id="rId1370" Type="http://schemas.openxmlformats.org/officeDocument/2006/relationships/hyperlink" Target="https://mgg.stores-apple.com/catalog/monoblok-apple-imac-24-m4-2024-4-porta-10c-cpu-10c-gpu-16-gb-512-gb-ssd-rozovyy-mwv53/" TargetMode="External"/><Relationship Id="rId780" Type="http://schemas.openxmlformats.org/officeDocument/2006/relationships/hyperlink" Target="https://mgg.stores-apple.com/catalog/smartfon_google_pixel_11_pro_xl_16_512_gb_olivkovyy/" TargetMode="External"/><Relationship Id="rId1371" Type="http://schemas.openxmlformats.org/officeDocument/2006/relationships/hyperlink" Target="https://mgg.stores-apple.com/catalog/monoblok-apple-imac-24-m4-2024-4-porta-10c-cpu-10c-gpu-16-gb-512-gb-ssd-fioletovyy-mwv73/" TargetMode="External"/><Relationship Id="rId1372" Type="http://schemas.openxmlformats.org/officeDocument/2006/relationships/hyperlink" Target="https://mgg.stores-apple.com/catalog/monoblok-apple-imac-24-m4-2024-4-porta-10c-cpu-10c-gpu-16-gb-512-gb-ssd-zheltyy-mwux3/" TargetMode="External"/><Relationship Id="rId1373" Type="http://schemas.openxmlformats.org/officeDocument/2006/relationships/hyperlink" Target="https://mgg.stores-apple.com/catalog/monoblok-apple-imac-24-m4-2024-4-porta-10c-cpu-10c-gpu-16-gb-512-gb-ssd-goluboy-mwv33/" TargetMode="External"/><Relationship Id="rId301" Type="http://schemas.openxmlformats.org/officeDocument/2006/relationships/hyperlink" Target="https://mgg.stores-apple.com/catalog/smartfon-apple-iphone-16-pro-1024-gb-pustynnyj-titan/" TargetMode="External"/><Relationship Id="rId785" Type="http://schemas.openxmlformats.org/officeDocument/2006/relationships/hyperlink" Target="https://mgg.stores-apple.com/catalog/smartfon_oneplus_15_12_256_gb_peschnaya_burya/" TargetMode="External"/><Relationship Id="rId1374" Type="http://schemas.openxmlformats.org/officeDocument/2006/relationships/hyperlink" Target="https://mgg.stores-apple.com/catalog/monoblok-apple-imac-24-m4-2024-4-porta-10c-cpu-10c-gpu-16-gb-512-gb-ssd-oranzhevyy-mwv93/" TargetMode="External"/><Relationship Id="rId300" Type="http://schemas.openxmlformats.org/officeDocument/2006/relationships/hyperlink" Target="https://mgg.stores-apple.com/catalog/smartfon-apple-iphone-16-pro-1024-gb-chernyj-titan/" TargetMode="External"/><Relationship Id="rId784" Type="http://schemas.openxmlformats.org/officeDocument/2006/relationships/hyperlink" Target="https://mgg.stores-apple.com/catalog/smartfon_oneplus_15_12_256_gb_beskonechnaya_chernota/" TargetMode="External"/><Relationship Id="rId1375" Type="http://schemas.openxmlformats.org/officeDocument/2006/relationships/hyperlink" Target="https://mgg.stores-apple.com/catalog/monoblok-apple-imac-24-m4-2024-4-porta-10c-cpu-10c-gpu-16-gb-512-gb-ssd-zelenyy-mwv03/" TargetMode="External"/><Relationship Id="rId783" Type="http://schemas.openxmlformats.org/officeDocument/2006/relationships/hyperlink" Target="https://mgg.stores-apple.com/catalog/smartfon_oneplus_15_12_256_gb_ulrafioletovyy/" TargetMode="External"/><Relationship Id="rId1376" Type="http://schemas.openxmlformats.org/officeDocument/2006/relationships/hyperlink" Target="https://mgg.stores-apple.com/catalog/monoblok-apple-imac-24-m4-2024-4-porta-10c-cpu-10c-gpu-16-gb-512-gb-ssd-serebristyy-mwuv3/" TargetMode="External"/><Relationship Id="rId782" Type="http://schemas.openxmlformats.org/officeDocument/2006/relationships/hyperlink" Target="https://mgg.stores-apple.com/catalog/kompaktnyy_fotoapparat_canon_powershot_g7_x_mark_iii_black_chernyy/" TargetMode="External"/><Relationship Id="rId1377" Type="http://schemas.openxmlformats.org/officeDocument/2006/relationships/hyperlink" Target="https://mgg.stores-apple.com/catalog/monoblok-apple-imac-24-m4-2024-4-porta-10c-cpu-10c-gpu-24-gb-512-gb-ssd-zelenyj-md2q4/" TargetMode="External"/><Relationship Id="rId1367" Type="http://schemas.openxmlformats.org/officeDocument/2006/relationships/hyperlink" Target="https://mgg.stores-apple.com/catalog/monoblok-apple-imac-24-m4-2024-4-porta-10c-cpu-10c-gpu-16-gb-256-gb-ssd-zheltyy-mwuw3/" TargetMode="External"/><Relationship Id="rId1368" Type="http://schemas.openxmlformats.org/officeDocument/2006/relationships/hyperlink" Target="https://mgg.stores-apple.com/catalog/monoblok-apple-imac-24-m4-2024-4-porta-10c-cpu-10c-gpu-16-gb-256-gb-ssd-rozovyy-mwv43/" TargetMode="External"/><Relationship Id="rId1369" Type="http://schemas.openxmlformats.org/officeDocument/2006/relationships/hyperlink" Target="https://mgg.stores-apple.com/catalog/monoblok-apple-imac-24-m4-2024-4-porta-10c-cpu-10c-gpu-16-gb-256-gb-ssd-fioletovyy-mwv63/" TargetMode="External"/><Relationship Id="rId778" Type="http://schemas.openxmlformats.org/officeDocument/2006/relationships/hyperlink" Target="https://mgg.stores-apple.com/catalog/smartfon_google_pixel_11_pro_xl_16_512_gb_tumannyy/" TargetMode="External"/><Relationship Id="rId777" Type="http://schemas.openxmlformats.org/officeDocument/2006/relationships/hyperlink" Target="https://mgg.stores-apple.com/catalog/smartfon_google_pixel_11_pro_xl_12_256_gb_rozovyy/" TargetMode="External"/><Relationship Id="rId776" Type="http://schemas.openxmlformats.org/officeDocument/2006/relationships/hyperlink" Target="https://mgg.stores-apple.com/catalog/smartfon_google_pixel_11_pro_xl_12_256_gb_tumannyy/" TargetMode="External"/><Relationship Id="rId775" Type="http://schemas.openxmlformats.org/officeDocument/2006/relationships/hyperlink" Target="https://mgg.stores-apple.com/catalog/smartfon_google_pixel_11_pro_xl_12_256_gb_olivkovyy/" TargetMode="External"/><Relationship Id="rId779" Type="http://schemas.openxmlformats.org/officeDocument/2006/relationships/hyperlink" Target="https://mgg.stores-apple.com/catalog/smartfon_google_pixel_11_pro_xl_16_512_gb_rozovyy/" TargetMode="External"/><Relationship Id="rId770" Type="http://schemas.openxmlformats.org/officeDocument/2006/relationships/hyperlink" Target="https://mgg.stores-apple.com/catalog/smartfon-google-pixel-9a-8-128-gb-goluboi/" TargetMode="External"/><Relationship Id="rId1360" Type="http://schemas.openxmlformats.org/officeDocument/2006/relationships/hyperlink" Target="https://mgg.stores-apple.com/catalog/monoblok-apple-imac-24-m4-2024-2-porta-8c-cpu-8c-gpu-16-gb-256-gb-ssd-fioletovyy-mwuh3/" TargetMode="External"/><Relationship Id="rId1361" Type="http://schemas.openxmlformats.org/officeDocument/2006/relationships/hyperlink" Target="https://mgg.stores-apple.com/catalog/monoblok-apple-imac-24-m4-2024-2-porta-8c-cpu-8c-gpu-16-gb-256-gb-ssd-rozovyy-mwug3/" TargetMode="External"/><Relationship Id="rId1362" Type="http://schemas.openxmlformats.org/officeDocument/2006/relationships/hyperlink" Target="https://mgg.stores-apple.com/catalog/monoblok-apple-imac-24-m4-2024-2-porta-8c-cpu-8c-gpu-16-gb-256-gb-ssd-zelenyy-mwue3/" TargetMode="External"/><Relationship Id="rId774" Type="http://schemas.openxmlformats.org/officeDocument/2006/relationships/hyperlink" Target="https://mgg.stores-apple.com/catalog/smartfon-google-pixel-9a-8-256-gb-chernyi/" TargetMode="External"/><Relationship Id="rId1363" Type="http://schemas.openxmlformats.org/officeDocument/2006/relationships/hyperlink" Target="https://mgg.stores-apple.com/catalog/monoblok-apple-imac-24-m4-2024-4-porta-10c-cpu-10c-gpu-16-gb-256-gb-ssd-zelyonyy-mwuy3/" TargetMode="External"/><Relationship Id="rId773" Type="http://schemas.openxmlformats.org/officeDocument/2006/relationships/hyperlink" Target="https://mgg.stores-apple.com/catalog/smartfon-google-pixel-9a-8-256-gb-goluboi/" TargetMode="External"/><Relationship Id="rId1364" Type="http://schemas.openxmlformats.org/officeDocument/2006/relationships/hyperlink" Target="https://mgg.stores-apple.com/catalog/monoblok-apple-imac-24-m4-2024-4-porta-10c-cpu-10c-gpu-16-gb-256-gb-ssd-serebristyy-mwuu3/" TargetMode="External"/><Relationship Id="rId772" Type="http://schemas.openxmlformats.org/officeDocument/2006/relationships/hyperlink" Target="https://mgg.stores-apple.com/catalog/smartfon-google-pixel-9a-8-256-gb-bezhevyi/" TargetMode="External"/><Relationship Id="rId1365" Type="http://schemas.openxmlformats.org/officeDocument/2006/relationships/hyperlink" Target="https://mgg.stores-apple.com/catalog/monoblok-apple-imac-24-m4-2024-4-porta-10c-cpu-10c-gpu-16-gb-256-gb-ssd-goluboy-mwv13/" TargetMode="External"/><Relationship Id="rId771" Type="http://schemas.openxmlformats.org/officeDocument/2006/relationships/hyperlink" Target="https://mgg.stores-apple.com/catalog/smartfon-google-pixel-9a-8-256-gb-rozovyi/" TargetMode="External"/><Relationship Id="rId1366" Type="http://schemas.openxmlformats.org/officeDocument/2006/relationships/hyperlink" Target="https://mgg.stores-apple.com/catalog/monoblok-apple-imac-24-m4-2024-4-porta-10c-cpu-10c-gpu-16-gb-256-gb-ssd-oranzhevyy-mwv83/" TargetMode="External"/><Relationship Id="rId327" Type="http://schemas.openxmlformats.org/officeDocument/2006/relationships/hyperlink" Target="https://mgg.stores-apple.com/catalog/smartfon-apple-iphone-16-plus-512-gb-rozovyj-obmen/" TargetMode="External"/><Relationship Id="rId326" Type="http://schemas.openxmlformats.org/officeDocument/2006/relationships/hyperlink" Target="https://mgg.stores-apple.com/catalog/smartfon-apple-iphone-16-plus-512-gb-biryuzovyj-obmen/" TargetMode="External"/><Relationship Id="rId325" Type="http://schemas.openxmlformats.org/officeDocument/2006/relationships/hyperlink" Target="https://mgg.stores-apple.com/catalog/smartfon-apple-iphone-16-plus-256-gb-chernyj/" TargetMode="External"/><Relationship Id="rId324" Type="http://schemas.openxmlformats.org/officeDocument/2006/relationships/hyperlink" Target="https://mgg.stores-apple.com/catalog/smartfon-apple-iphone-16-plus-256-gb-belyj/" TargetMode="External"/><Relationship Id="rId329" Type="http://schemas.openxmlformats.org/officeDocument/2006/relationships/hyperlink" Target="https://mgg.stores-apple.com/catalog/smartfon-apple-iphone-16-plus-512-gb-ultramarin-obmen/" TargetMode="External"/><Relationship Id="rId1390" Type="http://schemas.openxmlformats.org/officeDocument/2006/relationships/hyperlink" Target="https://mgg.stores-apple.com/catalog/noutbuk_apple_macbook_neo_2026_8_gb_512_gb_rozovyy_rumyanets_angliyskaya_raskladka/" TargetMode="External"/><Relationship Id="rId328" Type="http://schemas.openxmlformats.org/officeDocument/2006/relationships/hyperlink" Target="https://mgg.stores-apple.com/catalog/smartfon-apple-iphone-16-plus-512-gb-chernyj-obmen/" TargetMode="External"/><Relationship Id="rId1391" Type="http://schemas.openxmlformats.org/officeDocument/2006/relationships/hyperlink" Target="https://mgg.stores-apple.com/catalog/noutbuk_apple_macbook_neo_2026_8_gb_512_gb_indigo_angliyskaya_raskladka/" TargetMode="External"/><Relationship Id="rId1392" Type="http://schemas.openxmlformats.org/officeDocument/2006/relationships/hyperlink" Target="https://mgg.stores-apple.com/catalog/mini-pk-apple-mac-mini-m4-2024-10c-cpu-10c-gpu-16-gb-256-gb-ssd-serebristyy-mu9d3/" TargetMode="External"/><Relationship Id="rId1393" Type="http://schemas.openxmlformats.org/officeDocument/2006/relationships/hyperlink" Target="https://mgg.stores-apple.com/catalog/mini-pk-apple-mac-mini-m4-2024-10c-cpu-10c-gpu-16-gb-512-gb-ssd-serebristyy-mu9e3/" TargetMode="External"/><Relationship Id="rId1394" Type="http://schemas.openxmlformats.org/officeDocument/2006/relationships/hyperlink" Target="https://mgg.stores-apple.com/catalog/mini-pk-apple-mac-mini-m4-2024-10c-cpu-10c-gpu-24-gb-512-gb-ssd-serebristyy-mcyt4/" TargetMode="External"/><Relationship Id="rId1395" Type="http://schemas.openxmlformats.org/officeDocument/2006/relationships/hyperlink" Target="https://mgg.stores-apple.com/catalog/mini-pk-apple-mac-mini-m4-pro-2024-12c-cpu-16c-gpu-24-gb-512-gb-ssd-serebristyy-mcx44/" TargetMode="External"/><Relationship Id="rId323" Type="http://schemas.openxmlformats.org/officeDocument/2006/relationships/hyperlink" Target="https://mgg.stores-apple.com/catalog/smartfon-apple-iphone-16-plus-256-gb-rozovyj/" TargetMode="External"/><Relationship Id="rId1396" Type="http://schemas.openxmlformats.org/officeDocument/2006/relationships/hyperlink" Target="https://mgg.stores-apple.com/catalog/konvert_gurdini_felt_dlya_macbook_air_13_neo_seryy/" TargetMode="External"/><Relationship Id="rId322" Type="http://schemas.openxmlformats.org/officeDocument/2006/relationships/hyperlink" Target="https://mgg.stores-apple.com/catalog/smartfon-apple-iphone-16-plus-256-gb-ultramarin/" TargetMode="External"/><Relationship Id="rId1397" Type="http://schemas.openxmlformats.org/officeDocument/2006/relationships/hyperlink" Target="https://mgg.stores-apple.com/catalog/konvert_gurdini_felt_dlya_macbook_air_15_seryy/" TargetMode="External"/><Relationship Id="rId321" Type="http://schemas.openxmlformats.org/officeDocument/2006/relationships/hyperlink" Target="https://mgg.stores-apple.com/catalog/smartfon-apple-iphone-16-plus-256-gb-biryuzovyj/" TargetMode="External"/><Relationship Id="rId1398" Type="http://schemas.openxmlformats.org/officeDocument/2006/relationships/hyperlink" Target="https://mgg.stores-apple.com/catalog/magic-mouse-mk2e3/" TargetMode="External"/><Relationship Id="rId320" Type="http://schemas.openxmlformats.org/officeDocument/2006/relationships/hyperlink" Target="https://mgg.stores-apple.com/catalog/smartfon-apple-iphone-16-plus-128-gb-belyj/" TargetMode="External"/><Relationship Id="rId1399" Type="http://schemas.openxmlformats.org/officeDocument/2006/relationships/hyperlink" Target="https://mgg.stores-apple.com/catalog/magic-mouse-mmmq3/" TargetMode="External"/><Relationship Id="rId1389" Type="http://schemas.openxmlformats.org/officeDocument/2006/relationships/hyperlink" Target="https://mgg.stores-apple.com/catalog/noutbuk_apple_macbook_neo_2026_8_gb_512_gb_tsitrus_angliyskaya_raskladka/" TargetMode="External"/><Relationship Id="rId316" Type="http://schemas.openxmlformats.org/officeDocument/2006/relationships/hyperlink" Target="https://mgg.stores-apple.com/catalog/smartfon-apple-iphone-16-plus-128-gb-biryuzovyj/" TargetMode="External"/><Relationship Id="rId315" Type="http://schemas.openxmlformats.org/officeDocument/2006/relationships/hyperlink" Target="https://mgg.stores-apple.com/catalog/smartfon-apple-iphone-16-plus-128-gb-belyj-obmen/" TargetMode="External"/><Relationship Id="rId799" Type="http://schemas.openxmlformats.org/officeDocument/2006/relationships/hyperlink" Target="https://mgg.stores-apple.com/catalog/smartfon_honor_600_12_256_gb_black_chernyy/" TargetMode="External"/><Relationship Id="rId314" Type="http://schemas.openxmlformats.org/officeDocument/2006/relationships/hyperlink" Target="https://mgg.stores-apple.com/catalog/smartfon-apple-iphone-16-plus-256-gb-ultramarin-obmen/" TargetMode="External"/><Relationship Id="rId798" Type="http://schemas.openxmlformats.org/officeDocument/2006/relationships/hyperlink" Target="https://mgg.stores-apple.com/catalog/smartfon_honor_600_12_256_gb_orange_oranzhevyy/" TargetMode="External"/><Relationship Id="rId313" Type="http://schemas.openxmlformats.org/officeDocument/2006/relationships/hyperlink" Target="https://mgg.stores-apple.com/catalog/smartfon-apple-iphone-16-plus-256-gb-biryuzovyj-obmen/" TargetMode="External"/><Relationship Id="rId797" Type="http://schemas.openxmlformats.org/officeDocument/2006/relationships/hyperlink" Target="https://mgg.stores-apple.com/catalog/smartfon_oneplus_15_16_1024_gb_beskonechnaya_chernota/" TargetMode="External"/><Relationship Id="rId319" Type="http://schemas.openxmlformats.org/officeDocument/2006/relationships/hyperlink" Target="https://mgg.stores-apple.com/catalog/smartfon-apple-iphone-16-plus-128-gb-rozovyj/" TargetMode="External"/><Relationship Id="rId318" Type="http://schemas.openxmlformats.org/officeDocument/2006/relationships/hyperlink" Target="https://mgg.stores-apple.com/catalog/smartfon-apple-iphone-16-plus-128-gb-chernyj/" TargetMode="External"/><Relationship Id="rId317" Type="http://schemas.openxmlformats.org/officeDocument/2006/relationships/hyperlink" Target="https://mgg.stores-apple.com/catalog/smartfon-apple-iphone-16-plus-128-gb-ultramarin/" TargetMode="External"/><Relationship Id="rId1380" Type="http://schemas.openxmlformats.org/officeDocument/2006/relationships/hyperlink" Target="https://mgg.stores-apple.com/catalog/monoblok-apple-imac-24-m4-2024-4-porta-10c-cpu-10c-gpu-24-gb-512-gb-ssd-goluboy-md2t4/" TargetMode="External"/><Relationship Id="rId792" Type="http://schemas.openxmlformats.org/officeDocument/2006/relationships/hyperlink" Target="https://mgg.stores-apple.com/catalog/smartfon_oneplus_15_16_512_gb_ulrafioletovyy/" TargetMode="External"/><Relationship Id="rId1381" Type="http://schemas.openxmlformats.org/officeDocument/2006/relationships/hyperlink" Target="https://mgg.stores-apple.com/catalog/monoblok-apple-imac-24-m4-2024-4-porta-10c-cpu-10c-gpu-24-gb-512-gb-ssd-oranzhevyj/" TargetMode="External"/><Relationship Id="rId791" Type="http://schemas.openxmlformats.org/officeDocument/2006/relationships/hyperlink" Target="https://mgg.stores-apple.com/catalog/smartfon_oneplus_15_12_512_gb_peschnaya_burya/" TargetMode="External"/><Relationship Id="rId1382" Type="http://schemas.openxmlformats.org/officeDocument/2006/relationships/hyperlink" Target="https://mgg.stores-apple.com/catalog/monoblok-apple-imac-24-m4-2024-4-porta-10c-cpu-10c-gpu-24-gb-512-gb-ssd-serebristyj-mcr24/" TargetMode="External"/><Relationship Id="rId790" Type="http://schemas.openxmlformats.org/officeDocument/2006/relationships/hyperlink" Target="https://mgg.stores-apple.com/catalog/smartfon_oneplus_15_12_512_gb_beskonechnaya_chernota/" TargetMode="External"/><Relationship Id="rId1383" Type="http://schemas.openxmlformats.org/officeDocument/2006/relationships/hyperlink" Target="https://mgg.stores-apple.com/catalog/monoblok-apple-imac-24-m4-2024-4-porta-10c-cpu-10c-gpu-24-gb-512-gb-ssd-rozovyj-md2u4/" TargetMode="External"/><Relationship Id="rId1384" Type="http://schemas.openxmlformats.org/officeDocument/2006/relationships/hyperlink" Target="https://mgg.stores-apple.com/catalog/noutbuk_apple_macbook_neo_2026_8_gb_512_gb_serebristyy_angliyskaya_raskladka/" TargetMode="External"/><Relationship Id="rId312" Type="http://schemas.openxmlformats.org/officeDocument/2006/relationships/hyperlink" Target="https://mgg.stores-apple.com/catalog/smartfon-apple-iphone-16-plus-256-gb-rozovyj-obmen/" TargetMode="External"/><Relationship Id="rId796" Type="http://schemas.openxmlformats.org/officeDocument/2006/relationships/hyperlink" Target="https://mgg.stores-apple.com/catalog/smartfon_oneplus_15_16_1024_gb_peschnaya_burya/" TargetMode="External"/><Relationship Id="rId1385" Type="http://schemas.openxmlformats.org/officeDocument/2006/relationships/hyperlink" Target="https://mgg.stores-apple.com/catalog/noutbuk_apple_macbook_neo_2026_8_gb_256_gb_tsitrus_angliyskaya_raskladka/" TargetMode="External"/><Relationship Id="rId311" Type="http://schemas.openxmlformats.org/officeDocument/2006/relationships/hyperlink" Target="https://mgg.stores-apple.com/catalog/smartfon-apple-iphone-16-plus-256-gb-chernyj-obmen/" TargetMode="External"/><Relationship Id="rId795" Type="http://schemas.openxmlformats.org/officeDocument/2006/relationships/hyperlink" Target="https://mgg.stores-apple.com/catalog/smartfon_oneplus_15_16_1024_gb_ulrafioletovyy/" TargetMode="External"/><Relationship Id="rId1386" Type="http://schemas.openxmlformats.org/officeDocument/2006/relationships/hyperlink" Target="https://mgg.stores-apple.com/catalog/noutbuk_apple_macbook_neo_2026_8_gb_256_gb_indigo_angliyskaya_raskladka/" TargetMode="External"/><Relationship Id="rId310" Type="http://schemas.openxmlformats.org/officeDocument/2006/relationships/hyperlink" Target="https://mgg.stores-apple.com/catalog/smartfon-apple-iphone-16-plus-256-gb-belyj-obmen/" TargetMode="External"/><Relationship Id="rId794" Type="http://schemas.openxmlformats.org/officeDocument/2006/relationships/hyperlink" Target="https://mgg.stores-apple.com/catalog/smartfon_oneplus_15_16_512_gb_peschnaya_burya/" TargetMode="External"/><Relationship Id="rId1387" Type="http://schemas.openxmlformats.org/officeDocument/2006/relationships/hyperlink" Target="https://mgg.stores-apple.com/catalog/noutbuk_apple_macbook_neo_2026_8_gb_256_gb_rozovyy_rumyanets_angliyskaya_raskladka/" TargetMode="External"/><Relationship Id="rId793" Type="http://schemas.openxmlformats.org/officeDocument/2006/relationships/hyperlink" Target="https://mgg.stores-apple.com/catalog/smartfon_oneplus_15_16_512_gb_beskonechnaya_chernota/" TargetMode="External"/><Relationship Id="rId1388" Type="http://schemas.openxmlformats.org/officeDocument/2006/relationships/hyperlink" Target="https://mgg.stores-apple.com/catalog/noutbuk_apple_macbook_neo_2026_8_gb_256_gb_serebristyy_angliyskaya_raskladka/" TargetMode="External"/><Relationship Id="rId297" Type="http://schemas.openxmlformats.org/officeDocument/2006/relationships/hyperlink" Target="https://mgg.stores-apple.com/catalog/smartfon-apple-iphone-16-pro-512-gb-chernyj-titan/" TargetMode="External"/><Relationship Id="rId296" Type="http://schemas.openxmlformats.org/officeDocument/2006/relationships/hyperlink" Target="https://mgg.stores-apple.com/catalog/smartfon-apple-iphone-16-pro-512-gb-belyj-titan/" TargetMode="External"/><Relationship Id="rId295" Type="http://schemas.openxmlformats.org/officeDocument/2006/relationships/hyperlink" Target="https://mgg.stores-apple.com/catalog/smartfon-apple-iphone-16-pro-512-gb-pustynnyj-titan/" TargetMode="External"/><Relationship Id="rId294" Type="http://schemas.openxmlformats.org/officeDocument/2006/relationships/hyperlink" Target="https://mgg.stores-apple.com/catalog/smartfon-apple-iphone-16-pro-512-gb-naturalnyj-titan/" TargetMode="External"/><Relationship Id="rId299" Type="http://schemas.openxmlformats.org/officeDocument/2006/relationships/hyperlink" Target="https://mgg.stores-apple.com/catalog/smartfon-apple-iphone-16-pro-1024-gb-naturalnyj-titan/" TargetMode="External"/><Relationship Id="rId298" Type="http://schemas.openxmlformats.org/officeDocument/2006/relationships/hyperlink" Target="https://mgg.stores-apple.com/catalog/smartfon-apple-iphone-16-pro-1024-gb-belyj-titan/" TargetMode="External"/><Relationship Id="rId271" Type="http://schemas.openxmlformats.org/officeDocument/2006/relationships/hyperlink" Target="https://mgg.stores-apple.com/catalog/smartfon-apple-iphone-16-pro-128-gb-chernyj-titan-obmen/" TargetMode="External"/><Relationship Id="rId270" Type="http://schemas.openxmlformats.org/officeDocument/2006/relationships/hyperlink" Target="https://mgg.stores-apple.com/catalog/smartfon-apple-iphone-16-pro-128-gb-pustynnyj-titan-obmen/" TargetMode="External"/><Relationship Id="rId269" Type="http://schemas.openxmlformats.org/officeDocument/2006/relationships/hyperlink" Target="https://mgg.stores-apple.com/catalog/smartfon-apple-iphone-16-pro-128-gb-naturalnyj-titan-obmen/" TargetMode="External"/><Relationship Id="rId264" Type="http://schemas.openxmlformats.org/officeDocument/2006/relationships/hyperlink" Target="https://mgg.stores-apple.com/catalog/smartfon-apple-iphone-16-pro-256-gb-pustynnyj-titan-esim-obmenka/" TargetMode="External"/><Relationship Id="rId263" Type="http://schemas.openxmlformats.org/officeDocument/2006/relationships/hyperlink" Target="https://mgg.stores-apple.com/catalog/smartfon-apple-iphone-16-pro-128-gb-chernyj-titan-esim-obmenka/" TargetMode="External"/><Relationship Id="rId262" Type="http://schemas.openxmlformats.org/officeDocument/2006/relationships/hyperlink" Target="https://mgg.stores-apple.com/catalog/smartfon-apple-iphone-16-pro-128-gb-naturalnyj-titan-esim-obmenka/" TargetMode="External"/><Relationship Id="rId261" Type="http://schemas.openxmlformats.org/officeDocument/2006/relationships/hyperlink" Target="https://mgg.stores-apple.com/catalog/smartfon-apple-iphone-16-pro-128-gb-belyj-titan-esim-obmenka/" TargetMode="External"/><Relationship Id="rId268" Type="http://schemas.openxmlformats.org/officeDocument/2006/relationships/hyperlink" Target="https://mgg.stores-apple.com/catalog/smartfon-apple-iphone-16-pro-128-gb-belyj-titan-obmen/" TargetMode="External"/><Relationship Id="rId267" Type="http://schemas.openxmlformats.org/officeDocument/2006/relationships/hyperlink" Target="https://mgg.stores-apple.com/catalog/smartfon-apple-iphone-16-pro-256-gb-chernyj-titan-esim-obmenka/" TargetMode="External"/><Relationship Id="rId266" Type="http://schemas.openxmlformats.org/officeDocument/2006/relationships/hyperlink" Target="https://mgg.stores-apple.com/catalog/smartfon-apple-iphone-16-pro-256-gb-belyj-titan-esim-obmenka/" TargetMode="External"/><Relationship Id="rId265" Type="http://schemas.openxmlformats.org/officeDocument/2006/relationships/hyperlink" Target="https://mgg.stores-apple.com/catalog/smartfon-apple-iphone-16-pro-256-gb-naturalnyj-titan-esim-obmenka/" TargetMode="External"/><Relationship Id="rId260" Type="http://schemas.openxmlformats.org/officeDocument/2006/relationships/hyperlink" Target="https://mgg.stores-apple.com/catalog/smartfon-apple-iphone-16-pro-128-gb-pustynnyj-titan-esim-obmenka/" TargetMode="External"/><Relationship Id="rId259" Type="http://schemas.openxmlformats.org/officeDocument/2006/relationships/hyperlink" Target="https://mgg.stores-apple.com/catalog/smartfon-apple-iphone-16-pro-512-gb-pustynnyj-titan-obmen/" TargetMode="External"/><Relationship Id="rId258" Type="http://schemas.openxmlformats.org/officeDocument/2006/relationships/hyperlink" Target="https://mgg.stores-apple.com/catalog/smartfon-apple-iphone-16-pro-256-gb-pustynnyj-titan-obmen/" TargetMode="External"/><Relationship Id="rId253" Type="http://schemas.openxmlformats.org/officeDocument/2006/relationships/hyperlink" Target="https://mgg.stores-apple.com/catalog/smartfon-apple-iphone-16-pro-max-1024-gb-pustynnyj-titan-esim-obmenka/" TargetMode="External"/><Relationship Id="rId252" Type="http://schemas.openxmlformats.org/officeDocument/2006/relationships/hyperlink" Target="https://mgg.stores-apple.com/catalog/smartfon-apple-iphone-16-pro-max-1024-gb-chernyj-titan-esim-obmenka/" TargetMode="External"/><Relationship Id="rId251" Type="http://schemas.openxmlformats.org/officeDocument/2006/relationships/hyperlink" Target="https://mgg.stores-apple.com/catalog/smartfon-apple-iphone-16-pro-max-1024-gb-belyj-titan-esim-obmenka/" TargetMode="External"/><Relationship Id="rId250" Type="http://schemas.openxmlformats.org/officeDocument/2006/relationships/hyperlink" Target="https://mgg.stores-apple.com/catalog/smartfon-apple-iphone-16-pro-max-1024-gb-naturalnyj-titan-esim-obmenka/" TargetMode="External"/><Relationship Id="rId257" Type="http://schemas.openxmlformats.org/officeDocument/2006/relationships/hyperlink" Target="https://mgg.stores-apple.com/catalog/smartfon-apple-iphone-16-pro-max-1024-gb-belyj-titan-obmen/" TargetMode="External"/><Relationship Id="rId256" Type="http://schemas.openxmlformats.org/officeDocument/2006/relationships/hyperlink" Target="https://mgg.stores-apple.com/catalog/smartfon-apple-iphone-16-pro-max-1024-gb-chernyj-titan-obmen/" TargetMode="External"/><Relationship Id="rId255" Type="http://schemas.openxmlformats.org/officeDocument/2006/relationships/hyperlink" Target="https://mgg.stores-apple.com/catalog/smartfon-apple-iphone-16-pro-max-1024-gb-naturalnyj-titan-obmen/" TargetMode="External"/><Relationship Id="rId254" Type="http://schemas.openxmlformats.org/officeDocument/2006/relationships/hyperlink" Target="https://mgg.stores-apple.com/catalog/smartfon-apple-iphone-16-pro-max-1024-gb-pustynnyj-titan-obmen/" TargetMode="External"/><Relationship Id="rId293" Type="http://schemas.openxmlformats.org/officeDocument/2006/relationships/hyperlink" Target="https://mgg.stores-apple.com/catalog/smartfon-apple-iphone-16-pro-256-gb-pustynnyj-titan/" TargetMode="External"/><Relationship Id="rId292" Type="http://schemas.openxmlformats.org/officeDocument/2006/relationships/hyperlink" Target="https://mgg.stores-apple.com/catalog/smartfon-apple-iphone-16-pro-256-gb-chernyj-titan/" TargetMode="External"/><Relationship Id="rId291" Type="http://schemas.openxmlformats.org/officeDocument/2006/relationships/hyperlink" Target="https://mgg.stores-apple.com/catalog/smartfon-apple-iphone-16-pro-256-gb-belyj-titan/" TargetMode="External"/><Relationship Id="rId290" Type="http://schemas.openxmlformats.org/officeDocument/2006/relationships/hyperlink" Target="https://mgg.stores-apple.com/catalog/smartfon-apple-iphone-16-pro-256-gb-naturalnyj-titan/" TargetMode="External"/><Relationship Id="rId286" Type="http://schemas.openxmlformats.org/officeDocument/2006/relationships/hyperlink" Target="https://mgg.stores-apple.com/catalog/smartfon-apple-iphone-16-pro-1024-gb-belyj-titan-esim-obmenka/" TargetMode="External"/><Relationship Id="rId285" Type="http://schemas.openxmlformats.org/officeDocument/2006/relationships/hyperlink" Target="https://mgg.stores-apple.com/catalog/smartfon-apple-iphone-16-pro-512-gb-belyj-titan-obmen/" TargetMode="External"/><Relationship Id="rId284" Type="http://schemas.openxmlformats.org/officeDocument/2006/relationships/hyperlink" Target="https://mgg.stores-apple.com/catalog/smartfon-apple-iphone-16-pro-512-gb-chernyj-titan-obmen/" TargetMode="External"/><Relationship Id="rId283" Type="http://schemas.openxmlformats.org/officeDocument/2006/relationships/hyperlink" Target="https://mgg.stores-apple.com/catalog/smartfon-apple-iphone-16-pro-512-gb-naturalnyj-titan-obmen/" TargetMode="External"/><Relationship Id="rId289" Type="http://schemas.openxmlformats.org/officeDocument/2006/relationships/hyperlink" Target="https://mgg.stores-apple.com/catalog/smartfon-apple-iphone-16-pro-1024-gb-naturalnyj-titan-esim-obmenka/" TargetMode="External"/><Relationship Id="rId288" Type="http://schemas.openxmlformats.org/officeDocument/2006/relationships/hyperlink" Target="https://mgg.stores-apple.com/catalog/smartfon-apple-iphone-16-pro-1024-gb-chernyj-titan-esim-obmenka/" TargetMode="External"/><Relationship Id="rId287" Type="http://schemas.openxmlformats.org/officeDocument/2006/relationships/hyperlink" Target="https://mgg.stores-apple.com/catalog/smartfon-apple-iphone-16-pro-1024-gb-pustynnyj-titan-esim-obmenka/" TargetMode="External"/><Relationship Id="rId282" Type="http://schemas.openxmlformats.org/officeDocument/2006/relationships/hyperlink" Target="https://mgg.stores-apple.com/catalog/smartfon-apple-iphone-16-pro-128-gb-pustynnyj-titan/" TargetMode="External"/><Relationship Id="rId281" Type="http://schemas.openxmlformats.org/officeDocument/2006/relationships/hyperlink" Target="https://mgg.stores-apple.com/catalog/smartfon-apple-iphone-16-pro-128-gb-chernyj-titan/" TargetMode="External"/><Relationship Id="rId280" Type="http://schemas.openxmlformats.org/officeDocument/2006/relationships/hyperlink" Target="https://mgg.stores-apple.com/catalog/smartfon-apple-iphone-16-pro-128-gb-naturalnyj-titan/" TargetMode="External"/><Relationship Id="rId275" Type="http://schemas.openxmlformats.org/officeDocument/2006/relationships/hyperlink" Target="https://mgg.stores-apple.com/catalog/smartfon-apple-iphone-16-pro-256-gb-chernyj-titan-obmen/" TargetMode="External"/><Relationship Id="rId274" Type="http://schemas.openxmlformats.org/officeDocument/2006/relationships/hyperlink" Target="https://mgg.stores-apple.com/catalog/smartfon-apple-iphone-16-pro-256-gb-belyj-titan-obmen/" TargetMode="External"/><Relationship Id="rId273" Type="http://schemas.openxmlformats.org/officeDocument/2006/relationships/hyperlink" Target="https://mgg.stores-apple.com/catalog/smartfon-apple-iphone-16-pro-256-gb-naturalnyj-titan-obmen/" TargetMode="External"/><Relationship Id="rId272" Type="http://schemas.openxmlformats.org/officeDocument/2006/relationships/hyperlink" Target="https://mgg.stores-apple.com/catalog/smartfon-apple-iphone-16-pro-512-gb-pustynnyj-titan-esim-obmenka/" TargetMode="External"/><Relationship Id="rId279" Type="http://schemas.openxmlformats.org/officeDocument/2006/relationships/hyperlink" Target="https://mgg.stores-apple.com/catalog/smartfon-apple-iphone-16-pro-128-gb-belyj-titan/" TargetMode="External"/><Relationship Id="rId278" Type="http://schemas.openxmlformats.org/officeDocument/2006/relationships/hyperlink" Target="https://mgg.stores-apple.com/catalog/smartfon-apple-iphone-16-pro-512-gb-naturalnyj-titan-esim-obmenka/" TargetMode="External"/><Relationship Id="rId277" Type="http://schemas.openxmlformats.org/officeDocument/2006/relationships/hyperlink" Target="https://mgg.stores-apple.com/catalog/smartfon-apple-iphone-16-pro-512-gb-chernyj-titan-esim-obmenka/" TargetMode="External"/><Relationship Id="rId276" Type="http://schemas.openxmlformats.org/officeDocument/2006/relationships/hyperlink" Target="https://mgg.stores-apple.com/catalog/smartfon-apple-iphone-16-pro-512-gb-belyj-titan-esim-obmenka/" TargetMode="External"/><Relationship Id="rId1455" Type="http://schemas.openxmlformats.org/officeDocument/2006/relationships/hyperlink" Target="https://mgg.stores-apple.com/catalog/fen-dyson-supersonic-nural-hd16-red-velvet-gold/" TargetMode="External"/><Relationship Id="rId1456" Type="http://schemas.openxmlformats.org/officeDocument/2006/relationships/hyperlink" Target="https://mgg.stores-apple.com/catalog/vypryamitel-dyson-airstrait-ht01-red-velvet-gold/" TargetMode="External"/><Relationship Id="rId1457" Type="http://schemas.openxmlformats.org/officeDocument/2006/relationships/hyperlink" Target="https://mgg.stores-apple.com/catalog/stayler-dyson-airwrap-id-long-hs08-straight-wavy-jasper-plum/" TargetMode="External"/><Relationship Id="rId1458" Type="http://schemas.openxmlformats.org/officeDocument/2006/relationships/hyperlink" Target="https://mgg.stores-apple.com/catalog/vypryamitel_dyson_airstrait_ht01_prussian_blue_cooper/" TargetMode="External"/><Relationship Id="rId1459" Type="http://schemas.openxmlformats.org/officeDocument/2006/relationships/hyperlink" Target="https://mgg.stores-apple.com/catalog/vypryamitel-dyson-airstrait-ht01-onyx-gold/" TargetMode="External"/><Relationship Id="rId629" Type="http://schemas.openxmlformats.org/officeDocument/2006/relationships/hyperlink" Target="https://mgg.stores-apple.com/catalog/smartfon_samsung_galaxy_z_fold_8_ultra_16_1024_gb_fioletovyy/" TargetMode="External"/><Relationship Id="rId624" Type="http://schemas.openxmlformats.org/officeDocument/2006/relationships/hyperlink" Target="https://mgg.stores-apple.com/catalog/smartfon-samsung-galaxy-z-fold7-16-1024-gb-cernyj/" TargetMode="External"/><Relationship Id="rId623" Type="http://schemas.openxmlformats.org/officeDocument/2006/relationships/hyperlink" Target="https://mgg.stores-apple.com/catalog/smartfon-samsung-galaxy-z-fold7-16-1024-gb-miatnyj/" TargetMode="External"/><Relationship Id="rId622" Type="http://schemas.openxmlformats.org/officeDocument/2006/relationships/hyperlink" Target="https://mgg.stores-apple.com/catalog/smartfon-samsung-galaxy-z-fold7-16-1024-gb-sinij/" TargetMode="External"/><Relationship Id="rId621" Type="http://schemas.openxmlformats.org/officeDocument/2006/relationships/hyperlink" Target="https://mgg.stores-apple.com/catalog/smartfon-samsung-galaxy-z-fold7-16-1024-gb-seryj/" TargetMode="External"/><Relationship Id="rId628" Type="http://schemas.openxmlformats.org/officeDocument/2006/relationships/hyperlink" Target="https://mgg.stores-apple.com/catalog/smartfon_samsung_galaxy_z_fold_8_ultra_16_1024_gb_seryy/" TargetMode="External"/><Relationship Id="rId627" Type="http://schemas.openxmlformats.org/officeDocument/2006/relationships/hyperlink" Target="https://mgg.stores-apple.com/catalog/smartfon_samsung_galaxy_z_fold_8_16_1024_gb_seryy/" TargetMode="External"/><Relationship Id="rId626" Type="http://schemas.openxmlformats.org/officeDocument/2006/relationships/hyperlink" Target="https://mgg.stores-apple.com/catalog/smartfon_samsung_galaxy_z_fold_8_16_1024_gb_fioletovyy/" TargetMode="External"/><Relationship Id="rId625" Type="http://schemas.openxmlformats.org/officeDocument/2006/relationships/hyperlink" Target="https://mgg.stores-apple.com/catalog/smartfon_samsung_galaxy_z_fold_8_16_1024_gb_bezhevyy/" TargetMode="External"/><Relationship Id="rId1450" Type="http://schemas.openxmlformats.org/officeDocument/2006/relationships/hyperlink" Target="https://mgg.stores-apple.com/catalog/vypryamitel-dyson-airstrait-ht01-jasper-plum/" TargetMode="External"/><Relationship Id="rId620" Type="http://schemas.openxmlformats.org/officeDocument/2006/relationships/hyperlink" Target="https://mgg.stores-apple.com/catalog/smartfon_samsung_galaxy_z_fold_8_ultra_12_512_gb_seryy/" TargetMode="External"/><Relationship Id="rId1451" Type="http://schemas.openxmlformats.org/officeDocument/2006/relationships/hyperlink" Target="https://mgg.stores-apple.com/catalog/vypryamitel-dyson-airstrait-ht01-strawberry-bronze-blush-pink/" TargetMode="External"/><Relationship Id="rId1452" Type="http://schemas.openxmlformats.org/officeDocument/2006/relationships/hyperlink" Target="https://mgg.stores-apple.com/catalog/fen-dyson-supersonic-nural-hd16-strawberry-bronze-blush-pink/" TargetMode="External"/><Relationship Id="rId1453" Type="http://schemas.openxmlformats.org/officeDocument/2006/relationships/hyperlink" Target="https://mgg.stores-apple.com/catalog/vypryamitel-dyson-airstrait-ht01-nickel-cooper/" TargetMode="External"/><Relationship Id="rId1454" Type="http://schemas.openxmlformats.org/officeDocument/2006/relationships/hyperlink" Target="https://mgg.stores-apple.com/catalog/stayler-dyson-airwrap-id-long-hs08-straight-wavy-red-velvet-gold/" TargetMode="External"/><Relationship Id="rId1444" Type="http://schemas.openxmlformats.org/officeDocument/2006/relationships/hyperlink" Target="https://mgg.stores-apple.com/catalog/fen-dyson-supersonic-nural-hd16-vinca-blue-topaz/" TargetMode="External"/><Relationship Id="rId1445" Type="http://schemas.openxmlformats.org/officeDocument/2006/relationships/hyperlink" Target="https://mgg.stores-apple.com/catalog/fen-dyson-supersonic-nural-hd16-ceramic-pink-rose-gold/" TargetMode="External"/><Relationship Id="rId1446" Type="http://schemas.openxmlformats.org/officeDocument/2006/relationships/hyperlink" Target="https://mgg.stores-apple.com/catalog/vypryamitel-dyson-airstrait-ht01-ceramic-pink-sakura-gold/" TargetMode="External"/><Relationship Id="rId1447" Type="http://schemas.openxmlformats.org/officeDocument/2006/relationships/hyperlink" Target="https://mgg.stores-apple.com/catalog/fen-dyson-supersonic-nural-hd16-ceramic-patina-topaz/" TargetMode="External"/><Relationship Id="rId1448" Type="http://schemas.openxmlformats.org/officeDocument/2006/relationships/hyperlink" Target="https://mgg.stores-apple.com/catalog/fen-dyson-supersonic-nural-hd16-jasper-plum/" TargetMode="External"/><Relationship Id="rId1449" Type="http://schemas.openxmlformats.org/officeDocument/2006/relationships/hyperlink" Target="https://mgg.stores-apple.com/catalog/stayler-dyson-airwrap-id-long-hs08-straight-wavy-ceramic-patina-topaz/" TargetMode="External"/><Relationship Id="rId619" Type="http://schemas.openxmlformats.org/officeDocument/2006/relationships/hyperlink" Target="https://mgg.stores-apple.com/catalog/smartfon_samsung_galaxy_z_fold_8_ultra_12_512_gb_bezhevyy/" TargetMode="External"/><Relationship Id="rId618" Type="http://schemas.openxmlformats.org/officeDocument/2006/relationships/hyperlink" Target="https://mgg.stores-apple.com/catalog/smartfon_samsung_galaxy_z_fold_8_ultra_12_512_gb_fioletovyy/" TargetMode="External"/><Relationship Id="rId613" Type="http://schemas.openxmlformats.org/officeDocument/2006/relationships/hyperlink" Target="https://mgg.stores-apple.com/catalog/smartfon_samsung_galaxy_z_fold_8_ultra_12_256_gb_seryy/" TargetMode="External"/><Relationship Id="rId612" Type="http://schemas.openxmlformats.org/officeDocument/2006/relationships/hyperlink" Target="https://mgg.stores-apple.com/catalog/smartfon_samsung_galaxy_z_fold_8_12_512_gb_fioletovyy/" TargetMode="External"/><Relationship Id="rId611" Type="http://schemas.openxmlformats.org/officeDocument/2006/relationships/hyperlink" Target="https://mgg.stores-apple.com/catalog/smartfon-samsung-galaxy-z-fold7-12-512-gb-cernyj/" TargetMode="External"/><Relationship Id="rId610" Type="http://schemas.openxmlformats.org/officeDocument/2006/relationships/hyperlink" Target="https://mgg.stores-apple.com/catalog/smartfon-samsung-galaxy-z-fold7-12-512-gb-miatnyj/" TargetMode="External"/><Relationship Id="rId617" Type="http://schemas.openxmlformats.org/officeDocument/2006/relationships/hyperlink" Target="https://mgg.stores-apple.com/catalog/smartfon_samsung_galaxy_z_fold_8_ultra_12_256_gb_bezhevyy/" TargetMode="External"/><Relationship Id="rId616" Type="http://schemas.openxmlformats.org/officeDocument/2006/relationships/hyperlink" Target="https://mgg.stores-apple.com/catalog/smartfon_samsung_galaxy_z_fold_8_12_512_gb_seryy/" TargetMode="External"/><Relationship Id="rId615" Type="http://schemas.openxmlformats.org/officeDocument/2006/relationships/hyperlink" Target="https://mgg.stores-apple.com/catalog/smartfon_samsung_galaxy_z_fold_8_12_512_gb_bezhevyy/" TargetMode="External"/><Relationship Id="rId614" Type="http://schemas.openxmlformats.org/officeDocument/2006/relationships/hyperlink" Target="https://mgg.stores-apple.com/catalog/smartfon_samsung_galaxy_z_fold_8_ultra_12_256_gb_fioletovyy/" TargetMode="External"/><Relationship Id="rId1440" Type="http://schemas.openxmlformats.org/officeDocument/2006/relationships/hyperlink" Target="https://mgg.stores-apple.com/catalog/robot_pylesos_dreame_x60_ultra_complete_chernyy/" TargetMode="External"/><Relationship Id="rId1441" Type="http://schemas.openxmlformats.org/officeDocument/2006/relationships/hyperlink" Target="https://mgg.stores-apple.com/catalog/vypryamitel-dyson-airstrait-ht01-blue-cooper/" TargetMode="External"/><Relationship Id="rId1442" Type="http://schemas.openxmlformats.org/officeDocument/2006/relationships/hyperlink" Target="https://mgg.stores-apple.com/catalog/stayler-dyson-airwrap-id-long-hs08-straight-wavy-vinca-blue-topaz/" TargetMode="External"/><Relationship Id="rId1443" Type="http://schemas.openxmlformats.org/officeDocument/2006/relationships/hyperlink" Target="https://mgg.stores-apple.com/catalog/stayler_dyson_airwrap_coanda2x_hs09_multi_styler_dryer_jasper_plum/" TargetMode="External"/><Relationship Id="rId1477" Type="http://schemas.openxmlformats.org/officeDocument/2006/relationships/hyperlink" Target="https://mgg.stores-apple.com/catalog/besprovodnye-naushniki-marshall-major-5-belyj/" TargetMode="External"/><Relationship Id="rId1478" Type="http://schemas.openxmlformats.org/officeDocument/2006/relationships/hyperlink" Target="https://mgg.stores-apple.com/catalog/kolonka-yandeks-stanciya-mini-bez-chasov-krasnyj-granat/" TargetMode="External"/><Relationship Id="rId1479" Type="http://schemas.openxmlformats.org/officeDocument/2006/relationships/hyperlink" Target="https://mgg.stores-apple.com/catalog/kolonka-yandeks-stanciya-mini-bez-chasov-ceryj-opal/" TargetMode="External"/><Relationship Id="rId646" Type="http://schemas.openxmlformats.org/officeDocument/2006/relationships/hyperlink" Target="https://mgg.stores-apple.com/catalog/sony_playstation_portal_belyy/" TargetMode="External"/><Relationship Id="rId645" Type="http://schemas.openxmlformats.org/officeDocument/2006/relationships/hyperlink" Target="https://mgg.stores-apple.com/catalog/diskovod_dlya_pristavki_sony_disc_drive_dlya_playstation_5_slim_pro/" TargetMode="External"/><Relationship Id="rId644" Type="http://schemas.openxmlformats.org/officeDocument/2006/relationships/hyperlink" Target="https://mgg.stores-apple.com/catalog/geympad-sony-dualsense-dlya-ps5-cobalt-blue/" TargetMode="External"/><Relationship Id="rId643" Type="http://schemas.openxmlformats.org/officeDocument/2006/relationships/hyperlink" Target="https://mgg.stores-apple.com/catalog/geympad-sony-dualsense-dlya-ps5-cosmis-red/" TargetMode="External"/><Relationship Id="rId649" Type="http://schemas.openxmlformats.org/officeDocument/2006/relationships/hyperlink" Target="https://mgg.stores-apple.com/catalog/igrovaya-pristavka-sony-playstation-5-825gb-s-diskovodom-cfi-1118a/" TargetMode="External"/><Relationship Id="rId648" Type="http://schemas.openxmlformats.org/officeDocument/2006/relationships/hyperlink" Target="https://mgg.stores-apple.com/catalog/sony-playstation-5-cfi-1118b/" TargetMode="External"/><Relationship Id="rId647" Type="http://schemas.openxmlformats.org/officeDocument/2006/relationships/hyperlink" Target="https://mgg.stores-apple.com/catalog/sony_playstation_portal_chernyy/" TargetMode="External"/><Relationship Id="rId1470" Type="http://schemas.openxmlformats.org/officeDocument/2006/relationships/hyperlink" Target="https://mgg.stores-apple.com/catalog/naushniki-apple-airpods-4-belye-s-shumopodavleniem/" TargetMode="External"/><Relationship Id="rId1471" Type="http://schemas.openxmlformats.org/officeDocument/2006/relationships/hyperlink" Target="https://mgg.stores-apple.com/catalog/naushniki-apple-airpods-pro-2-type-c/" TargetMode="External"/><Relationship Id="rId1472" Type="http://schemas.openxmlformats.org/officeDocument/2006/relationships/hyperlink" Target="https://mgg.stores-apple.com/catalog/naushniki-apple-airpods-pro-3/" TargetMode="External"/><Relationship Id="rId642" Type="http://schemas.openxmlformats.org/officeDocument/2006/relationships/hyperlink" Target="https://mgg.stores-apple.com/catalog/geympad-sony-dualsense-dlya-ps5-zvezdnyy-siniy/" TargetMode="External"/><Relationship Id="rId1473" Type="http://schemas.openxmlformats.org/officeDocument/2006/relationships/hyperlink" Target="https://mgg.stores-apple.com/catalog/besprovodnye-naushniki-apple-airpods-max-polnoch/" TargetMode="External"/><Relationship Id="rId641" Type="http://schemas.openxmlformats.org/officeDocument/2006/relationships/hyperlink" Target="https://mgg.stores-apple.com/catalog/zaryadnaya_stantsiya_playstation_dualsense_charging_station/" TargetMode="External"/><Relationship Id="rId1474" Type="http://schemas.openxmlformats.org/officeDocument/2006/relationships/hyperlink" Target="https://mgg.stores-apple.com/catalog/naushniki_apple_earpods_s_razemom_usb_c_belye/" TargetMode="External"/><Relationship Id="rId640" Type="http://schemas.openxmlformats.org/officeDocument/2006/relationships/hyperlink" Target="https://mgg.stores-apple.com/catalog/igrovaya-pristavka-sony-playstation-5-slim-s-diskovodom/" TargetMode="External"/><Relationship Id="rId1475" Type="http://schemas.openxmlformats.org/officeDocument/2006/relationships/hyperlink" Target="https://mgg.stores-apple.com/catalog/besprovodnye-naushniki-marshall-major-5-korichnevyj/" TargetMode="External"/><Relationship Id="rId1476" Type="http://schemas.openxmlformats.org/officeDocument/2006/relationships/hyperlink" Target="https://mgg.stores-apple.com/catalog/besprovodnye_naushniki_marshall_major_5_kremovyy/" TargetMode="External"/><Relationship Id="rId1466" Type="http://schemas.openxmlformats.org/officeDocument/2006/relationships/hyperlink" Target="https://mgg.stores-apple.com/catalog/stayler-dyson-airwrap-id-long-hs08-straight-wavy-strawberry-bronze-blush-pink/" TargetMode="External"/><Relationship Id="rId1467" Type="http://schemas.openxmlformats.org/officeDocument/2006/relationships/hyperlink" Target="https://mgg.stores-apple.com/catalog/besprovodnye-naushniki-marshall-major-5-chernyi/" TargetMode="External"/><Relationship Id="rId1468" Type="http://schemas.openxmlformats.org/officeDocument/2006/relationships/hyperlink" Target="https://mgg.stores-apple.com/catalog/naushniki-apple-airpods-4/" TargetMode="External"/><Relationship Id="rId1469" Type="http://schemas.openxmlformats.org/officeDocument/2006/relationships/hyperlink" Target="https://mgg.stores-apple.com/catalog/besprovodnye_naushniki_samsung_galaxy_buds_4_pro_chernye/" TargetMode="External"/><Relationship Id="rId635" Type="http://schemas.openxmlformats.org/officeDocument/2006/relationships/hyperlink" Target="https://mgg.stores-apple.com/catalog/smartfon_nothing_phone_3a_12_256_gb_siniy/" TargetMode="External"/><Relationship Id="rId634" Type="http://schemas.openxmlformats.org/officeDocument/2006/relationships/hyperlink" Target="https://mgg.stores-apple.com/catalog/smartfon-nothing-phone-3a-12-256-gb-chernyy/" TargetMode="External"/><Relationship Id="rId633" Type="http://schemas.openxmlformats.org/officeDocument/2006/relationships/hyperlink" Target="https://mgg.stores-apple.com/catalog/smartfon-nothing-phone-3a-12-256-gb-belyy/" TargetMode="External"/><Relationship Id="rId632" Type="http://schemas.openxmlformats.org/officeDocument/2006/relationships/hyperlink" Target="https://mgg.stores-apple.com/catalog/smartfon-nothing-phone-3a-8-128-gb-belyy/" TargetMode="External"/><Relationship Id="rId639" Type="http://schemas.openxmlformats.org/officeDocument/2006/relationships/hyperlink" Target="https://mgg.stores-apple.com/catalog/geympad_sony_dualsense_dlya_ps5_belyy/" TargetMode="External"/><Relationship Id="rId638" Type="http://schemas.openxmlformats.org/officeDocument/2006/relationships/hyperlink" Target="https://mgg.stores-apple.com/catalog/geympad-sony-dualsense-dlya-ps5-midnight-black/" TargetMode="External"/><Relationship Id="rId637" Type="http://schemas.openxmlformats.org/officeDocument/2006/relationships/hyperlink" Target="https://mgg.stores-apple.com/catalog/smartfon-nothing-phone-3a-pro-12-256-gb-chernyy/" TargetMode="External"/><Relationship Id="rId636" Type="http://schemas.openxmlformats.org/officeDocument/2006/relationships/hyperlink" Target="https://mgg.stores-apple.com/catalog/smartfon-nothing-phone-3a-pro-12-256-gb-seryy/" TargetMode="External"/><Relationship Id="rId1460" Type="http://schemas.openxmlformats.org/officeDocument/2006/relationships/hyperlink" Target="https://mgg.stores-apple.com/catalog/stayler_dyson_airwrap_coanda2x_hs09_apricot_topaz/" TargetMode="External"/><Relationship Id="rId1461" Type="http://schemas.openxmlformats.org/officeDocument/2006/relationships/hyperlink" Target="https://mgg.stores-apple.com/catalog/stayler_dyson_airwrap_coanda2x_hs09_multi_styler_dryer_amber_silk/" TargetMode="External"/><Relationship Id="rId631" Type="http://schemas.openxmlformats.org/officeDocument/2006/relationships/hyperlink" Target="https://mgg.stores-apple.com/catalog/smartfon-nothing-phone-3a-8-128-gb-chernyy/" TargetMode="External"/><Relationship Id="rId1462" Type="http://schemas.openxmlformats.org/officeDocument/2006/relationships/hyperlink" Target="https://mgg.stores-apple.com/catalog/stayler_dyson_airwrap_coanda2x_hs09_multi_styler_dryer_ceramic_pink_rose_gold/" TargetMode="External"/><Relationship Id="rId630" Type="http://schemas.openxmlformats.org/officeDocument/2006/relationships/hyperlink" Target="https://mgg.stores-apple.com/catalog/smartfon_samsung_galaxy_z_fold_8_ultra_16_1024_gb_bezhevyy/" TargetMode="External"/><Relationship Id="rId1463" Type="http://schemas.openxmlformats.org/officeDocument/2006/relationships/hyperlink" Target="https://mgg.stores-apple.com/catalog/stayler_dyson_airwrap_coanda2x_hs09_multi_styler_dryer_jasper_plum_vilka_eu/" TargetMode="External"/><Relationship Id="rId1464" Type="http://schemas.openxmlformats.org/officeDocument/2006/relationships/hyperlink" Target="https://mgg.stores-apple.com/catalog/stayler_dyson_airwrap_coanda2x_hs09_multi_styler_dryer_ceramic_pink_rose_gold_vilka_eu/" TargetMode="External"/><Relationship Id="rId1465" Type="http://schemas.openxmlformats.org/officeDocument/2006/relationships/hyperlink" Target="https://mgg.stores-apple.com/catalog/stayler_dyson_airwrap_coanda2x_hs09_multi_styler_dryer_amber_silk_vilka_eu/" TargetMode="External"/><Relationship Id="rId1411" Type="http://schemas.openxmlformats.org/officeDocument/2006/relationships/hyperlink" Target="https://mgg.stores-apple.com/catalog/provodnoy_pylesos_dyson_cinetic_big_ball_cy23_iron_satin_red/" TargetMode="External"/><Relationship Id="rId1412" Type="http://schemas.openxmlformats.org/officeDocument/2006/relationships/hyperlink" Target="https://mgg.stores-apple.com/catalog/provodnoy_pylesos_dyson_big_ball_multifloor_2_grey_orange_vilka_eu/" TargetMode="External"/><Relationship Id="rId1413" Type="http://schemas.openxmlformats.org/officeDocument/2006/relationships/hyperlink" Target="https://mgg.stores-apple.com/catalog/provodnoy_pylesos_dyson_big_ball_multifloor_2_grey_orange/" TargetMode="External"/><Relationship Id="rId1414" Type="http://schemas.openxmlformats.org/officeDocument/2006/relationships/hyperlink" Target="https://mgg.stores-apple.com/catalog/provodnoy_pylesos_dyson_big_ball_parquet_2_iron_purple_vilka_eu/" TargetMode="External"/><Relationship Id="rId1415" Type="http://schemas.openxmlformats.org/officeDocument/2006/relationships/hyperlink" Target="https://mgg.stores-apple.com/catalog/dyson_v12s_slim_absolute_detected_submarine_yellow_nicke_l/" TargetMode="External"/><Relationship Id="rId1416" Type="http://schemas.openxmlformats.org/officeDocument/2006/relationships/hyperlink" Target="https://mgg.stores-apple.com/catalog/vertikalnyy_pylesos_dyson_v12_sv46_detect_slim_absolute_yellow_nickel/" TargetMode="External"/><Relationship Id="rId1417" Type="http://schemas.openxmlformats.org/officeDocument/2006/relationships/hyperlink" Target="https://mgg.stores-apple.com/catalog/vertikalnyy_pylesos_dyson_sv50_fc_pencilvac_vacuum_cleaner_black/" TargetMode="External"/><Relationship Id="rId1418" Type="http://schemas.openxmlformats.org/officeDocument/2006/relationships/hyperlink" Target="https://mgg.stores-apple.com/catalog/vertikalnyy_pylesos_dyson_sv50_pencilvac_fluffy_black_vilka_eu/" TargetMode="External"/><Relationship Id="rId1419" Type="http://schemas.openxmlformats.org/officeDocument/2006/relationships/hyperlink" Target="https://mgg.stores-apple.com/catalog/provodnoy_pylesos_dyson_big_ball_absolute_2_cy28_satin_blue_vilka_eu/" TargetMode="External"/><Relationship Id="rId1410" Type="http://schemas.openxmlformats.org/officeDocument/2006/relationships/hyperlink" Target="https://mgg.stores-apple.com/catalog/dyson_g1_wash_blue_black_vilka_eu/" TargetMode="External"/><Relationship Id="rId1400" Type="http://schemas.openxmlformats.org/officeDocument/2006/relationships/hyperlink" Target="https://mgg.stores-apple.com/catalog/magic-trackpad-mk2d3/" TargetMode="External"/><Relationship Id="rId1401" Type="http://schemas.openxmlformats.org/officeDocument/2006/relationships/hyperlink" Target="https://mgg.stores-apple.com/catalog/magic-trackpad-mmmp3/" TargetMode="External"/><Relationship Id="rId1402" Type="http://schemas.openxmlformats.org/officeDocument/2006/relationships/hyperlink" Target="https://mgg.stores-apple.com/catalog/magic-keyboard-with-touch-id-mk293/" TargetMode="External"/><Relationship Id="rId1403" Type="http://schemas.openxmlformats.org/officeDocument/2006/relationships/hyperlink" Target="https://mgg.stores-apple.com/catalog/magic-keyboard-with-touch-id-mk2c3/" TargetMode="External"/><Relationship Id="rId1404" Type="http://schemas.openxmlformats.org/officeDocument/2006/relationships/hyperlink" Target="https://mgg.stores-apple.com/catalog/magic-keyboard-with-touch-id-mmmr3/" TargetMode="External"/><Relationship Id="rId1405" Type="http://schemas.openxmlformats.org/officeDocument/2006/relationships/hyperlink" Target="https://mgg.stores-apple.com/catalog/magic-keyboard-mk2a3/" TargetMode="External"/><Relationship Id="rId1406" Type="http://schemas.openxmlformats.org/officeDocument/2006/relationships/hyperlink" Target="https://mgg.stores-apple.com/catalog/magic-keyboard-mq052/" TargetMode="External"/><Relationship Id="rId1407" Type="http://schemas.openxmlformats.org/officeDocument/2006/relationships/hyperlink" Target="https://mgg.stores-apple.com/catalog/vertikalnyy_pylesos_dyson_v10_cyclon_absolute_nickel_cooper/" TargetMode="External"/><Relationship Id="rId1408" Type="http://schemas.openxmlformats.org/officeDocument/2006/relationships/hyperlink" Target="https://mgg.stores-apple.com/catalog/dyson_g1_wash_blue_black/" TargetMode="External"/><Relationship Id="rId1409" Type="http://schemas.openxmlformats.org/officeDocument/2006/relationships/hyperlink" Target="https://mgg.stores-apple.com/catalog/vertikalnyy_pylesos_dyson_v10_total_clean_vacuum_black_nickel/" TargetMode="External"/><Relationship Id="rId1433" Type="http://schemas.openxmlformats.org/officeDocument/2006/relationships/hyperlink" Target="https://mgg.stores-apple.com/catalog/vertikalnyy_pylesos_dyson_gen5_sv23_detect_absolut_cooper_blue_vilka_eu/" TargetMode="External"/><Relationship Id="rId1434" Type="http://schemas.openxmlformats.org/officeDocument/2006/relationships/hyperlink" Target="https://mgg.stores-apple.com/catalog/vertikalnyy_pylesos_dyson_gen5_sv23_detect_absolute_vacuum_purple_vilka_eu/" TargetMode="External"/><Relationship Id="rId1435" Type="http://schemas.openxmlformats.org/officeDocument/2006/relationships/hyperlink" Target="https://mgg.stores-apple.com/catalog/vertikalnyy_pylesos_dyson_gen5_sv23_detect_absolut_cooper_blue/" TargetMode="External"/><Relationship Id="rId1436" Type="http://schemas.openxmlformats.org/officeDocument/2006/relationships/hyperlink" Target="https://mgg.stores-apple.com/catalog/vertikalnyy_pylesos_dyson_sv50_fc_pencilvac_vacuum_cleaner_black_vilka_eu/" TargetMode="External"/><Relationship Id="rId1437" Type="http://schemas.openxmlformats.org/officeDocument/2006/relationships/hyperlink" Target="https://mgg.stores-apple.com/catalog/dyson-gen5-vs23-decert-absolute-vacuum-purple/" TargetMode="External"/><Relationship Id="rId1438" Type="http://schemas.openxmlformats.org/officeDocument/2006/relationships/hyperlink" Target="https://mgg.stores-apple.com/catalog/dyson_v16_ds60_sv53_a_piston_animal_submarine_wash_cooper_black_vilka_eu_bez_podstavki/" TargetMode="External"/><Relationship Id="rId1439" Type="http://schemas.openxmlformats.org/officeDocument/2006/relationships/hyperlink" Target="https://mgg.stores-apple.com/catalog/dyson_v16_ds60_sv53_a_piston_animal_submarine_wash_cooper_black_vilka_eu_s_podstavkoy/" TargetMode="External"/><Relationship Id="rId609" Type="http://schemas.openxmlformats.org/officeDocument/2006/relationships/hyperlink" Target="https://mgg.stores-apple.com/catalog/smartfon-samsung-galaxy-z-fold7-12-512-gb-sinij/" TargetMode="External"/><Relationship Id="rId608" Type="http://schemas.openxmlformats.org/officeDocument/2006/relationships/hyperlink" Target="https://mgg.stores-apple.com/catalog/smartfon-samsung-galaxy-z-fold7-12-512-gb-seryj/" TargetMode="External"/><Relationship Id="rId607" Type="http://schemas.openxmlformats.org/officeDocument/2006/relationships/hyperlink" Target="https://mgg.stores-apple.com/catalog/smartfon_samsung_galaxy_z_fold_8_12_256_gb_bezhevyy/" TargetMode="External"/><Relationship Id="rId602" Type="http://schemas.openxmlformats.org/officeDocument/2006/relationships/hyperlink" Target="https://mgg.stores-apple.com/catalog/smartfon-samsung-galaxy-z-fold7-12-256-gb-sinij/" TargetMode="External"/><Relationship Id="rId601" Type="http://schemas.openxmlformats.org/officeDocument/2006/relationships/hyperlink" Target="https://mgg.stores-apple.com/catalog/smartfon-samsung-galaxy-z-fold7-12-256-gb-seryj/" TargetMode="External"/><Relationship Id="rId600" Type="http://schemas.openxmlformats.org/officeDocument/2006/relationships/hyperlink" Target="https://mgg.stores-apple.com/catalog/smartfon_samsung_galaxy_z_flip_8_12_512_gb_rozovyy/" TargetMode="External"/><Relationship Id="rId606" Type="http://schemas.openxmlformats.org/officeDocument/2006/relationships/hyperlink" Target="https://mgg.stores-apple.com/catalog/smartfon_samsung_galaxy_z_fold_8_12_256_gb_seryy/" TargetMode="External"/><Relationship Id="rId605" Type="http://schemas.openxmlformats.org/officeDocument/2006/relationships/hyperlink" Target="https://mgg.stores-apple.com/catalog/smartfon_samsung_galaxy_z_fold_8_12_256_gb_fioletovyy/" TargetMode="External"/><Relationship Id="rId604" Type="http://schemas.openxmlformats.org/officeDocument/2006/relationships/hyperlink" Target="https://mgg.stores-apple.com/catalog/smartfon-samsung-galaxy-z-fold7-12-256-gb-miatnyj/" TargetMode="External"/><Relationship Id="rId603" Type="http://schemas.openxmlformats.org/officeDocument/2006/relationships/hyperlink" Target="https://mgg.stores-apple.com/catalog/smartfon-samsung-galaxy-z-fold7-12-256-gb-cernyj/" TargetMode="External"/><Relationship Id="rId1430" Type="http://schemas.openxmlformats.org/officeDocument/2006/relationships/hyperlink" Target="https://mgg.stores-apple.com/catalog/dyson_v15s_sv_47_detected_submarine_yellow_nickel_vilka_eu/" TargetMode="External"/><Relationship Id="rId1431" Type="http://schemas.openxmlformats.org/officeDocument/2006/relationships/hyperlink" Target="https://mgg.stores-apple.com/catalog/dyson_v16_ds60_sv53_a_piston_animal_detail_cleaning_kit_black_gold_vilka_eu/" TargetMode="External"/><Relationship Id="rId1432" Type="http://schemas.openxmlformats.org/officeDocument/2006/relationships/hyperlink" Target="https://mgg.stores-apple.com/catalog/dyson_v16_ds60_sv53_a_piston_animal_cooper_black_vilka_eu/" TargetMode="External"/><Relationship Id="rId1422" Type="http://schemas.openxmlformats.org/officeDocument/2006/relationships/hyperlink" Target="https://mgg.stores-apple.com/catalog/provodnoy_pylesos_dyson_ball_animal_multi_floor_cooper_silver/" TargetMode="External"/><Relationship Id="rId1423" Type="http://schemas.openxmlformats.org/officeDocument/2006/relationships/hyperlink" Target="https://mgg.stores-apple.com/catalog/vertikalnyy_pylesos_dyson_v15_sv47_detect_absolute_yellow_nickel_full_complete/" TargetMode="External"/><Relationship Id="rId1424" Type="http://schemas.openxmlformats.org/officeDocument/2006/relationships/hyperlink" Target="https://mgg.stores-apple.com/catalog/vertikalnyy_pylesos_dyson_v15_sv47_detect_absolute_yellow_nickel/" TargetMode="External"/><Relationship Id="rId1425" Type="http://schemas.openxmlformats.org/officeDocument/2006/relationships/hyperlink" Target="https://mgg.stores-apple.com/catalog/vertikalnyy_pylesos_dyson_v15_sv47_detect_absolute_gold_vilka_eu/" TargetMode="External"/><Relationship Id="rId1426" Type="http://schemas.openxmlformats.org/officeDocument/2006/relationships/hyperlink" Target="https://mgg.stores-apple.com/catalog/vertikalnyy_pylesos_dyson_v15_sv47_detect_absolute_yellow_nickel_vilka_eu/" TargetMode="External"/><Relationship Id="rId1427" Type="http://schemas.openxmlformats.org/officeDocument/2006/relationships/hyperlink" Target="https://mgg.stores-apple.com/catalog/vertikalnyy_pylesos_dyson_v15_sv47_detect_total_clean_black_nickel_full_complete/" TargetMode="External"/><Relationship Id="rId1428" Type="http://schemas.openxmlformats.org/officeDocument/2006/relationships/hyperlink" Target="https://mgg.stores-apple.com/catalog/dyson_v15s_sv_47_detected_submarine_yellow_nickel/" TargetMode="External"/><Relationship Id="rId1429" Type="http://schemas.openxmlformats.org/officeDocument/2006/relationships/hyperlink" Target="https://mgg.stores-apple.com/catalog/dyson_v16_ds60_sv53_a_piston_animal_cooper_black/" TargetMode="External"/><Relationship Id="rId1420" Type="http://schemas.openxmlformats.org/officeDocument/2006/relationships/hyperlink" Target="https://mgg.stores-apple.com/catalog/provodnoy_pylesos_dyson_big_ball_absolute_2_cy26_nickel_silver_vilka_eu/" TargetMode="External"/><Relationship Id="rId1421" Type="http://schemas.openxmlformats.org/officeDocument/2006/relationships/hyperlink" Target="https://mgg.stores-apple.com/catalog/vertikalnyy_pylesos_dyson_v12_sv46_detect_slim_absolute_yellow_nickel_vilka_eu/" TargetMode="External"/><Relationship Id="rId1059" Type="http://schemas.openxmlformats.org/officeDocument/2006/relationships/hyperlink" Target="https://mgg.stores-apple.com/catalog/planshet_apple_ipad_air_2026_m4_11_wi_fi_cellular_512_gb_seryy_kosmos/" TargetMode="External"/><Relationship Id="rId228" Type="http://schemas.openxmlformats.org/officeDocument/2006/relationships/hyperlink" Target="https://mgg.stores-apple.com/catalog/smartfon-apple-iphone-16-pro-max-256-gb-naturalnyj-titan-obmen/" TargetMode="External"/><Relationship Id="rId227" Type="http://schemas.openxmlformats.org/officeDocument/2006/relationships/hyperlink" Target="https://mgg.stores-apple.com/catalog/smartfon-apple-iphone-16-pro-max-256-gb-pustynnyj-titan-obmen/" TargetMode="External"/><Relationship Id="rId226" Type="http://schemas.openxmlformats.org/officeDocument/2006/relationships/hyperlink" Target="https://mgg.stores-apple.com/catalog/smartfon-apple-iphone-16-pro-max-256-gb-chernyj-titan-esim-obmenka/" TargetMode="External"/><Relationship Id="rId225" Type="http://schemas.openxmlformats.org/officeDocument/2006/relationships/hyperlink" Target="https://mgg.stores-apple.com/catalog/smartfon-apple-iphone-16-pro-max-256-gb-naturalnyj-titan-esim-obmenka/" TargetMode="External"/><Relationship Id="rId229" Type="http://schemas.openxmlformats.org/officeDocument/2006/relationships/hyperlink" Target="https://mgg.stores-apple.com/catalog/smartfon-apple-iphone-16-pro-max-256-gb-belyj-titan-obmen/" TargetMode="External"/><Relationship Id="rId1050" Type="http://schemas.openxmlformats.org/officeDocument/2006/relationships/hyperlink" Target="https://mgg.stores-apple.com/catalog/planshet_apple_ipad_air_2026_m4_13_wi_fi_cellular_256_gb_siyayushchaya_zvezda/" TargetMode="External"/><Relationship Id="rId220" Type="http://schemas.openxmlformats.org/officeDocument/2006/relationships/hyperlink" Target="https://mgg.stores-apple.com/catalog/smartfon-apple-iphone-17-pro-max-2048-gb-oranzevyi/" TargetMode="External"/><Relationship Id="rId1051" Type="http://schemas.openxmlformats.org/officeDocument/2006/relationships/hyperlink" Target="https://mgg.stores-apple.com/catalog/planshet_apple_ipad_air_2026_m4_11_wi_fi_512_gb_goluboy/" TargetMode="External"/><Relationship Id="rId1052" Type="http://schemas.openxmlformats.org/officeDocument/2006/relationships/hyperlink" Target="https://mgg.stores-apple.com/catalog/planshet_apple_ipad_air_2026_m4_11_wi_fi_512_gb_siyayushchaya_zvezda/" TargetMode="External"/><Relationship Id="rId1053" Type="http://schemas.openxmlformats.org/officeDocument/2006/relationships/hyperlink" Target="https://mgg.stores-apple.com/catalog/planshet_apple_ipad_air_2026_m4_11_wi_fi_512_gb_seryy_kosmos/" TargetMode="External"/><Relationship Id="rId1054" Type="http://schemas.openxmlformats.org/officeDocument/2006/relationships/hyperlink" Target="https://mgg.stores-apple.com/catalog/planshet-apple-ipad-air-2025-m3-13-wi-fi-1024-gb-fioletovyj/" TargetMode="External"/><Relationship Id="rId224" Type="http://schemas.openxmlformats.org/officeDocument/2006/relationships/hyperlink" Target="https://mgg.stores-apple.com/catalog/smartfon-apple-iphone-16-pro-max-256-gb-belyj-titan-esim-obmenka/" TargetMode="External"/><Relationship Id="rId1055" Type="http://schemas.openxmlformats.org/officeDocument/2006/relationships/hyperlink" Target="https://mgg.stores-apple.com/catalog/planshet-apple-ipad-air-2025-m3-13-wi-fi-1024-gb-goluboy/" TargetMode="External"/><Relationship Id="rId223" Type="http://schemas.openxmlformats.org/officeDocument/2006/relationships/hyperlink" Target="https://mgg.stores-apple.com/catalog/smartfon-apple-iphone-16-pro-max-256-gb-pustynnyj-titan-esim-obmenka/" TargetMode="External"/><Relationship Id="rId1056" Type="http://schemas.openxmlformats.org/officeDocument/2006/relationships/hyperlink" Target="https://mgg.stores-apple.com/catalog/planshet-apple-ipad-air-2025-m3-13-wi-fi-1024-gb-siyayushchaya-zvezda/" TargetMode="External"/><Relationship Id="rId222" Type="http://schemas.openxmlformats.org/officeDocument/2006/relationships/hyperlink" Target="https://mgg.stores-apple.com/catalog/smartfon-apple-iphone-16-pro-max-256-gb-pustynnyj-titan/" TargetMode="External"/><Relationship Id="rId1057" Type="http://schemas.openxmlformats.org/officeDocument/2006/relationships/hyperlink" Target="https://mgg.stores-apple.com/catalog/planshet-apple-ipad-air-2025-m3-13-wi-fi-1024-gb-seryy-kosmos/" TargetMode="External"/><Relationship Id="rId221" Type="http://schemas.openxmlformats.org/officeDocument/2006/relationships/hyperlink" Target="https://mgg.stores-apple.com/catalog/smartfon-apple-iphone-17-pro-max-2048-gb-serebristyj/" TargetMode="External"/><Relationship Id="rId1058" Type="http://schemas.openxmlformats.org/officeDocument/2006/relationships/hyperlink" Target="https://mgg.stores-apple.com/catalog/planshet_apple_ipad_air_2026_m4_11_wi_fi_cellular_512_gb_goluboy/" TargetMode="External"/><Relationship Id="rId1048" Type="http://schemas.openxmlformats.org/officeDocument/2006/relationships/hyperlink" Target="https://mgg.stores-apple.com/catalog/planshet-apple-ipad-air-2025-m3-13-wi-fi-512-gb-goluboj/" TargetMode="External"/><Relationship Id="rId1049" Type="http://schemas.openxmlformats.org/officeDocument/2006/relationships/hyperlink" Target="https://mgg.stores-apple.com/catalog/planshet-apple-ipad-air-2025-m3-13-wi-fi-512-gb-seryj-kosmos/" TargetMode="External"/><Relationship Id="rId217" Type="http://schemas.openxmlformats.org/officeDocument/2006/relationships/hyperlink" Target="https://mgg.stores-apple.com/catalog/smartfon_apple_iphone_17_pro_max_2048_gb_serebristyy_/" TargetMode="External"/><Relationship Id="rId216" Type="http://schemas.openxmlformats.org/officeDocument/2006/relationships/hyperlink" Target="https://mgg.stores-apple.com/catalog/smartfon_apple_iphone_17_pro_max_2048_gb_siniy_/" TargetMode="External"/><Relationship Id="rId215" Type="http://schemas.openxmlformats.org/officeDocument/2006/relationships/hyperlink" Target="https://mgg.stores-apple.com/catalog/smartfon_apple_iphone_17_pro_max_2048_gb_oranzhevyy_/" TargetMode="External"/><Relationship Id="rId699" Type="http://schemas.openxmlformats.org/officeDocument/2006/relationships/hyperlink" Target="https://mgg.stores-apple.com/catalog/smartfon-google-pixel-10-pro-xl-16-256-gb-rozovyi/" TargetMode="External"/><Relationship Id="rId214" Type="http://schemas.openxmlformats.org/officeDocument/2006/relationships/hyperlink" Target="https://mgg.stores-apple.com/catalog/smartfon-apple-iphone-17-pro-max-2048-gb-serebristyj-esim/" TargetMode="External"/><Relationship Id="rId698" Type="http://schemas.openxmlformats.org/officeDocument/2006/relationships/hyperlink" Target="https://mgg.stores-apple.com/catalog/smartfon-google-pixel-10-pro-fold-16-1024-gb-zelenyi/" TargetMode="External"/><Relationship Id="rId219" Type="http://schemas.openxmlformats.org/officeDocument/2006/relationships/hyperlink" Target="https://mgg.stores-apple.com/catalog/smartfon-apple-iphone-17-pro-max-2048-gb-sinij/" TargetMode="External"/><Relationship Id="rId218" Type="http://schemas.openxmlformats.org/officeDocument/2006/relationships/hyperlink" Target="https://mgg.stores-apple.com/catalog/smartfon-apple-iphone-17-pro-max-1024-gb-serebristyj/" TargetMode="External"/><Relationship Id="rId693" Type="http://schemas.openxmlformats.org/officeDocument/2006/relationships/hyperlink" Target="https://mgg.stores-apple.com/catalog/smartfon-google-pixel-10-pro-fold-16-256-gb-fioletovyi/" TargetMode="External"/><Relationship Id="rId1040" Type="http://schemas.openxmlformats.org/officeDocument/2006/relationships/hyperlink" Target="https://mgg.stores-apple.com/catalog/planshet-apple-ipad-air-2025-m3-11-wi-fi-cellular-512-gb-fioletovy/" TargetMode="External"/><Relationship Id="rId692" Type="http://schemas.openxmlformats.org/officeDocument/2006/relationships/hyperlink" Target="https://mgg.stores-apple.com/catalog/smartfon-google-pixel-10-pro-16-1024-gb-rozovyi/" TargetMode="External"/><Relationship Id="rId1041" Type="http://schemas.openxmlformats.org/officeDocument/2006/relationships/hyperlink" Target="https://mgg.stores-apple.com/catalog/planshet_apple_ipad_air_2026_m4_11_wi_fi_cellular_256_gb_siyayushchaya_zvezda/" TargetMode="External"/><Relationship Id="rId691" Type="http://schemas.openxmlformats.org/officeDocument/2006/relationships/hyperlink" Target="https://mgg.stores-apple.com/catalog/smartfon-google-pixel-10-pro-16-1024-gb-fioletovyi/" TargetMode="External"/><Relationship Id="rId1042" Type="http://schemas.openxmlformats.org/officeDocument/2006/relationships/hyperlink" Target="https://mgg.stores-apple.com/catalog/planshet_apple_ipad_air_2026_m4_13_wi_fi_512_gb_siyayushchaya_zvezda/" TargetMode="External"/><Relationship Id="rId690" Type="http://schemas.openxmlformats.org/officeDocument/2006/relationships/hyperlink" Target="https://mgg.stores-apple.com/catalog/smartfon-google-pixel-10-pro-16-1024-gb-chernyi/" TargetMode="External"/><Relationship Id="rId1043" Type="http://schemas.openxmlformats.org/officeDocument/2006/relationships/hyperlink" Target="https://mgg.stores-apple.com/catalog/planshet_apple_ipad_air_2026_m4_13_wi_fi_512_gb_goluboy/" TargetMode="External"/><Relationship Id="rId213" Type="http://schemas.openxmlformats.org/officeDocument/2006/relationships/hyperlink" Target="https://mgg.stores-apple.com/catalog/smartfon_apple_iphone_17_pro_max_1024_gb_serebristyy_/" TargetMode="External"/><Relationship Id="rId697" Type="http://schemas.openxmlformats.org/officeDocument/2006/relationships/hyperlink" Target="https://mgg.stores-apple.com/catalog/smartfon-google-pixel-10-pro-fold-16-1024-gb-fioletovyi/" TargetMode="External"/><Relationship Id="rId1044" Type="http://schemas.openxmlformats.org/officeDocument/2006/relationships/hyperlink" Target="https://mgg.stores-apple.com/catalog/planshet_apple_ipad_air_2026_m4_13_wi_fi_512_gb_seryy_kosmos/" TargetMode="External"/><Relationship Id="rId212" Type="http://schemas.openxmlformats.org/officeDocument/2006/relationships/hyperlink" Target="https://mgg.stores-apple.com/catalog/smartfon-apple-iphone-17-pro-max-1024-gb-oranzevyi/" TargetMode="External"/><Relationship Id="rId696" Type="http://schemas.openxmlformats.org/officeDocument/2006/relationships/hyperlink" Target="https://mgg.stores-apple.com/catalog/smartfon-google-pixel-10-pro-fold-16-512-gb-fioletovyi/" TargetMode="External"/><Relationship Id="rId1045" Type="http://schemas.openxmlformats.org/officeDocument/2006/relationships/hyperlink" Target="https://mgg.stores-apple.com/catalog/planshet_apple_ipad_air_2026_m4_13_wi_fi_512_gb_fioletovyy/" TargetMode="External"/><Relationship Id="rId211" Type="http://schemas.openxmlformats.org/officeDocument/2006/relationships/hyperlink" Target="https://mgg.stores-apple.com/catalog/smartfon_apple_iphone_17_pro_max_2048_gb_serebristyy_esim_/" TargetMode="External"/><Relationship Id="rId695" Type="http://schemas.openxmlformats.org/officeDocument/2006/relationships/hyperlink" Target="https://mgg.stores-apple.com/catalog/smartfon-google-pixel-10-pro-fold-16-512-gb-zelenyi/" TargetMode="External"/><Relationship Id="rId1046" Type="http://schemas.openxmlformats.org/officeDocument/2006/relationships/hyperlink" Target="https://mgg.stores-apple.com/catalog/planshet-apple-ipad-air-2025-m3-13-wi-fi-512-gb-fioletovyy/" TargetMode="External"/><Relationship Id="rId210" Type="http://schemas.openxmlformats.org/officeDocument/2006/relationships/hyperlink" Target="https://mgg.stores-apple.com/catalog/smartfon-apple-iphone-17-pro-max-1024-gb-sinij/" TargetMode="External"/><Relationship Id="rId694" Type="http://schemas.openxmlformats.org/officeDocument/2006/relationships/hyperlink" Target="https://mgg.stores-apple.com/catalog/smartfon-google-pixel-10-pro-fold-16-256-gb-zelenyi/" TargetMode="External"/><Relationship Id="rId1047" Type="http://schemas.openxmlformats.org/officeDocument/2006/relationships/hyperlink" Target="https://mgg.stores-apple.com/catalog/planshet-apple-ipad-air-2025-m3-13-wi-fi-512-gb-siyayushchaya-zvezda/" TargetMode="External"/><Relationship Id="rId249" Type="http://schemas.openxmlformats.org/officeDocument/2006/relationships/hyperlink" Target="https://mgg.stores-apple.com/catalog/smartfon-apple-iphone-16-pro-max-1024-gb-chernyj-titan/" TargetMode="External"/><Relationship Id="rId248" Type="http://schemas.openxmlformats.org/officeDocument/2006/relationships/hyperlink" Target="https://mgg.stores-apple.com/catalog/smartfon-apple-iphone-16-pro-max-1024-gb-naturalnyj-titan/" TargetMode="External"/><Relationship Id="rId247" Type="http://schemas.openxmlformats.org/officeDocument/2006/relationships/hyperlink" Target="https://mgg.stores-apple.com/catalog/smartfon-apple-iphone-16-pro-max-1024-gb-pustynnyj-titan/" TargetMode="External"/><Relationship Id="rId1070" Type="http://schemas.openxmlformats.org/officeDocument/2006/relationships/hyperlink" Target="https://mgg.stores-apple.com/catalog/planshet_apple_ipad_air_2026_m4_13_wi_fi_cellular_512_gb_goluboy/" TargetMode="External"/><Relationship Id="rId1071" Type="http://schemas.openxmlformats.org/officeDocument/2006/relationships/hyperlink" Target="https://mgg.stores-apple.com/catalog/planshet_apple_ipad_air_2026_m4_13_wi_fi_cellular_512_gb_siyayushchaya_zvezda/" TargetMode="External"/><Relationship Id="rId1072" Type="http://schemas.openxmlformats.org/officeDocument/2006/relationships/hyperlink" Target="https://mgg.stores-apple.com/catalog/planshet_apple_ipad_air_2026_m4_13_wi_fi_cellular_512_gb_fioletovyy/" TargetMode="External"/><Relationship Id="rId242" Type="http://schemas.openxmlformats.org/officeDocument/2006/relationships/hyperlink" Target="https://mgg.stores-apple.com/catalog/smartfon-apple-iphone-16-pro-max-512-gb-chernyj-titan/" TargetMode="External"/><Relationship Id="rId1073" Type="http://schemas.openxmlformats.org/officeDocument/2006/relationships/hyperlink" Target="https://mgg.stores-apple.com/catalog/planshet_apple_ipad_air_2026_m4_13_wi_fi_cellular_512_gb_seryy_kosmos/" TargetMode="External"/><Relationship Id="rId241" Type="http://schemas.openxmlformats.org/officeDocument/2006/relationships/hyperlink" Target="https://mgg.stores-apple.com/catalog/smartfon-apple-iphone-16-pro-max-256-gb-belyj-titan/" TargetMode="External"/><Relationship Id="rId1074" Type="http://schemas.openxmlformats.org/officeDocument/2006/relationships/hyperlink" Target="https://mgg.stores-apple.com/catalog/planshet-apple-ipad-air-2025-m3-11-wi-fi-cellular-1024-gb-seryj-kosmos/" TargetMode="External"/><Relationship Id="rId240" Type="http://schemas.openxmlformats.org/officeDocument/2006/relationships/hyperlink" Target="https://mgg.stores-apple.com/catalog/smartfon-apple-iphone-16-pro-max-256-gb-naturalnyj-titan/" TargetMode="External"/><Relationship Id="rId1075" Type="http://schemas.openxmlformats.org/officeDocument/2006/relationships/hyperlink" Target="https://mgg.stores-apple.com/catalog/planshet-apple-ipad-air-2025-m3-11-wi-fi-cellular-1024-gb-goluboj/" TargetMode="External"/><Relationship Id="rId1076" Type="http://schemas.openxmlformats.org/officeDocument/2006/relationships/hyperlink" Target="https://mgg.stores-apple.com/catalog/planshet-apple-ipad-air-2025-m3-11-wi-fi-cellular-1024-gb-siyajushhaja-zvezda/" TargetMode="External"/><Relationship Id="rId246" Type="http://schemas.openxmlformats.org/officeDocument/2006/relationships/hyperlink" Target="https://mgg.stores-apple.com/catalog/smartfon-apple-iphone-16-pro-max-1024-gb-belyj-titan/" TargetMode="External"/><Relationship Id="rId1077" Type="http://schemas.openxmlformats.org/officeDocument/2006/relationships/hyperlink" Target="https://mgg.stores-apple.com/catalog/planshet-apple-ipad-air-2025-m3-11-wi-fi-cellular-1024-gb-fiioletovyj/" TargetMode="External"/><Relationship Id="rId245" Type="http://schemas.openxmlformats.org/officeDocument/2006/relationships/hyperlink" Target="https://mgg.stores-apple.com/catalog/smartfon-apple-iphone-16-pro-max-512-gb-pustynnyj-titan/" TargetMode="External"/><Relationship Id="rId1078" Type="http://schemas.openxmlformats.org/officeDocument/2006/relationships/hyperlink" Target="https://mgg.stores-apple.com/catalog/planshet_apple_ipad_air_2026_m4_11_wi_fi_cellular_1024_gb_goluboy/" TargetMode="External"/><Relationship Id="rId244" Type="http://schemas.openxmlformats.org/officeDocument/2006/relationships/hyperlink" Target="https://mgg.stores-apple.com/catalog/smartfon-apple-iphone-16-pro-max-512-gb-naturalnyj-titan/" TargetMode="External"/><Relationship Id="rId1079" Type="http://schemas.openxmlformats.org/officeDocument/2006/relationships/hyperlink" Target="https://mgg.stores-apple.com/catalog/planshet_apple_ipad_air_2026_m4_11_wi_fi_cellular_1024_gb_seryy_kosmos/" TargetMode="External"/><Relationship Id="rId243" Type="http://schemas.openxmlformats.org/officeDocument/2006/relationships/hyperlink" Target="https://mgg.stores-apple.com/catalog/smartfon-apple-iphone-16-pro-max-512-gb-belyj-titan/" TargetMode="External"/><Relationship Id="rId239" Type="http://schemas.openxmlformats.org/officeDocument/2006/relationships/hyperlink" Target="https://mgg.stores-apple.com/catalog/smartfon-apple-iphone-16-pro-max-256-gb-chernyj-titan/" TargetMode="External"/><Relationship Id="rId238" Type="http://schemas.openxmlformats.org/officeDocument/2006/relationships/hyperlink" Target="https://mgg.stores-apple.com/catalog/smartfon-apple-iphone-16-pro-max-512-gb-chernyj-titan-obmen/" TargetMode="External"/><Relationship Id="rId237" Type="http://schemas.openxmlformats.org/officeDocument/2006/relationships/hyperlink" Target="https://mgg.stores-apple.com/catalog/smartfon-apple-iphone-16-pro-max-512-gb-naturalnyj-titan-obmen/" TargetMode="External"/><Relationship Id="rId236" Type="http://schemas.openxmlformats.org/officeDocument/2006/relationships/hyperlink" Target="https://mgg.stores-apple.com/catalog/smartfon-apple-iphone-16-pro-max-512-gb-belyj-titan-obmen/" TargetMode="External"/><Relationship Id="rId1060" Type="http://schemas.openxmlformats.org/officeDocument/2006/relationships/hyperlink" Target="https://mgg.stores-apple.com/catalog/planshet_apple_ipad_air_2026_m4_11_wi_fi_cellular_512_gb_siyayushchaya_zvezda/" TargetMode="External"/><Relationship Id="rId1061" Type="http://schemas.openxmlformats.org/officeDocument/2006/relationships/hyperlink" Target="https://mgg.stores-apple.com/catalog/planshet_apple_ipad_air_2026_m4_11_wi_fi_cellular_512_gb_fioletovyy/" TargetMode="External"/><Relationship Id="rId231" Type="http://schemas.openxmlformats.org/officeDocument/2006/relationships/hyperlink" Target="https://mgg.stores-apple.com/catalog/smartfon-apple-iphone-16-pro-max-512-gb-naturalnyj-titan-esim-obmenka/" TargetMode="External"/><Relationship Id="rId1062" Type="http://schemas.openxmlformats.org/officeDocument/2006/relationships/hyperlink" Target="https://mgg.stores-apple.com/catalog/planshet_apple_ipad_air_2026_m4_11_wi_fi_1024_gb_goluboy/" TargetMode="External"/><Relationship Id="rId230" Type="http://schemas.openxmlformats.org/officeDocument/2006/relationships/hyperlink" Target="https://mgg.stores-apple.com/catalog/smartfon-apple-iphone-16-pro-max-256-gb-chernyj-titan-obmen/" TargetMode="External"/><Relationship Id="rId1063" Type="http://schemas.openxmlformats.org/officeDocument/2006/relationships/hyperlink" Target="https://mgg.stores-apple.com/catalog/planshet_apple_ipad_air_2026_m4_11_wi_fi_1024_gb_seryy_kosmos/" TargetMode="External"/><Relationship Id="rId1064" Type="http://schemas.openxmlformats.org/officeDocument/2006/relationships/hyperlink" Target="https://mgg.stores-apple.com/catalog/planshet_apple_ipad_air_2026_m4_11_wi_fi_1024_gb_siyayushchaya_zvezda/" TargetMode="External"/><Relationship Id="rId1065" Type="http://schemas.openxmlformats.org/officeDocument/2006/relationships/hyperlink" Target="https://mgg.stores-apple.com/catalog/planshet_apple_ipad_air_2026_m4_11_wi_fi_1024_gb_fioletovyy/" TargetMode="External"/><Relationship Id="rId235" Type="http://schemas.openxmlformats.org/officeDocument/2006/relationships/hyperlink" Target="https://mgg.stores-apple.com/catalog/smartfon-apple-iphone-16-pro-max-512-gb-pustynnyj-titan-obmen/" TargetMode="External"/><Relationship Id="rId1066" Type="http://schemas.openxmlformats.org/officeDocument/2006/relationships/hyperlink" Target="https://mgg.stores-apple.com/catalog/planshet-apple-ipad-air-2025-m3-13-wi-fi-cellular-256-gb-goluboj/" TargetMode="External"/><Relationship Id="rId234" Type="http://schemas.openxmlformats.org/officeDocument/2006/relationships/hyperlink" Target="https://mgg.stores-apple.com/catalog/smartfon-apple-iphone-16-pro-max-512-gb-chernyj-titan-esim-obmenka/" TargetMode="External"/><Relationship Id="rId1067" Type="http://schemas.openxmlformats.org/officeDocument/2006/relationships/hyperlink" Target="https://mgg.stores-apple.com/catalog/planshet-apple-ipad-air-2025-m3-13-wi-fi-cellular-256-gb-seryj-kosmos/" TargetMode="External"/><Relationship Id="rId233" Type="http://schemas.openxmlformats.org/officeDocument/2006/relationships/hyperlink" Target="https://mgg.stores-apple.com/catalog/smartfon-apple-iphone-16-pro-max-512-gb-pustynnyj-titan-esim-obmenka/" TargetMode="External"/><Relationship Id="rId1068" Type="http://schemas.openxmlformats.org/officeDocument/2006/relationships/hyperlink" Target="https://mgg.stores-apple.com/catalog/planshet-apple-ipad-air-2025-m3-13-wi-fi-cellular-256-gb-siyayushhaya-zvezda/" TargetMode="External"/><Relationship Id="rId232" Type="http://schemas.openxmlformats.org/officeDocument/2006/relationships/hyperlink" Target="https://mgg.stores-apple.com/catalog/smartfon-apple-iphone-16-pro-max-512-gb-belyj-titan-esim-obmenka/" TargetMode="External"/><Relationship Id="rId1069" Type="http://schemas.openxmlformats.org/officeDocument/2006/relationships/hyperlink" Target="https://mgg.stores-apple.com/catalog/planshet-apple-ipad-air-2025-m3-13-wi-fi-cellular-256-gb-fioletovyj/" TargetMode="External"/><Relationship Id="rId1015" Type="http://schemas.openxmlformats.org/officeDocument/2006/relationships/hyperlink" Target="https://mgg.stores-apple.com/catalog/planshet_apple_ipad_air_2026_m4_13_wi_fi_128_gb_fioletovyy/" TargetMode="External"/><Relationship Id="rId1499" Type="http://schemas.openxmlformats.org/officeDocument/2006/relationships/hyperlink" Target="https://mgg.stores-apple.com/catalog/kolonka-yandeks-stanciya-midi-izumrudnyj/" TargetMode="External"/><Relationship Id="rId1016" Type="http://schemas.openxmlformats.org/officeDocument/2006/relationships/hyperlink" Target="https://mgg.stores-apple.com/catalog/planshet_apple_ipad_air_2026_m4_13_wi_fi_128_gb_goluboy/" TargetMode="External"/><Relationship Id="rId1017" Type="http://schemas.openxmlformats.org/officeDocument/2006/relationships/hyperlink" Target="https://mgg.stores-apple.com/catalog/planshet_apple_ipad_air_2026_m4_13_wi_fi_128_gb_siyayushchaya_zvezda/" TargetMode="External"/><Relationship Id="rId1018" Type="http://schemas.openxmlformats.org/officeDocument/2006/relationships/hyperlink" Target="https://mgg.stores-apple.com/catalog/planshet-apple-ipad-air-2025-m3-11-wi-fi-512-gb-goluboy/" TargetMode="External"/><Relationship Id="rId1019" Type="http://schemas.openxmlformats.org/officeDocument/2006/relationships/hyperlink" Target="https://mgg.stores-apple.com/catalog/planshet-apple-ipad-air-2025-m3-13-wi-fi-256-gb-seryy-kosmos/" TargetMode="External"/><Relationship Id="rId668" Type="http://schemas.openxmlformats.org/officeDocument/2006/relationships/hyperlink" Target="https://mgg.stores-apple.com/catalog/smartfon-google-pixel-10-12-128-gb-goluboi/" TargetMode="External"/><Relationship Id="rId667" Type="http://schemas.openxmlformats.org/officeDocument/2006/relationships/hyperlink" Target="https://mgg.stores-apple.com/catalog/smartfon_google_pixel_10_12_128_gb_chernyy/" TargetMode="External"/><Relationship Id="rId666" Type="http://schemas.openxmlformats.org/officeDocument/2006/relationships/hyperlink" Target="https://mgg.stores-apple.com/catalog/kollekcionnaya-figurka-pop-mart-labubu-big-into-energy/" TargetMode="External"/><Relationship Id="rId665" Type="http://schemas.openxmlformats.org/officeDocument/2006/relationships/hyperlink" Target="https://mgg.stores-apple.com/catalog/kollekcionnaya-figurka-pop-mart-labubu-exciting-macaron/" TargetMode="External"/><Relationship Id="rId669" Type="http://schemas.openxmlformats.org/officeDocument/2006/relationships/hyperlink" Target="https://mgg.stores-apple.com/catalog/smartfon-google-pixel-10-12-128-gb-zheltyi/" TargetMode="External"/><Relationship Id="rId1490" Type="http://schemas.openxmlformats.org/officeDocument/2006/relationships/hyperlink" Target="https://mgg.stores-apple.com/catalog/portativnaya-kolonka-jbl-charge-5-seraya/" TargetMode="External"/><Relationship Id="rId660" Type="http://schemas.openxmlformats.org/officeDocument/2006/relationships/hyperlink" Target="https://mgg.stores-apple.com/catalog/igrovaya-pristavka-nintendo-switch-oled-belaya/" TargetMode="External"/><Relationship Id="rId1491" Type="http://schemas.openxmlformats.org/officeDocument/2006/relationships/hyperlink" Target="https://mgg.stores-apple.com/catalog/portativnaya-kolonka-jbl-charge-5-sinyaya/" TargetMode="External"/><Relationship Id="rId1492" Type="http://schemas.openxmlformats.org/officeDocument/2006/relationships/hyperlink" Target="https://mgg.stores-apple.com/catalog/portativnaya-kolonka-jbl-charge-5-belaya/" TargetMode="External"/><Relationship Id="rId1493" Type="http://schemas.openxmlformats.org/officeDocument/2006/relationships/hyperlink" Target="https://mgg.stores-apple.com/catalog/portativnaya-kolonka-jbl-charge-5-haki/" TargetMode="External"/><Relationship Id="rId1010" Type="http://schemas.openxmlformats.org/officeDocument/2006/relationships/hyperlink" Target="https://mgg.stores-apple.com/catalog/planshet-apple-ipad-air-2025-m3-11-wi-fi-cellular-256-gb-goluboy/" TargetMode="External"/><Relationship Id="rId1494" Type="http://schemas.openxmlformats.org/officeDocument/2006/relationships/hyperlink" Target="https://mgg.stores-apple.com/catalog/portativnaya-kolonka-jbl-charge-5-chernaya/" TargetMode="External"/><Relationship Id="rId664" Type="http://schemas.openxmlformats.org/officeDocument/2006/relationships/hyperlink" Target="https://mgg.stores-apple.com/catalog/kollekcionnaya-figurka-pop-mart-labubu-have-a-seat/" TargetMode="External"/><Relationship Id="rId1011" Type="http://schemas.openxmlformats.org/officeDocument/2006/relationships/hyperlink" Target="https://mgg.stores-apple.com/catalog/planshet-apple-ipad-air-2025-m3-11-wi-fi-cellular-256-gb-siyayushchaya-zvezda/" TargetMode="External"/><Relationship Id="rId1495" Type="http://schemas.openxmlformats.org/officeDocument/2006/relationships/hyperlink" Target="https://mgg.stores-apple.com/catalog/besprovodnye-naushniki-samsung-galaxy-buds-3-pro-belyje/" TargetMode="External"/><Relationship Id="rId663" Type="http://schemas.openxmlformats.org/officeDocument/2006/relationships/hyperlink" Target="https://mgg.stores-apple.com/catalog/kollekcionnaya-figurka-pop-mart-labubu-coca-cola/" TargetMode="External"/><Relationship Id="rId1012" Type="http://schemas.openxmlformats.org/officeDocument/2006/relationships/hyperlink" Target="https://mgg.stores-apple.com/catalog/planshet-apple-ipad-air-2025-m3-11-wi-fi-cellular-256-gb-fiolotovyj/" TargetMode="External"/><Relationship Id="rId1496" Type="http://schemas.openxmlformats.org/officeDocument/2006/relationships/hyperlink" Target="https://mgg.stores-apple.com/catalog/besprovodnye-naushniki-samsung-galaxy-buds-3-pro-serebristyje/" TargetMode="External"/><Relationship Id="rId662" Type="http://schemas.openxmlformats.org/officeDocument/2006/relationships/hyperlink" Target="https://mgg.stores-apple.com/catalog/igrovaya-pristavka-valve-steam-deck-oled-1000-gb-chernaya/" TargetMode="External"/><Relationship Id="rId1013" Type="http://schemas.openxmlformats.org/officeDocument/2006/relationships/hyperlink" Target="https://mgg.stores-apple.com/catalog/planshet-apple-ipad-air-2025-m3-11-wi-fi-cellular-256-gb-seryy-kosmos/" TargetMode="External"/><Relationship Id="rId1497" Type="http://schemas.openxmlformats.org/officeDocument/2006/relationships/hyperlink" Target="https://mgg.stores-apple.com/catalog/besprovodnye-naushniki-marshall-matif-2-anc/" TargetMode="External"/><Relationship Id="rId661" Type="http://schemas.openxmlformats.org/officeDocument/2006/relationships/hyperlink" Target="https://mgg.stores-apple.com/catalog/igrovaya-pristavka-valve-steam-deck-oled-512gb-chernaya/" TargetMode="External"/><Relationship Id="rId1014" Type="http://schemas.openxmlformats.org/officeDocument/2006/relationships/hyperlink" Target="https://mgg.stores-apple.com/catalog/planshet_apple_ipad_air_2026_m4_13_wi_fi_128_gb_seryy_kosmos/" TargetMode="External"/><Relationship Id="rId1498" Type="http://schemas.openxmlformats.org/officeDocument/2006/relationships/hyperlink" Target="https://mgg.stores-apple.com/catalog/kolonka-yandeks-stanciya-midi-oranzhevyj/" TargetMode="External"/><Relationship Id="rId1004" Type="http://schemas.openxmlformats.org/officeDocument/2006/relationships/hyperlink" Target="https://mgg.stores-apple.com/catalog/planshet_apple_ipad_air_2026_m4_11_wi_fi_cellular_128_gb_seryy_kosmos/" TargetMode="External"/><Relationship Id="rId1488" Type="http://schemas.openxmlformats.org/officeDocument/2006/relationships/hyperlink" Target="https://mgg.stores-apple.com/catalog/portativnaya-kolonka-jbl-charge-5-biryuzovaya/" TargetMode="External"/><Relationship Id="rId1005" Type="http://schemas.openxmlformats.org/officeDocument/2006/relationships/hyperlink" Target="https://mgg.stores-apple.com/catalog/planshet_apple_ipad_air_2026_m4_11_wi_fi_cellular_128_gb_goluboy/" TargetMode="External"/><Relationship Id="rId1489" Type="http://schemas.openxmlformats.org/officeDocument/2006/relationships/hyperlink" Target="https://mgg.stores-apple.com/catalog/portativnaya-kolonka-jbl-charge-5-rozovaya/" TargetMode="External"/><Relationship Id="rId1006" Type="http://schemas.openxmlformats.org/officeDocument/2006/relationships/hyperlink" Target="https://mgg.stores-apple.com/catalog/planshet-apple-ipad-air-2025-m3-13-wi-fi-cellular-128-gb-goluboj/" TargetMode="External"/><Relationship Id="rId1007" Type="http://schemas.openxmlformats.org/officeDocument/2006/relationships/hyperlink" Target="https://mgg.stores-apple.com/catalog/planshet-apple-ipad-air-2025-m3-13-wi-fi-cellular-128-gb-seryj-kosmos/" TargetMode="External"/><Relationship Id="rId1008" Type="http://schemas.openxmlformats.org/officeDocument/2006/relationships/hyperlink" Target="https://mgg.stores-apple.com/catalog/planshet-apple-ipad-air-2025-m3-13-wi-fi-cellular-128-gb-fiioletovyj/" TargetMode="External"/><Relationship Id="rId1009" Type="http://schemas.openxmlformats.org/officeDocument/2006/relationships/hyperlink" Target="https://mgg.stores-apple.com/catalog/planshet-apple-ipad-air-2025-m3-13-wi-fi-cellular-128-gb-siyayushhaya-zvezda/" TargetMode="External"/><Relationship Id="rId657" Type="http://schemas.openxmlformats.org/officeDocument/2006/relationships/hyperlink" Target="https://mgg.stores-apple.com/catalog/igrovaya-pristavka-nintendo-switch-oled-siniy-krasnyy/" TargetMode="External"/><Relationship Id="rId656" Type="http://schemas.openxmlformats.org/officeDocument/2006/relationships/hyperlink" Target="https://mgg.stores-apple.com/catalog/igrovaya-pristavka-nintendo-switch-lite-32gb-zheltyy/" TargetMode="External"/><Relationship Id="rId655" Type="http://schemas.openxmlformats.org/officeDocument/2006/relationships/hyperlink" Target="https://mgg.stores-apple.com/catalog/igrovaya-pristavka-nintendo-switch-lite-32gb-seraya/" TargetMode="External"/><Relationship Id="rId654" Type="http://schemas.openxmlformats.org/officeDocument/2006/relationships/hyperlink" Target="https://mgg.stores-apple.com/catalog/igrovaya-pristavka-nintendo-switch-lite-32gb-siniy/" TargetMode="External"/><Relationship Id="rId659" Type="http://schemas.openxmlformats.org/officeDocument/2006/relationships/hyperlink" Target="https://mgg.stores-apple.com/catalog/igrovaya-pristavka-nintendo-switch-oled-the-legend-of-zelda-tears-of-the-kingdom-edition/" TargetMode="External"/><Relationship Id="rId658" Type="http://schemas.openxmlformats.org/officeDocument/2006/relationships/hyperlink" Target="https://mgg.stores-apple.com/catalog/igrovaya-pristavka-nintendo-switch-oled-mario-red/" TargetMode="External"/><Relationship Id="rId1480" Type="http://schemas.openxmlformats.org/officeDocument/2006/relationships/hyperlink" Target="https://mgg.stores-apple.com/catalog/kolonka-yandeks-stanciya-mini-bez-chasov-cinij-sapfir/" TargetMode="External"/><Relationship Id="rId1481" Type="http://schemas.openxmlformats.org/officeDocument/2006/relationships/hyperlink" Target="https://mgg.stores-apple.com/catalog/kolonka-yandeks-stanciya-mini-bez-chasov-chernyj-oniks/" TargetMode="External"/><Relationship Id="rId1482" Type="http://schemas.openxmlformats.org/officeDocument/2006/relationships/hyperlink" Target="https://mgg.stores-apple.com/catalog/kolonka-yandeks-stanciya-mini-cinij-sapfir/" TargetMode="External"/><Relationship Id="rId1483" Type="http://schemas.openxmlformats.org/officeDocument/2006/relationships/hyperlink" Target="https://mgg.stores-apple.com/catalog/kolonka-yandeks-stanciya-mini-krasnyj-granat/" TargetMode="External"/><Relationship Id="rId653" Type="http://schemas.openxmlformats.org/officeDocument/2006/relationships/hyperlink" Target="https://mgg.stores-apple.com/catalog/igrovaya-pristavka-nintendo-switch-lite-32gb-biryuzovyy/" TargetMode="External"/><Relationship Id="rId1000" Type="http://schemas.openxmlformats.org/officeDocument/2006/relationships/hyperlink" Target="https://mgg.stores-apple.com/catalog/planshet-apple-ipad-air-2025-m3-11-wi-fi-cellular-128-gb-goluboj/" TargetMode="External"/><Relationship Id="rId1484" Type="http://schemas.openxmlformats.org/officeDocument/2006/relationships/hyperlink" Target="https://mgg.stores-apple.com/catalog/kolonka-yandeks-stanciya-mini-chernyj-oniks/" TargetMode="External"/><Relationship Id="rId652" Type="http://schemas.openxmlformats.org/officeDocument/2006/relationships/hyperlink" Target="https://mgg.stores-apple.com/catalog/igrovaya-pristavka-nintendo-switch-lite-32gb-korallovo-rozovyy/" TargetMode="External"/><Relationship Id="rId1001" Type="http://schemas.openxmlformats.org/officeDocument/2006/relationships/hyperlink" Target="https://mgg.stores-apple.com/catalog/planshet-apple-ipad-air-2025-m3-11-wi-fi-cellular-128-gb-seryj-kosmos/" TargetMode="External"/><Relationship Id="rId1485" Type="http://schemas.openxmlformats.org/officeDocument/2006/relationships/hyperlink" Target="https://mgg.stores-apple.com/catalog/kolonka-yandeks-stanciya-mini-ceryj-opal/" TargetMode="External"/><Relationship Id="rId651" Type="http://schemas.openxmlformats.org/officeDocument/2006/relationships/hyperlink" Target="https://mgg.stores-apple.com/catalog/igrovaya-pristavka-sony-playstation-5-pro/" TargetMode="External"/><Relationship Id="rId1002" Type="http://schemas.openxmlformats.org/officeDocument/2006/relationships/hyperlink" Target="https://mgg.stores-apple.com/catalog/planshet-apple-ipad-air-2025-m3-13-wi-fi-128-gb-goluboj/" TargetMode="External"/><Relationship Id="rId1486" Type="http://schemas.openxmlformats.org/officeDocument/2006/relationships/hyperlink" Target="https://mgg.stores-apple.com/catalog/portativnaya-kolonka-jbl-charge-5-krasnaya/" TargetMode="External"/><Relationship Id="rId650" Type="http://schemas.openxmlformats.org/officeDocument/2006/relationships/hyperlink" Target="https://mgg.stores-apple.com/catalog/igrovaya-pristavka-sony-playstation-5-slim/" TargetMode="External"/><Relationship Id="rId1003" Type="http://schemas.openxmlformats.org/officeDocument/2006/relationships/hyperlink" Target="https://mgg.stores-apple.com/catalog/planshet-apple-ipad-air-2025-m3-13-wi-fi-256-gb-fioletovyj/" TargetMode="External"/><Relationship Id="rId1487" Type="http://schemas.openxmlformats.org/officeDocument/2006/relationships/hyperlink" Target="https://mgg.stores-apple.com/catalog/portativnaya-kolonka-jbl-charge-5-zelenaya/" TargetMode="External"/><Relationship Id="rId1037" Type="http://schemas.openxmlformats.org/officeDocument/2006/relationships/hyperlink" Target="https://mgg.stores-apple.com/catalog/planshet-apple-ipad-air-2025-m3-11-wi-fi-cellular-512-gb-goluboj/" TargetMode="External"/><Relationship Id="rId1038" Type="http://schemas.openxmlformats.org/officeDocument/2006/relationships/hyperlink" Target="https://mgg.stores-apple.com/catalog/planshet-apple-ipad-air-2025-m3-11-wi-fi-cellular-512-gb-seryj-kosmos/" TargetMode="External"/><Relationship Id="rId1039" Type="http://schemas.openxmlformats.org/officeDocument/2006/relationships/hyperlink" Target="https://mgg.stores-apple.com/catalog/planshet_apple_ipad_air_2026_m4_11_wi_fi_cellular_256_gb_seryy_kosmos/" TargetMode="External"/><Relationship Id="rId206" Type="http://schemas.openxmlformats.org/officeDocument/2006/relationships/hyperlink" Target="https://mgg.stores-apple.com/catalog/smartfon_apple_iphone_17_pro_max_1024_gb_siniy_/" TargetMode="External"/><Relationship Id="rId205" Type="http://schemas.openxmlformats.org/officeDocument/2006/relationships/hyperlink" Target="https://mgg.stores-apple.com/catalog/smartfon_apple_iphone_17_pro_max_2048_gb_siniy_esim_/" TargetMode="External"/><Relationship Id="rId689" Type="http://schemas.openxmlformats.org/officeDocument/2006/relationships/hyperlink" Target="https://mgg.stores-apple.com/catalog/smartfon-google-pixel-10-pro-16-1024-gb-zelenyi/" TargetMode="External"/><Relationship Id="rId204" Type="http://schemas.openxmlformats.org/officeDocument/2006/relationships/hyperlink" Target="https://mgg.stores-apple.com/catalog/smartfon_apple_iphone_17_pro_max_2048_gb_oranzhevyy_esim_/" TargetMode="External"/><Relationship Id="rId688" Type="http://schemas.openxmlformats.org/officeDocument/2006/relationships/hyperlink" Target="https://mgg.stores-apple.com/catalog/smartfon-google-pixel-10-pro-16-512-gb-chernyi/" TargetMode="External"/><Relationship Id="rId203" Type="http://schemas.openxmlformats.org/officeDocument/2006/relationships/hyperlink" Target="https://mgg.stores-apple.com/catalog/smartfon-apple-iphone-17-pro-max-1024-gb-serebristyj-esim/" TargetMode="External"/><Relationship Id="rId687" Type="http://schemas.openxmlformats.org/officeDocument/2006/relationships/hyperlink" Target="https://mgg.stores-apple.com/catalog/smartfon-google-pixel-10-pro-16-512-gb-rozovyi/" TargetMode="External"/><Relationship Id="rId209" Type="http://schemas.openxmlformats.org/officeDocument/2006/relationships/hyperlink" Target="https://mgg.stores-apple.com/catalog/smartfon-apple-iphone-17-pro-max-2048-gb-sinij-esim/" TargetMode="External"/><Relationship Id="rId208" Type="http://schemas.openxmlformats.org/officeDocument/2006/relationships/hyperlink" Target="https://mgg.stores-apple.com/catalog/smartfon_apple_iphone_17_pro_max_1024_gb_oranzhevyy_/" TargetMode="External"/><Relationship Id="rId207" Type="http://schemas.openxmlformats.org/officeDocument/2006/relationships/hyperlink" Target="https://mgg.stores-apple.com/catalog/smartfon-apple-iphone-17-pro-max-2048-gb-oranzevyi-esim/" TargetMode="External"/><Relationship Id="rId682" Type="http://schemas.openxmlformats.org/officeDocument/2006/relationships/hyperlink" Target="https://mgg.stores-apple.com/catalog/smartfon-google-pixel-10-pro-16-256-gb-chernyi/" TargetMode="External"/><Relationship Id="rId681" Type="http://schemas.openxmlformats.org/officeDocument/2006/relationships/hyperlink" Target="https://mgg.stores-apple.com/catalog/smartfon-google-pixel-10-pro-16-256-gb-zelenyi/" TargetMode="External"/><Relationship Id="rId1030" Type="http://schemas.openxmlformats.org/officeDocument/2006/relationships/hyperlink" Target="https://mgg.stores-apple.com/catalog/planshet-apple-ipad-air-2025-m3-11-wi-fi-1024-gb-siyajushhaja-zvjezda/" TargetMode="External"/><Relationship Id="rId680" Type="http://schemas.openxmlformats.org/officeDocument/2006/relationships/hyperlink" Target="https://mgg.stores-apple.com/catalog/smartfon-google-pixel-10-pro-16-128-gb-chernyi/" TargetMode="External"/><Relationship Id="rId1031" Type="http://schemas.openxmlformats.org/officeDocument/2006/relationships/hyperlink" Target="https://mgg.stores-apple.com/catalog/planshet-apple-ipad-air-2025-m3-11-wi-fi-1024-gb-seryj-kosmos/" TargetMode="External"/><Relationship Id="rId1032" Type="http://schemas.openxmlformats.org/officeDocument/2006/relationships/hyperlink" Target="https://mgg.stores-apple.com/catalog/planshet_apple_ipad_air_2026_m4_11_wi_fi_cellular_256_gb_goluboy/" TargetMode="External"/><Relationship Id="rId202" Type="http://schemas.openxmlformats.org/officeDocument/2006/relationships/hyperlink" Target="https://mgg.stores-apple.com/catalog/smartfon-apple-iphone-17-pro-max-1024-gb-oranzevyi-esim/" TargetMode="External"/><Relationship Id="rId686" Type="http://schemas.openxmlformats.org/officeDocument/2006/relationships/hyperlink" Target="https://mgg.stores-apple.com/catalog/smartfon-google-pixel-10-pro-16-512-gb-fioletovyi/" TargetMode="External"/><Relationship Id="rId1033" Type="http://schemas.openxmlformats.org/officeDocument/2006/relationships/hyperlink" Target="https://mgg.stores-apple.com/catalog/planshet_apple_ipad_air_2026_m4_11_wi_fi_cellular_256_gb_fioletovyy/" TargetMode="External"/><Relationship Id="rId201" Type="http://schemas.openxmlformats.org/officeDocument/2006/relationships/hyperlink" Target="https://mgg.stores-apple.com/catalog/smartfon_apple_iphone_17_pro_max_1024_gb_serebristyy_esim_/" TargetMode="External"/><Relationship Id="rId685" Type="http://schemas.openxmlformats.org/officeDocument/2006/relationships/hyperlink" Target="https://mgg.stores-apple.com/catalog/smartfon-google-pixel-10-pro-16-512-gb-zelenyi/" TargetMode="External"/><Relationship Id="rId1034" Type="http://schemas.openxmlformats.org/officeDocument/2006/relationships/hyperlink" Target="https://mgg.stores-apple.com/catalog/planshet_apple_ipad_air_2026_m4_13_wi_fi_cellular_256_gb_goluboy/" TargetMode="External"/><Relationship Id="rId200" Type="http://schemas.openxmlformats.org/officeDocument/2006/relationships/hyperlink" Target="https://mgg.stores-apple.com/catalog/smartfon_apple_iphone_17_pro_max_512_gb_serebristyy_/" TargetMode="External"/><Relationship Id="rId684" Type="http://schemas.openxmlformats.org/officeDocument/2006/relationships/hyperlink" Target="https://mgg.stores-apple.com/catalog/smartfon-google-pixel-10-pro-16-256-gb-fioletovyi/" TargetMode="External"/><Relationship Id="rId1035" Type="http://schemas.openxmlformats.org/officeDocument/2006/relationships/hyperlink" Target="https://mgg.stores-apple.com/catalog/planshet_apple_ipad_air_2026_m4_13_wi_fi_cellular_256_gb_seryy_kosmos/" TargetMode="External"/><Relationship Id="rId683" Type="http://schemas.openxmlformats.org/officeDocument/2006/relationships/hyperlink" Target="https://mgg.stores-apple.com/catalog/smartfon-google-pixel-10-pro-16-256-gb-rozovyi/" TargetMode="External"/><Relationship Id="rId1036" Type="http://schemas.openxmlformats.org/officeDocument/2006/relationships/hyperlink" Target="https://mgg.stores-apple.com/catalog/planshet_apple_ipad_air_2026_m4_13_wi_fi_cellular_256_gb_fioletovyy/" TargetMode="External"/><Relationship Id="rId1026" Type="http://schemas.openxmlformats.org/officeDocument/2006/relationships/hyperlink" Target="https://mgg.stores-apple.com/catalog/planshet_apple_ipad_air_2026_m4_13_wi_fi_cellular_128_gb_siyayushchaya_zvezda/" TargetMode="External"/><Relationship Id="rId1027" Type="http://schemas.openxmlformats.org/officeDocument/2006/relationships/hyperlink" Target="https://mgg.stores-apple.com/catalog/planshet_apple_ipad_air_2026_m4_13_wi_fi_cellular_128_gb_fioletovyy/" TargetMode="External"/><Relationship Id="rId1028" Type="http://schemas.openxmlformats.org/officeDocument/2006/relationships/hyperlink" Target="https://mgg.stores-apple.com/catalog/planshet-apple-ipad-air-2025-m3-11-wi-fi-1024-gb-goluboy/" TargetMode="External"/><Relationship Id="rId1029" Type="http://schemas.openxmlformats.org/officeDocument/2006/relationships/hyperlink" Target="https://mgg.stores-apple.com/catalog/planshet_apple_ipad_air_2026_m4_13_wi_fi_256_gb_siyayushchaya_zvezda/" TargetMode="External"/><Relationship Id="rId679" Type="http://schemas.openxmlformats.org/officeDocument/2006/relationships/hyperlink" Target="https://mgg.stores-apple.com/catalog/smartfon-google-pixel-10-pro-16-128-gb-fioletovyi/" TargetMode="External"/><Relationship Id="rId678" Type="http://schemas.openxmlformats.org/officeDocument/2006/relationships/hyperlink" Target="https://mgg.stores-apple.com/catalog/smartfon-google-pixel-10-pro-16-128-gb-zelenyi/" TargetMode="External"/><Relationship Id="rId677" Type="http://schemas.openxmlformats.org/officeDocument/2006/relationships/hyperlink" Target="https://mgg.stores-apple.com/catalog/smartfon-google-pixel-10-pro-16-128-gb-rozovyi/" TargetMode="External"/><Relationship Id="rId676" Type="http://schemas.openxmlformats.org/officeDocument/2006/relationships/hyperlink" Target="https://mgg.stores-apple.com/catalog/smartfon-google-pixel-10-12-256-gb-goluboi/" TargetMode="External"/><Relationship Id="rId671" Type="http://schemas.openxmlformats.org/officeDocument/2006/relationships/hyperlink" Target="https://mgg.stores-apple.com/catalog/smartfon-google-pixel-10-12-128-gb-seryi/" TargetMode="External"/><Relationship Id="rId670" Type="http://schemas.openxmlformats.org/officeDocument/2006/relationships/hyperlink" Target="https://mgg.stores-apple.com/catalog/smartfon-google-pixel-10-12-128-gb-sinii/" TargetMode="External"/><Relationship Id="rId1020" Type="http://schemas.openxmlformats.org/officeDocument/2006/relationships/hyperlink" Target="https://mgg.stores-apple.com/catalog/planshet-apple-ipad-air-2025-m3-11-wi-fi-512-gb-seryy-kosmos/" TargetMode="External"/><Relationship Id="rId1021" Type="http://schemas.openxmlformats.org/officeDocument/2006/relationships/hyperlink" Target="https://mgg.stores-apple.com/catalog/planshet-apple-ipad-air-2025-m3-11-wi-fi-512-gb-siyayushchaya-zvezda/" TargetMode="External"/><Relationship Id="rId675" Type="http://schemas.openxmlformats.org/officeDocument/2006/relationships/hyperlink" Target="https://mgg.stores-apple.com/catalog/smartfon-google-pixel-10-12-256-gb-sinii/" TargetMode="External"/><Relationship Id="rId1022" Type="http://schemas.openxmlformats.org/officeDocument/2006/relationships/hyperlink" Target="https://mgg.stores-apple.com/catalog/planshet_apple_ipad_air_2026_m4_13_wi_fi_256_gb_goluboy/" TargetMode="External"/><Relationship Id="rId674" Type="http://schemas.openxmlformats.org/officeDocument/2006/relationships/hyperlink" Target="https://mgg.stores-apple.com/catalog/smartfon-google-pixel-10-12-256-gb-seryi/" TargetMode="External"/><Relationship Id="rId1023" Type="http://schemas.openxmlformats.org/officeDocument/2006/relationships/hyperlink" Target="https://mgg.stores-apple.com/catalog/planshet_apple_ipad_air_2026_m4_13_wi_fi_256_gb_fioletovyy/" TargetMode="External"/><Relationship Id="rId673" Type="http://schemas.openxmlformats.org/officeDocument/2006/relationships/hyperlink" Target="https://mgg.stores-apple.com/catalog/smartfon-google-pixel-10-12-256-gb-zheltyi/" TargetMode="External"/><Relationship Id="rId1024" Type="http://schemas.openxmlformats.org/officeDocument/2006/relationships/hyperlink" Target="https://mgg.stores-apple.com/catalog/planshet_apple_ipad_air_2026_m4_13_wi_fi_cellular_128_gb_goluboy/" TargetMode="External"/><Relationship Id="rId672" Type="http://schemas.openxmlformats.org/officeDocument/2006/relationships/hyperlink" Target="https://mgg.stores-apple.com/catalog/smartfon_google_pixel_10_12_256_gb_chernyy/" TargetMode="External"/><Relationship Id="rId1025" Type="http://schemas.openxmlformats.org/officeDocument/2006/relationships/hyperlink" Target="https://mgg.stores-apple.com/catalog/planshet_apple_ipad_air_2026_m4_13_wi_fi_cellular_128_gb_seryy_kosmos/" TargetMode="External"/><Relationship Id="rId190" Type="http://schemas.openxmlformats.org/officeDocument/2006/relationships/hyperlink" Target="https://mgg.stores-apple.com/catalog/smartfon_apple_iphone_17_pro_max_256_gb_oranzhevyy_/" TargetMode="External"/><Relationship Id="rId194" Type="http://schemas.openxmlformats.org/officeDocument/2006/relationships/hyperlink" Target="https://mgg.stores-apple.com/catalog/smartfon_apple_iphone_17_pro_max_512_gb_oranzhevyy_esim_/" TargetMode="External"/><Relationship Id="rId193" Type="http://schemas.openxmlformats.org/officeDocument/2006/relationships/hyperlink" Target="https://mgg.stores-apple.com/catalog/smartfon_apple_iphone_17_pro_max_512_gb_siniy_esim_/" TargetMode="External"/><Relationship Id="rId192" Type="http://schemas.openxmlformats.org/officeDocument/2006/relationships/hyperlink" Target="https://mgg.stores-apple.com/catalog/smartfon_apple_iphone_17_pro_max_256_gb_serebristyy_/" TargetMode="External"/><Relationship Id="rId191" Type="http://schemas.openxmlformats.org/officeDocument/2006/relationships/hyperlink" Target="https://mgg.stores-apple.com/catalog/smartfon_apple_iphone_17_pro_max_256_gb_siniy_/" TargetMode="External"/><Relationship Id="rId187" Type="http://schemas.openxmlformats.org/officeDocument/2006/relationships/hyperlink" Target="https://mgg.stores-apple.com/catalog/smartfon_apple_iphone_17_pro_max_256_gb_oranzhevyy_esim_/" TargetMode="External"/><Relationship Id="rId186" Type="http://schemas.openxmlformats.org/officeDocument/2006/relationships/hyperlink" Target="https://mgg.stores-apple.com/catalog/smartfon-apple-iphone-17-pro-max-512-gb-serebristyj/" TargetMode="External"/><Relationship Id="rId185" Type="http://schemas.openxmlformats.org/officeDocument/2006/relationships/hyperlink" Target="https://mgg.stores-apple.com/catalog/smartfon-apple-iphone-17-pro-max-1024-gb-sinij-esim/" TargetMode="External"/><Relationship Id="rId184" Type="http://schemas.openxmlformats.org/officeDocument/2006/relationships/hyperlink" Target="https://mgg.stores-apple.com/catalog/smartfon-apple-iphone-17-pro-max-512-gb-sinij/" TargetMode="External"/><Relationship Id="rId189" Type="http://schemas.openxmlformats.org/officeDocument/2006/relationships/hyperlink" Target="https://mgg.stores-apple.com/catalog/smartfon_apple_iphone_17_pro_max_256_gb_serebristyy_esim_/" TargetMode="External"/><Relationship Id="rId188" Type="http://schemas.openxmlformats.org/officeDocument/2006/relationships/hyperlink" Target="https://mgg.stores-apple.com/catalog/smartfon_apple_iphone_17_pro_max_256_gb_siniy_esim_/" TargetMode="External"/><Relationship Id="rId183" Type="http://schemas.openxmlformats.org/officeDocument/2006/relationships/hyperlink" Target="https://mgg.stores-apple.com/catalog/smartfon-apple-iphone-17-pro-max-512-gb-oranzevyi/" TargetMode="External"/><Relationship Id="rId182" Type="http://schemas.openxmlformats.org/officeDocument/2006/relationships/hyperlink" Target="https://mgg.stores-apple.com/catalog/smartfon-apple-iphone-17-pro-max-512-gb-sinij-esim/" TargetMode="External"/><Relationship Id="rId181" Type="http://schemas.openxmlformats.org/officeDocument/2006/relationships/hyperlink" Target="https://mgg.stores-apple.com/catalog/smartfon-apple-iphone-17-pro-max-512-gb-serebristyj-esim/" TargetMode="External"/><Relationship Id="rId180" Type="http://schemas.openxmlformats.org/officeDocument/2006/relationships/hyperlink" Target="https://mgg.stores-apple.com/catalog/smartfon-apple-iphone-17-pro-max-512-gb-oranzevyi-esim/" TargetMode="External"/><Relationship Id="rId176" Type="http://schemas.openxmlformats.org/officeDocument/2006/relationships/hyperlink" Target="https://mgg.stores-apple.com/catalog/smartfon-apple-iphone-17-pro-max-256-gb-oranzevyi-esim/" TargetMode="External"/><Relationship Id="rId175" Type="http://schemas.openxmlformats.org/officeDocument/2006/relationships/hyperlink" Target="https://mgg.stores-apple.com/catalog/smartfon-apple-iphone-17-pro-max-256-gb-serebristyj-esim/" TargetMode="External"/><Relationship Id="rId174" Type="http://schemas.openxmlformats.org/officeDocument/2006/relationships/hyperlink" Target="https://mgg.stores-apple.com/catalog/smartfon-apple-iphone-17-pro-max-256-gb-sinij-esim/" TargetMode="External"/><Relationship Id="rId173" Type="http://schemas.openxmlformats.org/officeDocument/2006/relationships/hyperlink" Target="https://mgg.stores-apple.com/catalog/smartfon-apple-iphone-17-pro-1024-gb-serebristyj/" TargetMode="External"/><Relationship Id="rId179" Type="http://schemas.openxmlformats.org/officeDocument/2006/relationships/hyperlink" Target="https://mgg.stores-apple.com/catalog/smartfon-apple-iphone-17-pro-max-256-gb-serebristyj/" TargetMode="External"/><Relationship Id="rId178" Type="http://schemas.openxmlformats.org/officeDocument/2006/relationships/hyperlink" Target="https://mgg.stores-apple.com/catalog/smartfon-apple-iphone-17-pro-max-256-gb-sinij/" TargetMode="External"/><Relationship Id="rId177" Type="http://schemas.openxmlformats.org/officeDocument/2006/relationships/hyperlink" Target="https://mgg.stores-apple.com/catalog/smartfon-apple-iphone-17-pro-max-256-gb-oranzevyi/" TargetMode="External"/><Relationship Id="rId198" Type="http://schemas.openxmlformats.org/officeDocument/2006/relationships/hyperlink" Target="https://mgg.stores-apple.com/catalog/smartfon_apple_iphone_17_pro_max_1024_gb_siniy_esim_/" TargetMode="External"/><Relationship Id="rId197" Type="http://schemas.openxmlformats.org/officeDocument/2006/relationships/hyperlink" Target="https://mgg.stores-apple.com/catalog/smartfon_apple_iphone_17_pro_max_512_gb_siniy_/" TargetMode="External"/><Relationship Id="rId196" Type="http://schemas.openxmlformats.org/officeDocument/2006/relationships/hyperlink" Target="https://mgg.stores-apple.com/catalog/smartfon_apple_iphone_17_pro_max_512_gb_oranzhevyy_/" TargetMode="External"/><Relationship Id="rId195" Type="http://schemas.openxmlformats.org/officeDocument/2006/relationships/hyperlink" Target="https://mgg.stores-apple.com/catalog/smartfon_apple_iphone_17_pro_max_512_gb_serebristyy_esim_/" TargetMode="External"/><Relationship Id="rId199" Type="http://schemas.openxmlformats.org/officeDocument/2006/relationships/hyperlink" Target="https://mgg.stores-apple.com/catalog/smartfon_apple_iphone_17_pro_max_1024_gb_oranzhevyy_esim_/" TargetMode="External"/><Relationship Id="rId150" Type="http://schemas.openxmlformats.org/officeDocument/2006/relationships/hyperlink" Target="https://mgg.stores-apple.com/catalog/smartfon_apple_iphone_17_pro_256_gb_serebristyy_esim_/" TargetMode="External"/><Relationship Id="rId149" Type="http://schemas.openxmlformats.org/officeDocument/2006/relationships/hyperlink" Target="https://mgg.stores-apple.com/catalog/smartfon_apple_iphone_17_pro_256_gb_siniy_esim_/" TargetMode="External"/><Relationship Id="rId148" Type="http://schemas.openxmlformats.org/officeDocument/2006/relationships/hyperlink" Target="https://mgg.stores-apple.com/catalog/smartfon_apple_iphone_17_pro_256_gb_oranzhevyy_esim_/" TargetMode="External"/><Relationship Id="rId1090" Type="http://schemas.openxmlformats.org/officeDocument/2006/relationships/hyperlink" Target="https://mgg.stores-apple.com/catalog/planshet_apple_ipad_air_2026_m4_13_wi_fi_cellular_1024_gb_goluboy/" TargetMode="External"/><Relationship Id="rId1091" Type="http://schemas.openxmlformats.org/officeDocument/2006/relationships/hyperlink" Target="https://mgg.stores-apple.com/catalog/planshet_apple_ipad_air_2026_m4_13_wi_fi_cellular_1024_gb_seryy_kosmos/" TargetMode="External"/><Relationship Id="rId1092" Type="http://schemas.openxmlformats.org/officeDocument/2006/relationships/hyperlink" Target="https://mgg.stores-apple.com/catalog/planshet_apple_ipad_air_2026_m4_13_wi_fi_cellular_1024_gb_siyayushchaya_zvezda/" TargetMode="External"/><Relationship Id="rId1093" Type="http://schemas.openxmlformats.org/officeDocument/2006/relationships/hyperlink" Target="https://mgg.stores-apple.com/catalog/planshet_apple_ipad_air_2026_m4_13_wi_fi_cellular_1024_gb_fioletovyy/" TargetMode="External"/><Relationship Id="rId1094" Type="http://schemas.openxmlformats.org/officeDocument/2006/relationships/hyperlink" Target="https://mgg.stores-apple.com/catalog/planshet-apple-ipad-air-2025-m3-13-wi-fi-cellular-1024-gb-siyayushhaya-zvezda/" TargetMode="External"/><Relationship Id="rId143" Type="http://schemas.openxmlformats.org/officeDocument/2006/relationships/hyperlink" Target="https://mgg.stores-apple.com/catalog/smartfon-apple-iphone-17-pro-256-gb-sinij/" TargetMode="External"/><Relationship Id="rId1095" Type="http://schemas.openxmlformats.org/officeDocument/2006/relationships/hyperlink" Target="https://mgg.stores-apple.com/catalog/planshet-apple-ipad-air-2025-m3-13-wi-fi-cellular-1024-gb-seryj-kosmos/" TargetMode="External"/><Relationship Id="rId142" Type="http://schemas.openxmlformats.org/officeDocument/2006/relationships/hyperlink" Target="https://mgg.stores-apple.com/catalog/smartfon-apple-iphone-17-pro-256-gb-serebristyj/" TargetMode="External"/><Relationship Id="rId1096" Type="http://schemas.openxmlformats.org/officeDocument/2006/relationships/hyperlink" Target="https://mgg.stores-apple.com/catalog/planshet-apple-ipad-air-2025-m3-13-wi-fi-cellular-1024-gb-fioletovyj/" TargetMode="External"/><Relationship Id="rId141" Type="http://schemas.openxmlformats.org/officeDocument/2006/relationships/hyperlink" Target="https://mgg.stores-apple.com/catalog/smartfon-apple-iphone-17-pro-256-gb-oranzevyi/" TargetMode="External"/><Relationship Id="rId1097" Type="http://schemas.openxmlformats.org/officeDocument/2006/relationships/hyperlink" Target="https://mgg.stores-apple.com/catalog/planshet-apple-ipad-air-2025-m3-13-wi-fi-cellular-1024-gb-goluboj/" TargetMode="External"/><Relationship Id="rId140" Type="http://schemas.openxmlformats.org/officeDocument/2006/relationships/hyperlink" Target="https://mgg.stores-apple.com/catalog/smartfon-apple-iphone-17-pro-256-gb-serebristyj-esim/" TargetMode="External"/><Relationship Id="rId1098" Type="http://schemas.openxmlformats.org/officeDocument/2006/relationships/hyperlink" Target="https://mgg.stores-apple.com/catalog/planshet_apple_ipad_air_2026_m4_11_wi_fi_256_gb_seryy_kosmos/" TargetMode="External"/><Relationship Id="rId147" Type="http://schemas.openxmlformats.org/officeDocument/2006/relationships/hyperlink" Target="https://mgg.stores-apple.com/catalog/smartfon-apple-iphone-17-pro-512-gb-oranzevyi/" TargetMode="External"/><Relationship Id="rId1099" Type="http://schemas.openxmlformats.org/officeDocument/2006/relationships/hyperlink" Target="https://mgg.stores-apple.com/catalog/planshet-apple-ipad-11-a16-2025-wi-fi-128-gb-goluboj/" TargetMode="External"/><Relationship Id="rId146" Type="http://schemas.openxmlformats.org/officeDocument/2006/relationships/hyperlink" Target="https://mgg.stores-apple.com/catalog/smartfon-apple-iphone-17-pro-512-gb-sinij-esim/" TargetMode="External"/><Relationship Id="rId145" Type="http://schemas.openxmlformats.org/officeDocument/2006/relationships/hyperlink" Target="https://mgg.stores-apple.com/catalog/smartfon-apple-iphone-17-pro-512-gb-serebristyj-esim/" TargetMode="External"/><Relationship Id="rId144" Type="http://schemas.openxmlformats.org/officeDocument/2006/relationships/hyperlink" Target="https://mgg.stores-apple.com/catalog/smartfon-apple-iphone-17-pro-512-gb-oranzevyi-esim/" TargetMode="External"/><Relationship Id="rId139" Type="http://schemas.openxmlformats.org/officeDocument/2006/relationships/hyperlink" Target="https://mgg.stores-apple.com/catalog/smartfon-apple-iphone-17-pro-256-gb-oranzevyi-esim/" TargetMode="External"/><Relationship Id="rId138" Type="http://schemas.openxmlformats.org/officeDocument/2006/relationships/hyperlink" Target="https://mgg.stores-apple.com/catalog/smartfon-apple-iphone-17-pro-256-gb-sinij-esim/" TargetMode="External"/><Relationship Id="rId137" Type="http://schemas.openxmlformats.org/officeDocument/2006/relationships/hyperlink" Target="https://mgg.stores-apple.com/catalog/smartfon-apple-iphone-air-1024-gb-belyi/" TargetMode="External"/><Relationship Id="rId1080" Type="http://schemas.openxmlformats.org/officeDocument/2006/relationships/hyperlink" Target="https://mgg.stores-apple.com/catalog/planshet_apple_ipad_air_2026_m4_11_wi_fi_cellular_1024_gb_siyayushchaya_zvezda/" TargetMode="External"/><Relationship Id="rId1081" Type="http://schemas.openxmlformats.org/officeDocument/2006/relationships/hyperlink" Target="https://mgg.stores-apple.com/catalog/planshet_apple_ipad_air_2026_m4_11_wi_fi_cellular_1024_gb_fioletovyy/" TargetMode="External"/><Relationship Id="rId1082" Type="http://schemas.openxmlformats.org/officeDocument/2006/relationships/hyperlink" Target="https://mgg.stores-apple.com/catalog/planshet_apple_ipad_air_2026_m4_13_wi_fi_1024_gb_goluboy/" TargetMode="External"/><Relationship Id="rId1083" Type="http://schemas.openxmlformats.org/officeDocument/2006/relationships/hyperlink" Target="https://mgg.stores-apple.com/catalog/planshet_apple_ipad_air_2026_m4_13_wi_fi_1024_gb_siyayushchaya_zvezda/" TargetMode="External"/><Relationship Id="rId132" Type="http://schemas.openxmlformats.org/officeDocument/2006/relationships/hyperlink" Target="https://mgg.stores-apple.com/catalog/smartfon_apple_iphone_air_1024_gb_chernyy_/" TargetMode="External"/><Relationship Id="rId1084" Type="http://schemas.openxmlformats.org/officeDocument/2006/relationships/hyperlink" Target="https://mgg.stores-apple.com/catalog/planshet_apple_ipad_air_2026_m4_13_wi_fi_1024_gb_fioletovyy/" TargetMode="External"/><Relationship Id="rId131" Type="http://schemas.openxmlformats.org/officeDocument/2006/relationships/hyperlink" Target="https://mgg.stores-apple.com/catalog/smartfon-apple-iphone-air-512-gb-belyi/" TargetMode="External"/><Relationship Id="rId1085" Type="http://schemas.openxmlformats.org/officeDocument/2006/relationships/hyperlink" Target="https://mgg.stores-apple.com/catalog/planshet_apple_ipad_air_2026_m4_13_wi_fi_1024_gb_seryy_kosmos/" TargetMode="External"/><Relationship Id="rId130" Type="http://schemas.openxmlformats.org/officeDocument/2006/relationships/hyperlink" Target="https://mgg.stores-apple.com/catalog/smartfon-apple-iphone-air-512-gb-chernyi/" TargetMode="External"/><Relationship Id="rId1086" Type="http://schemas.openxmlformats.org/officeDocument/2006/relationships/hyperlink" Target="https://mgg.stores-apple.com/catalog/planshet-apple-ipad-air-2025-m3-13-wi-fi-cellular-512-gb-siyayushhaya-zvezda/" TargetMode="External"/><Relationship Id="rId1087" Type="http://schemas.openxmlformats.org/officeDocument/2006/relationships/hyperlink" Target="https://mgg.stores-apple.com/catalog/planshet-apple-ipad-air-2025-m3-13-wi-fi-cellular-512-gb-fioletovyj/" TargetMode="External"/><Relationship Id="rId136" Type="http://schemas.openxmlformats.org/officeDocument/2006/relationships/hyperlink" Target="https://mgg.stores-apple.com/catalog/smartfon-apple-iphone-air-1024-gb-chernyi/" TargetMode="External"/><Relationship Id="rId1088" Type="http://schemas.openxmlformats.org/officeDocument/2006/relationships/hyperlink" Target="https://mgg.stores-apple.com/catalog/planshet-apple-ipad-air-2025-m3-13-wi-fi-cellular-512-gb-seryj-kosmos/" TargetMode="External"/><Relationship Id="rId135" Type="http://schemas.openxmlformats.org/officeDocument/2006/relationships/hyperlink" Target="https://mgg.stores-apple.com/catalog/smartfon-apple-iphone-air-1024-gb-goluboi/" TargetMode="External"/><Relationship Id="rId1089" Type="http://schemas.openxmlformats.org/officeDocument/2006/relationships/hyperlink" Target="https://mgg.stores-apple.com/catalog/planshet-apple-ipad-air-2025-m3-13-wi-fi-cellular-512-gb-goluboj/" TargetMode="External"/><Relationship Id="rId134" Type="http://schemas.openxmlformats.org/officeDocument/2006/relationships/hyperlink" Target="https://mgg.stores-apple.com/catalog/smartfon-apple-iphone-air-1024-gb-zolotoi/" TargetMode="External"/><Relationship Id="rId133" Type="http://schemas.openxmlformats.org/officeDocument/2006/relationships/hyperlink" Target="https://mgg.stores-apple.com/catalog/smartfon_apple_iphone_air_1024_gb_belyy_/" TargetMode="External"/><Relationship Id="rId172" Type="http://schemas.openxmlformats.org/officeDocument/2006/relationships/hyperlink" Target="https://mgg.stores-apple.com/catalog/smartfon-apple-iphone-17-pro-1024-gb-sinij/" TargetMode="External"/><Relationship Id="rId171" Type="http://schemas.openxmlformats.org/officeDocument/2006/relationships/hyperlink" Target="https://mgg.stores-apple.com/catalog/smartfon_apple_iphone_17_pro_1024_gb_serebristyy_/" TargetMode="External"/><Relationship Id="rId170" Type="http://schemas.openxmlformats.org/officeDocument/2006/relationships/hyperlink" Target="https://mgg.stores-apple.com/catalog/smartfon-apple-iphone-17-pro-1024-gb-oranzevyi/" TargetMode="External"/><Relationship Id="rId165" Type="http://schemas.openxmlformats.org/officeDocument/2006/relationships/hyperlink" Target="https://mgg.stores-apple.com/catalog/smartfon-apple-iphone-17-pro-512-gb-sinij/" TargetMode="External"/><Relationship Id="rId164" Type="http://schemas.openxmlformats.org/officeDocument/2006/relationships/hyperlink" Target="https://mgg.stores-apple.com/catalog/smartfon-apple-iphone-17-pro-512-gb-serebristyj/" TargetMode="External"/><Relationship Id="rId163" Type="http://schemas.openxmlformats.org/officeDocument/2006/relationships/hyperlink" Target="https://mgg.stores-apple.com/catalog/smartfon-apple-iphone-17-pro-1024-gb-oranzevyi-esim/" TargetMode="External"/><Relationship Id="rId162" Type="http://schemas.openxmlformats.org/officeDocument/2006/relationships/hyperlink" Target="https://mgg.stores-apple.com/catalog/smartfon-apple-iphone-17-pro-1024-gb-sinij-esim/" TargetMode="External"/><Relationship Id="rId169" Type="http://schemas.openxmlformats.org/officeDocument/2006/relationships/hyperlink" Target="https://mgg.stores-apple.com/catalog/smartfon_apple_iphone_17_pro_1024_gb_siniy_/" TargetMode="External"/><Relationship Id="rId168" Type="http://schemas.openxmlformats.org/officeDocument/2006/relationships/hyperlink" Target="https://mgg.stores-apple.com/catalog/smartfon_apple_iphone_17_pro_1024_gb_oranzhevyy_/" TargetMode="External"/><Relationship Id="rId167" Type="http://schemas.openxmlformats.org/officeDocument/2006/relationships/hyperlink" Target="https://mgg.stores-apple.com/catalog/smartfon-apple-iphone-17-pro-1024-gb-serebristyj-esim/" TargetMode="External"/><Relationship Id="rId166" Type="http://schemas.openxmlformats.org/officeDocument/2006/relationships/hyperlink" Target="https://mgg.stores-apple.com/catalog/smartfon_apple_iphone_17_pro_1024_gb_serebristyy_esim_/" TargetMode="External"/><Relationship Id="rId161" Type="http://schemas.openxmlformats.org/officeDocument/2006/relationships/hyperlink" Target="https://mgg.stores-apple.com/catalog/smartfon_apple_iphone_17_pro_512_gb_siniy_/" TargetMode="External"/><Relationship Id="rId160" Type="http://schemas.openxmlformats.org/officeDocument/2006/relationships/hyperlink" Target="https://mgg.stores-apple.com/catalog/smartfon_apple_iphone_17_pro_512_gb_serebristyy_/" TargetMode="External"/><Relationship Id="rId159" Type="http://schemas.openxmlformats.org/officeDocument/2006/relationships/hyperlink" Target="https://mgg.stores-apple.com/catalog/smartfon_apple_iphone_17_pro_1024_gb_siniy_esim_/" TargetMode="External"/><Relationship Id="rId154" Type="http://schemas.openxmlformats.org/officeDocument/2006/relationships/hyperlink" Target="https://mgg.stores-apple.com/catalog/smartfon_apple_iphone_17_pro_512_gb_oranzhevyy_esim_/" TargetMode="External"/><Relationship Id="rId153" Type="http://schemas.openxmlformats.org/officeDocument/2006/relationships/hyperlink" Target="https://mgg.stores-apple.com/catalog/smartfon_apple_iphone_17_pro_256_gb_serebristyy_/" TargetMode="External"/><Relationship Id="rId152" Type="http://schemas.openxmlformats.org/officeDocument/2006/relationships/hyperlink" Target="https://mgg.stores-apple.com/catalog/smartfon_apple_iphone_17_pro_256_gb_siniy/" TargetMode="External"/><Relationship Id="rId151" Type="http://schemas.openxmlformats.org/officeDocument/2006/relationships/hyperlink" Target="https://mgg.stores-apple.com/catalog/smartfon_apple_iphone_17_pro_256_gb_oranzhevyy_/" TargetMode="External"/><Relationship Id="rId158" Type="http://schemas.openxmlformats.org/officeDocument/2006/relationships/hyperlink" Target="https://mgg.stores-apple.com/catalog/smartfon_apple_iphone_17_pro_1024_gb_oranzhevyy_esim_/" TargetMode="External"/><Relationship Id="rId157" Type="http://schemas.openxmlformats.org/officeDocument/2006/relationships/hyperlink" Target="https://mgg.stores-apple.com/catalog/smartfon_apple_iphone_17_pro_512_gb_oranzhevyy_/" TargetMode="External"/><Relationship Id="rId156" Type="http://schemas.openxmlformats.org/officeDocument/2006/relationships/hyperlink" Target="https://mgg.stores-apple.com/catalog/smartfon_apple_iphone_17_pro_512_gb_siniy_esim_/" TargetMode="External"/><Relationship Id="rId155" Type="http://schemas.openxmlformats.org/officeDocument/2006/relationships/hyperlink" Target="https://mgg.stores-apple.com/catalog/smartfon_apple_iphone_17_pro_512_gb_serebristyy_esim_/" TargetMode="External"/><Relationship Id="rId1510" Type="http://schemas.openxmlformats.org/officeDocument/2006/relationships/hyperlink" Target="https://mgg.stores-apple.com/catalog/portativnaya_audiosistema_ubear_groove_160vt_bluetooth_5_3/" TargetMode="External"/><Relationship Id="rId1511" Type="http://schemas.openxmlformats.org/officeDocument/2006/relationships/hyperlink" Target="https://mgg.stores-apple.com/catalog/kolonka-yandeks-stanciya-2-sinij-kobalt/" TargetMode="External"/><Relationship Id="rId1512" Type="http://schemas.openxmlformats.org/officeDocument/2006/relationships/hyperlink" Target="https://mgg.stores-apple.com/catalog/kolonka-yandeks-stanciya-2-krasnyj-rubin/" TargetMode="External"/><Relationship Id="rId1513" Type="http://schemas.openxmlformats.org/officeDocument/2006/relationships/hyperlink" Target="https://mgg.stores-apple.com/catalog/kolonka-yandeks-stanciya-2-pesochnyj/" TargetMode="External"/><Relationship Id="rId1514" Type="http://schemas.openxmlformats.org/officeDocument/2006/relationships/hyperlink" Target="https://mgg.stores-apple.com/catalog/kolonka-yandeks-stanciya-2-limitirovannaya-seriya-kiberderevnya-chernyj-antracit/" TargetMode="External"/><Relationship Id="rId1515" Type="http://schemas.openxmlformats.org/officeDocument/2006/relationships/hyperlink" Target="https://mgg.stores-apple.com/catalog/kolonka-yandeks-stanciya-2-mednyj/" TargetMode="External"/><Relationship Id="rId1516" Type="http://schemas.openxmlformats.org/officeDocument/2006/relationships/hyperlink" Target="https://mgg.stores-apple.com/catalog/kolonka-yandeks-stanciya-2-chernyj-antracit/" TargetMode="External"/><Relationship Id="rId1517" Type="http://schemas.openxmlformats.org/officeDocument/2006/relationships/hyperlink" Target="https://mgg.stores-apple.com/catalog/kolonka-yandeks-stanciya-maks-biryuzovyj/" TargetMode="External"/><Relationship Id="rId1518" Type="http://schemas.openxmlformats.org/officeDocument/2006/relationships/hyperlink" Target="https://mgg.stores-apple.com/catalog/kolonka-yandeks-stanciya-maks-krasnyj/" TargetMode="External"/><Relationship Id="rId1519" Type="http://schemas.openxmlformats.org/officeDocument/2006/relationships/hyperlink" Target="https://mgg.stores-apple.com/catalog/kolonka-yandeks-stanciya-maks-chernyj/" TargetMode="External"/><Relationship Id="rId1500" Type="http://schemas.openxmlformats.org/officeDocument/2006/relationships/hyperlink" Target="https://mgg.stores-apple.com/catalog/kolonka-yandeks-stanciya-midi-malinovyj/" TargetMode="External"/><Relationship Id="rId1501" Type="http://schemas.openxmlformats.org/officeDocument/2006/relationships/hyperlink" Target="https://mgg.stores-apple.com/catalog/kolonka-yandeks-stanciya-midi-chernyj/" TargetMode="External"/><Relationship Id="rId1502" Type="http://schemas.openxmlformats.org/officeDocument/2006/relationships/hyperlink" Target="https://mgg.stores-apple.com/catalog/besprovodnye_naushniki_samsung_galaxy_buds_4_pro_belye/" TargetMode="External"/><Relationship Id="rId1503" Type="http://schemas.openxmlformats.org/officeDocument/2006/relationships/hyperlink" Target="https://mgg.stores-apple.com/catalog/kolonka-yandeks-stanciya-midi-seryj/" TargetMode="External"/><Relationship Id="rId1504" Type="http://schemas.openxmlformats.org/officeDocument/2006/relationships/hyperlink" Target="https://mgg.stores-apple.com/catalog/umnaya-kolonka-apple-homepod-mini-zheltaya/" TargetMode="External"/><Relationship Id="rId1505" Type="http://schemas.openxmlformats.org/officeDocument/2006/relationships/hyperlink" Target="https://mgg.stores-apple.com/catalog/umnaya-kolonka-apple-homepod-mini-oranzhevaya/" TargetMode="External"/><Relationship Id="rId1506" Type="http://schemas.openxmlformats.org/officeDocument/2006/relationships/hyperlink" Target="https://mgg.stores-apple.com/catalog/umnaya-kolonka-apple-homepod-mini-sinyaya/" TargetMode="External"/><Relationship Id="rId1507" Type="http://schemas.openxmlformats.org/officeDocument/2006/relationships/hyperlink" Target="https://mgg.stores-apple.com/catalog/umnaya-kolonka-apple-homepod-mini-seraja/" TargetMode="External"/><Relationship Id="rId1508" Type="http://schemas.openxmlformats.org/officeDocument/2006/relationships/hyperlink" Target="https://mgg.stores-apple.com/catalog/umnaya-kolonka-apple-homepod-mini-belaya/" TargetMode="External"/><Relationship Id="rId1509" Type="http://schemas.openxmlformats.org/officeDocument/2006/relationships/hyperlink" Target="https://mgg.stores-apple.com/catalog/besprovodnye-naushniki-marshall-monitor-2-anc-chernyi/" TargetMode="External"/><Relationship Id="rId509" Type="http://schemas.openxmlformats.org/officeDocument/2006/relationships/hyperlink" Target="https://mgg.stores-apple.com/catalog/smartfon-samsung-galaxy-s24-12256-gb-fioletovyy/" TargetMode="External"/><Relationship Id="rId508" Type="http://schemas.openxmlformats.org/officeDocument/2006/relationships/hyperlink" Target="https://mgg.stores-apple.com/catalog/smartfon-samsung-galaxy-s24-12256-gb-goluboy/" TargetMode="External"/><Relationship Id="rId503" Type="http://schemas.openxmlformats.org/officeDocument/2006/relationships/hyperlink" Target="https://mgg.stores-apple.com/catalog/smartfon-samsung-galaxy-s25-128-gb-myatnyy/" TargetMode="External"/><Relationship Id="rId987" Type="http://schemas.openxmlformats.org/officeDocument/2006/relationships/hyperlink" Target="https://mgg.stores-apple.com/catalog/planshet-apple-ipad-pro-2025-m5-13-wi-fi-cellular-1024-gb-serebristyj-nano/" TargetMode="External"/><Relationship Id="rId502" Type="http://schemas.openxmlformats.org/officeDocument/2006/relationships/hyperlink" Target="https://mgg.stores-apple.com/catalog/smartfon-samsung-galaxy-s25-fe-8-128-chernyi/" TargetMode="External"/><Relationship Id="rId986" Type="http://schemas.openxmlformats.org/officeDocument/2006/relationships/hyperlink" Target="https://mgg.stores-apple.com/catalog/planshet-apple-ipad-pro-2025-m5-11-wi-fi-cellular-2048-gb-seryj-kosmos-nano/" TargetMode="External"/><Relationship Id="rId501" Type="http://schemas.openxmlformats.org/officeDocument/2006/relationships/hyperlink" Target="https://mgg.stores-apple.com/catalog/smartfon-samsung-galaxy-s25-fe-8-128-belyi/" TargetMode="External"/><Relationship Id="rId985" Type="http://schemas.openxmlformats.org/officeDocument/2006/relationships/hyperlink" Target="https://mgg.stores-apple.com/catalog/planshet-apple-ipad-pro-2025-m5-11-wi-fi-cellular-2048-gb-serebristyj-nano/" TargetMode="External"/><Relationship Id="rId500" Type="http://schemas.openxmlformats.org/officeDocument/2006/relationships/hyperlink" Target="https://mgg.stores-apple.com/catalog/smartfon-samsung-galaxy-s25-fe-8-128-goluboi/" TargetMode="External"/><Relationship Id="rId984" Type="http://schemas.openxmlformats.org/officeDocument/2006/relationships/hyperlink" Target="https://mgg.stores-apple.com/catalog/planshet-apple-ipad-pro-2025-m5-13-wi-fi-1024-gb-seryj-kosmos-nano/" TargetMode="External"/><Relationship Id="rId507" Type="http://schemas.openxmlformats.org/officeDocument/2006/relationships/hyperlink" Target="https://mgg.stores-apple.com/catalog/smartfon-samsung-galaxy-s24-12256-gb-zheltyy/" TargetMode="External"/><Relationship Id="rId506" Type="http://schemas.openxmlformats.org/officeDocument/2006/relationships/hyperlink" Target="https://mgg.stores-apple.com/catalog/smartfon-samsung-galaxy-s24-12256-gb-zelenyy/" TargetMode="External"/><Relationship Id="rId505" Type="http://schemas.openxmlformats.org/officeDocument/2006/relationships/hyperlink" Target="https://mgg.stores-apple.com/catalog/smartfon-samsung-galaxy-s24-12256-gb-oranzhevyy/" TargetMode="External"/><Relationship Id="rId989" Type="http://schemas.openxmlformats.org/officeDocument/2006/relationships/hyperlink" Target="https://mgg.stores-apple.com/catalog/planshet-apple-ipad-pro-2025-m5-13-wi-fi-2048-gb-seryj-kosmos/" TargetMode="External"/><Relationship Id="rId504" Type="http://schemas.openxmlformats.org/officeDocument/2006/relationships/hyperlink" Target="https://mgg.stores-apple.com/catalog/smartfon-samsung-galaxy-s25-fe-8-256-goluboi/" TargetMode="External"/><Relationship Id="rId988" Type="http://schemas.openxmlformats.org/officeDocument/2006/relationships/hyperlink" Target="https://mgg.stores-apple.com/catalog/planshet-apple-ipad-pro-2025-m5-13-wi-fi-cellular-1024-gb-seryj-kosmos-nano/" TargetMode="External"/><Relationship Id="rId983" Type="http://schemas.openxmlformats.org/officeDocument/2006/relationships/hyperlink" Target="https://mgg.stores-apple.com/catalog/planshet-apple-ipad-pro-2025-m5-13-wi-fi-1024-gb-serebristyj-nano/" TargetMode="External"/><Relationship Id="rId982" Type="http://schemas.openxmlformats.org/officeDocument/2006/relationships/hyperlink" Target="https://mgg.stores-apple.com/catalog/planshet-apple-ipad-pro-2024-m4-13-wi-fi-2048-gb-serebristyj/" TargetMode="External"/><Relationship Id="rId981" Type="http://schemas.openxmlformats.org/officeDocument/2006/relationships/hyperlink" Target="https://mgg.stores-apple.com/catalog/planshet-apple-ipad-pro-2024-m4-13-wi-fi-2048-gb-chernyj-kosmos/" TargetMode="External"/><Relationship Id="rId980" Type="http://schemas.openxmlformats.org/officeDocument/2006/relationships/hyperlink" Target="https://mgg.stores-apple.com/catalog/planshet-apple-ipad-pro-2025-m5-13-wi-fi-cellular-1024-gb-serebristyj/" TargetMode="External"/><Relationship Id="rId976" Type="http://schemas.openxmlformats.org/officeDocument/2006/relationships/hyperlink" Target="https://mgg.stores-apple.com/catalog/planshet-apple-ipad-pro-2025-m5-11-wi-fi-2048-gb-serebristyj-nano/" TargetMode="External"/><Relationship Id="rId975" Type="http://schemas.openxmlformats.org/officeDocument/2006/relationships/hyperlink" Target="https://mgg.stores-apple.com/catalog/planshet-apple-ipad-pro-2025-m5-11-wi-fi-2048-gb-seryj-kosmos-nano/" TargetMode="External"/><Relationship Id="rId974" Type="http://schemas.openxmlformats.org/officeDocument/2006/relationships/hyperlink" Target="https://mgg.stores-apple.com/catalog/planshet-apple-ipad-pro-2024-m4-13-wi-fi-cellular-2048-gb-serebristyj/" TargetMode="External"/><Relationship Id="rId973" Type="http://schemas.openxmlformats.org/officeDocument/2006/relationships/hyperlink" Target="https://mgg.stores-apple.com/catalog/planshet-apple-ipad-pro-2024-m4-13-wi-fi-cellular-2048-gb-chernyj-kosmos/" TargetMode="External"/><Relationship Id="rId979" Type="http://schemas.openxmlformats.org/officeDocument/2006/relationships/hyperlink" Target="https://mgg.stores-apple.com/catalog/planshet-apple-ipad-pro-2025-m5-13-wi-fi-cellular-1024-gb-seryj-kosmos/" TargetMode="External"/><Relationship Id="rId978" Type="http://schemas.openxmlformats.org/officeDocument/2006/relationships/hyperlink" Target="https://mgg.stores-apple.com/catalog/planshet-apple-ipad-pro-2025-m5-11-wi-fi-cellular-2048-gb-serebristyj/" TargetMode="External"/><Relationship Id="rId977" Type="http://schemas.openxmlformats.org/officeDocument/2006/relationships/hyperlink" Target="https://mgg.stores-apple.com/catalog/planshet-apple-ipad-pro-2025-m5-11-wi-fi-cellular-2048-gb-seryj-kosmos/" TargetMode="External"/><Relationship Id="rId972" Type="http://schemas.openxmlformats.org/officeDocument/2006/relationships/hyperlink" Target="https://mgg.stores-apple.com/catalog/planshet-apple-ipad-pro-2025-m5-13-wi-fi-1024-gb-serebristyj/" TargetMode="External"/><Relationship Id="rId971" Type="http://schemas.openxmlformats.org/officeDocument/2006/relationships/hyperlink" Target="https://mgg.stores-apple.com/catalog/planshet-apple-ipad-pro-2025-m5-13-wi-fi-1024-gb-seryj-kosmos/" TargetMode="External"/><Relationship Id="rId970" Type="http://schemas.openxmlformats.org/officeDocument/2006/relationships/hyperlink" Target="https://mgg.stores-apple.com/catalog/planshet-apple-ipad-pro-2025-m5-11-wi-fi-2048-gb-serebristyj/" TargetMode="External"/><Relationship Id="rId1114" Type="http://schemas.openxmlformats.org/officeDocument/2006/relationships/hyperlink" Target="https://mgg.stores-apple.com/catalog/planshet-apple-ipad-11-a16-2025-wi-fi-cellular-256-gb-serebristyj/" TargetMode="External"/><Relationship Id="rId1115" Type="http://schemas.openxmlformats.org/officeDocument/2006/relationships/hyperlink" Target="https://mgg.stores-apple.com/catalog/planshet-apple-ipad-11-a16-2025-wi-fi-512-gb-goluboj/" TargetMode="External"/><Relationship Id="rId1116" Type="http://schemas.openxmlformats.org/officeDocument/2006/relationships/hyperlink" Target="https://mgg.stores-apple.com/catalog/planshet-apple-ipad-11-a16-2025-wi-fi-512-gb-serebristyj/" TargetMode="External"/><Relationship Id="rId1117" Type="http://schemas.openxmlformats.org/officeDocument/2006/relationships/hyperlink" Target="https://mgg.stores-apple.com/catalog/planshet-apple-ipad-11-a16-2025-wi-fi-512-gb-zheltyj/" TargetMode="External"/><Relationship Id="rId1118" Type="http://schemas.openxmlformats.org/officeDocument/2006/relationships/hyperlink" Target="https://mgg.stores-apple.com/catalog/planshet-apple-ipad-11-a16-2025-wi-fi-512-gb-rozovyj/" TargetMode="External"/><Relationship Id="rId1119" Type="http://schemas.openxmlformats.org/officeDocument/2006/relationships/hyperlink" Target="https://mgg.stores-apple.com/catalog/planshet-apple-ipad-11-a16-2025-wi-fi-cellular-512-gb-serebristyj/" TargetMode="External"/><Relationship Id="rId525" Type="http://schemas.openxmlformats.org/officeDocument/2006/relationships/hyperlink" Target="https://mgg.stores-apple.com/catalog/smartfon-samsung-galaxy-s25-512-gb-korallovyy/" TargetMode="External"/><Relationship Id="rId524" Type="http://schemas.openxmlformats.org/officeDocument/2006/relationships/hyperlink" Target="https://mgg.stores-apple.com/catalog/smartfon_samsung_galaxy_s26_fe_256_gb_chernyy/" TargetMode="External"/><Relationship Id="rId523" Type="http://schemas.openxmlformats.org/officeDocument/2006/relationships/hyperlink" Target="https://mgg.stores-apple.com/catalog/smartfon_samsung_galaxy_s26_fe_256_gb_zelenyy/" TargetMode="External"/><Relationship Id="rId522" Type="http://schemas.openxmlformats.org/officeDocument/2006/relationships/hyperlink" Target="https://mgg.stores-apple.com/catalog/smartfon_samsung_galaxy_s26_fe_256_gb_fioletovyy/" TargetMode="External"/><Relationship Id="rId529" Type="http://schemas.openxmlformats.org/officeDocument/2006/relationships/hyperlink" Target="https://mgg.stores-apple.com/catalog/smartfon-samsung-galaxy-s25-edge-12-256gb-chernyi/" TargetMode="External"/><Relationship Id="rId528" Type="http://schemas.openxmlformats.org/officeDocument/2006/relationships/hyperlink" Target="https://mgg.stores-apple.com/catalog/smartfon-samsung-galaxy-s25-edge-12-256gb-goluboi/" TargetMode="External"/><Relationship Id="rId527" Type="http://schemas.openxmlformats.org/officeDocument/2006/relationships/hyperlink" Target="https://mgg.stores-apple.com/catalog/smartfon-samsung-galaxy-s25-512-gb-myatnyy/" TargetMode="External"/><Relationship Id="rId526" Type="http://schemas.openxmlformats.org/officeDocument/2006/relationships/hyperlink" Target="https://mgg.stores-apple.com/catalog/smartfon-samsung-galaxy-s25-512-gb-rozovyy/" TargetMode="External"/><Relationship Id="rId521" Type="http://schemas.openxmlformats.org/officeDocument/2006/relationships/hyperlink" Target="https://mgg.stores-apple.com/catalog/smartfon-samsung-galaxy-s25-256-gb-rozovyy/" TargetMode="External"/><Relationship Id="rId1110" Type="http://schemas.openxmlformats.org/officeDocument/2006/relationships/hyperlink" Target="https://mgg.stores-apple.com/catalog/planshet-apple-ipad-11-a16-2025-wi-fi-256-gb-rozovyj/" TargetMode="External"/><Relationship Id="rId520" Type="http://schemas.openxmlformats.org/officeDocument/2006/relationships/hyperlink" Target="https://mgg.stores-apple.com/catalog/smartfon-samsung-galaxy-s25-256-gb-korallovyy/" TargetMode="External"/><Relationship Id="rId1111" Type="http://schemas.openxmlformats.org/officeDocument/2006/relationships/hyperlink" Target="https://mgg.stores-apple.com/catalog/planshet-apple-ipad-11-a16-2025-wi-fi-cellular-256-gb-goluboj/" TargetMode="External"/><Relationship Id="rId1112" Type="http://schemas.openxmlformats.org/officeDocument/2006/relationships/hyperlink" Target="https://mgg.stores-apple.com/catalog/planshet-apple-ipad-11-a16-2025-wi-fi-cellular-256-gb-zheltyj/" TargetMode="External"/><Relationship Id="rId1113" Type="http://schemas.openxmlformats.org/officeDocument/2006/relationships/hyperlink" Target="https://mgg.stores-apple.com/catalog/planshet-apple-ipad-11-a16-2025-wi-fi-cellular-256-gb-rozovyj/" TargetMode="External"/><Relationship Id="rId1103" Type="http://schemas.openxmlformats.org/officeDocument/2006/relationships/hyperlink" Target="https://mgg.stores-apple.com/catalog/planshet-apple-ipad-11-a16-2025-wi-fi-256-gb-serebristyj/" TargetMode="External"/><Relationship Id="rId1104" Type="http://schemas.openxmlformats.org/officeDocument/2006/relationships/hyperlink" Target="https://mgg.stores-apple.com/catalog/planshet-apple-ipad-11-a16-2025-wi-fi-128-gb-zheltyj/" TargetMode="External"/><Relationship Id="rId1105" Type="http://schemas.openxmlformats.org/officeDocument/2006/relationships/hyperlink" Target="https://mgg.stores-apple.com/catalog/planshet-apple-ipad-11-a16-2025-wi-fi-cellular-128-gb-goluboj/" TargetMode="External"/><Relationship Id="rId1106" Type="http://schemas.openxmlformats.org/officeDocument/2006/relationships/hyperlink" Target="https://mgg.stores-apple.com/catalog/planshet-apple-ipad-11-a16-2025-wi-fi-cellular-128-gb-zheltyj/" TargetMode="External"/><Relationship Id="rId1107" Type="http://schemas.openxmlformats.org/officeDocument/2006/relationships/hyperlink" Target="https://mgg.stores-apple.com/catalog/planshet-apple-ipad-11-a16-2025-wi-fi-cellular-128-gb-rozovyj/" TargetMode="External"/><Relationship Id="rId1108" Type="http://schemas.openxmlformats.org/officeDocument/2006/relationships/hyperlink" Target="https://mgg.stores-apple.com/catalog/planshet-apple-ipad-11-a16-2025-wi-fi-cellular-128-gb-serebristyj/" TargetMode="External"/><Relationship Id="rId1109" Type="http://schemas.openxmlformats.org/officeDocument/2006/relationships/hyperlink" Target="https://mgg.stores-apple.com/catalog/planshet-apple-ipad-11-a16-2025-wi-fi-256-gb-zheltyj/" TargetMode="External"/><Relationship Id="rId519" Type="http://schemas.openxmlformats.org/officeDocument/2006/relationships/hyperlink" Target="https://mgg.stores-apple.com/catalog/smartfon-samsung-galaxy-s25-256-gb-temno-seryy/" TargetMode="External"/><Relationship Id="rId514" Type="http://schemas.openxmlformats.org/officeDocument/2006/relationships/hyperlink" Target="https://mgg.stores-apple.com/catalog/smartfon-samsung-galaxy-s25-128-gb-korallovyy/" TargetMode="External"/><Relationship Id="rId998" Type="http://schemas.openxmlformats.org/officeDocument/2006/relationships/hyperlink" Target="https://mgg.stores-apple.com/catalog/planshet-apple-ipad-pro-2025-m5-13-wi-fi-cellular-2048-gb-serebristyj-nano/" TargetMode="External"/><Relationship Id="rId513" Type="http://schemas.openxmlformats.org/officeDocument/2006/relationships/hyperlink" Target="https://mgg.stores-apple.com/catalog/smartfon-samsung-galaxy-s25-128-gb-rozovyy/" TargetMode="External"/><Relationship Id="rId997" Type="http://schemas.openxmlformats.org/officeDocument/2006/relationships/hyperlink" Target="https://mgg.stores-apple.com/catalog/planshet-apple-ipad-pro-2025-m5-13-wi-fi-cellular-2048-gb-seryj-kosmos-nano/" TargetMode="External"/><Relationship Id="rId512" Type="http://schemas.openxmlformats.org/officeDocument/2006/relationships/hyperlink" Target="https://mgg.stores-apple.com/catalog/smartfon-samsung-galaxy-s25-128-gb-goluboy/" TargetMode="External"/><Relationship Id="rId996" Type="http://schemas.openxmlformats.org/officeDocument/2006/relationships/hyperlink" Target="https://mgg.stores-apple.com/catalog/planshet-apple-ipad-pro-2025-m5-13-wi-fi-cellular-2048-gb-serebristyj/" TargetMode="External"/><Relationship Id="rId511" Type="http://schemas.openxmlformats.org/officeDocument/2006/relationships/hyperlink" Target="https://mgg.stores-apple.com/catalog/smartfon-samsung-galaxy-s24-12256-gb-chernyy/" TargetMode="External"/><Relationship Id="rId995" Type="http://schemas.openxmlformats.org/officeDocument/2006/relationships/hyperlink" Target="https://mgg.stores-apple.com/catalog/planshet-apple-ipad-pro-2025-m5-13-wi-fi-cellular-2048-gb-seryj-kosmos/" TargetMode="External"/><Relationship Id="rId518" Type="http://schemas.openxmlformats.org/officeDocument/2006/relationships/hyperlink" Target="https://mgg.stores-apple.com/catalog/smartfon-samsung-galaxy-s25-fe-8-512-sinii/" TargetMode="External"/><Relationship Id="rId517" Type="http://schemas.openxmlformats.org/officeDocument/2006/relationships/hyperlink" Target="https://mgg.stores-apple.com/catalog/smartfon_samsung_galaxy_s26_fe_128_gb_fioletovyy/" TargetMode="External"/><Relationship Id="rId516" Type="http://schemas.openxmlformats.org/officeDocument/2006/relationships/hyperlink" Target="https://mgg.stores-apple.com/catalog/smartfon_samsung_galaxy_s26_fe_128_gb_zelenyy/" TargetMode="External"/><Relationship Id="rId515" Type="http://schemas.openxmlformats.org/officeDocument/2006/relationships/hyperlink" Target="https://mgg.stores-apple.com/catalog/smartfon_samsung_galaxy_s26_fe_128_gb_chernyy/" TargetMode="External"/><Relationship Id="rId999" Type="http://schemas.openxmlformats.org/officeDocument/2006/relationships/hyperlink" Target="https://mgg.stores-apple.com/catalog/planshet-apple-ipad-air-2025-m3-11-wi-fi-128-gb-goluboj/" TargetMode="External"/><Relationship Id="rId990" Type="http://schemas.openxmlformats.org/officeDocument/2006/relationships/hyperlink" Target="https://mgg.stores-apple.com/catalog/planshet-apple-ipad-pro-2025-m5-13-wi-fi-2048-gb-serebristyj/" TargetMode="External"/><Relationship Id="rId510" Type="http://schemas.openxmlformats.org/officeDocument/2006/relationships/hyperlink" Target="https://mgg.stores-apple.com/catalog/smartfon-samsung-galaxy-s24-12256-gb-seryy/" TargetMode="External"/><Relationship Id="rId994" Type="http://schemas.openxmlformats.org/officeDocument/2006/relationships/hyperlink" Target="https://mgg.stores-apple.com/catalog/planshet-apple-ipad-pro-2025-m5-13-wi-fi-2048-gb-serebristyj-nano/" TargetMode="External"/><Relationship Id="rId993" Type="http://schemas.openxmlformats.org/officeDocument/2006/relationships/hyperlink" Target="https://mgg.stores-apple.com/catalog/planshet-apple-ipad-pro-2025-m5-13-wi-fi-2048-gb-seryj-kosmos-nano/" TargetMode="External"/><Relationship Id="rId1100" Type="http://schemas.openxmlformats.org/officeDocument/2006/relationships/hyperlink" Target="https://mgg.stores-apple.com/catalog/planshet-apple-ipad-11-a16-2025-wi-fi-128-gb-rozovyj/" TargetMode="External"/><Relationship Id="rId992" Type="http://schemas.openxmlformats.org/officeDocument/2006/relationships/hyperlink" Target="https://mgg.stores-apple.com/catalog/planshet-apple-ipad-pro-2024-m4-11-wi-fi-cellular-2048-gb-chernyj-kosmos/" TargetMode="External"/><Relationship Id="rId1101" Type="http://schemas.openxmlformats.org/officeDocument/2006/relationships/hyperlink" Target="https://mgg.stores-apple.com/catalog/planshet-apple-ipad-11-a16-2025-wi-fi-128-gb-serebristyj/" TargetMode="External"/><Relationship Id="rId991" Type="http://schemas.openxmlformats.org/officeDocument/2006/relationships/hyperlink" Target="https://mgg.stores-apple.com/catalog/planshet-apple-ipad-pro-2024-m4-11-wi-fi-cellular-2048-gb-serebristyj/" TargetMode="External"/><Relationship Id="rId1102" Type="http://schemas.openxmlformats.org/officeDocument/2006/relationships/hyperlink" Target="https://mgg.stores-apple.com/catalog/planshet-apple-ipad-11-a16-2025-wi-fi-256-gb-goluboj/" TargetMode="External"/><Relationship Id="rId1532" Type="http://schemas.openxmlformats.org/officeDocument/2006/relationships/hyperlink" Target="https://mgg.stores-apple.com/catalog/besprovodnye_naushniki_apple_airpods_max_2_siniy/" TargetMode="External"/><Relationship Id="rId1533" Type="http://schemas.openxmlformats.org/officeDocument/2006/relationships/hyperlink" Target="https://mgg.stores-apple.com/catalog/kolonka-yandeks-stanciya-duo-maks-zelenyj/" TargetMode="External"/><Relationship Id="rId1534" Type="http://schemas.openxmlformats.org/officeDocument/2006/relationships/hyperlink" Target="https://mgg.stores-apple.com/catalog/kolonka-yandeks-stanciya-duo-maks-krasnyj/" TargetMode="External"/><Relationship Id="rId1535" Type="http://schemas.openxmlformats.org/officeDocument/2006/relationships/hyperlink" Target="https://mgg.stores-apple.com/catalog/kolonka-yandeks-stanciya-duo-maks-chernyj/" TargetMode="External"/><Relationship Id="rId1536" Type="http://schemas.openxmlformats.org/officeDocument/2006/relationships/hyperlink" Target="https://mgg.stores-apple.com/catalog/kolonka-yandeks-stanciya-duo-maks-bezhevyj/" TargetMode="External"/><Relationship Id="rId1537" Type="http://schemas.openxmlformats.org/officeDocument/2006/relationships/hyperlink" Target="https://mgg.stores-apple.com/catalog/naushniki_apple_airpods_5_belye_s_shumopodavleniem/" TargetMode="External"/><Relationship Id="rId1538" Type="http://schemas.openxmlformats.org/officeDocument/2006/relationships/hyperlink" Target="https://mgg.stores-apple.com/catalog/naushniki_apple_airpods_5_belye_s_shumopodavleniem_zaryadnyy_keys/" TargetMode="External"/><Relationship Id="rId1539" Type="http://schemas.openxmlformats.org/officeDocument/2006/relationships/hyperlink" Target="https://mgg.stores-apple.com/catalog/portativnaya_audiosistema_jbl_partybox_1100_ultimate_chernyy/" TargetMode="External"/><Relationship Id="rId949" Type="http://schemas.openxmlformats.org/officeDocument/2006/relationships/hyperlink" Target="https://mgg.stores-apple.com/catalog/planshet-apple-ipad-pro-2025-m5-11-wi-fi-1024-gb-seryj-kosmos/" TargetMode="External"/><Relationship Id="rId948" Type="http://schemas.openxmlformats.org/officeDocument/2006/relationships/hyperlink" Target="https://mgg.stores-apple.com/catalog/planshet-apple-ipad-pro-2024-m4-11-wi-fi-cellular-512-gb-serebristyj/" TargetMode="External"/><Relationship Id="rId943" Type="http://schemas.openxmlformats.org/officeDocument/2006/relationships/hyperlink" Target="https://mgg.stores-apple.com/catalog/planshet-apple-ipad-pro-2025-m5-13-wi-fi-512-gb-seryj-kosmos/" TargetMode="External"/><Relationship Id="rId942" Type="http://schemas.openxmlformats.org/officeDocument/2006/relationships/hyperlink" Target="https://mgg.stores-apple.com/catalog/planshet-apple-ipad-pro-2025-m5-13-wi-fi-cellular-256-gb-serebristyj/" TargetMode="External"/><Relationship Id="rId941" Type="http://schemas.openxmlformats.org/officeDocument/2006/relationships/hyperlink" Target="https://mgg.stores-apple.com/catalog/planshet-apple-ipad-pro-2025-m5-13-wi-fi-cellular-256-gb-seryj-kosmos/" TargetMode="External"/><Relationship Id="rId940" Type="http://schemas.openxmlformats.org/officeDocument/2006/relationships/hyperlink" Target="https://mgg.stores-apple.com/catalog/planshet-apple-ipad-pro-2025-m5-11-wi-fi-cellular-512-gb-seryj-kosmos-nano/" TargetMode="External"/><Relationship Id="rId947" Type="http://schemas.openxmlformats.org/officeDocument/2006/relationships/hyperlink" Target="https://mgg.stores-apple.com/catalog/planshet-apple-ipad-pro-2024-m4-11-wi-fi-cellular-512-gb-chernyj-kosmos/" TargetMode="External"/><Relationship Id="rId946" Type="http://schemas.openxmlformats.org/officeDocument/2006/relationships/hyperlink" Target="https://mgg.stores-apple.com/catalog/planshet-apple-ipad-pro-2024-m4-13-wi-fi-cellular-512-gb-chernyj-kosmos/" TargetMode="External"/><Relationship Id="rId945" Type="http://schemas.openxmlformats.org/officeDocument/2006/relationships/hyperlink" Target="https://mgg.stores-apple.com/catalog/planshet-apple-ipad-pro-2024-m4-13-wi-fi-cellular-512-gb-serebristyj/" TargetMode="External"/><Relationship Id="rId944" Type="http://schemas.openxmlformats.org/officeDocument/2006/relationships/hyperlink" Target="https://mgg.stores-apple.com/catalog/planshet-apple-ipad-pro-2025-m5-13-wi-fi-512-gb-serebristyj/" TargetMode="External"/><Relationship Id="rId1530" Type="http://schemas.openxmlformats.org/officeDocument/2006/relationships/hyperlink" Target="https://mgg.stores-apple.com/catalog/besprovodnye_naushniki_apple_airpods_max_2_oranzhevyy/" TargetMode="External"/><Relationship Id="rId1531" Type="http://schemas.openxmlformats.org/officeDocument/2006/relationships/hyperlink" Target="https://mgg.stores-apple.com/catalog/besprovodnye_naushniki_apple_airpods_max_2_polunochnyy_chernyy/" TargetMode="External"/><Relationship Id="rId1521" Type="http://schemas.openxmlformats.org/officeDocument/2006/relationships/hyperlink" Target="https://mgg.stores-apple.com/catalog/kolonka-yandeks-stanciya-maks-bezhevaya/" TargetMode="External"/><Relationship Id="rId1522" Type="http://schemas.openxmlformats.org/officeDocument/2006/relationships/hyperlink" Target="https://mgg.stores-apple.com/catalog/besprovodnye-naushniki-apple-airpods-max-fioletovyj/" TargetMode="External"/><Relationship Id="rId1523" Type="http://schemas.openxmlformats.org/officeDocument/2006/relationships/hyperlink" Target="https://mgg.stores-apple.com/catalog/umnaya-kolonka-apple-homepod-2-belaya/" TargetMode="External"/><Relationship Id="rId1524" Type="http://schemas.openxmlformats.org/officeDocument/2006/relationships/hyperlink" Target="https://mgg.stores-apple.com/catalog/umnaya-kolonka-apple-homepod-2-seraja/" TargetMode="External"/><Relationship Id="rId1525" Type="http://schemas.openxmlformats.org/officeDocument/2006/relationships/hyperlink" Target="https://mgg.stores-apple.com/catalog/besprovodnye-naushniki-apple-airpods-max-apelsin/" TargetMode="External"/><Relationship Id="rId1526" Type="http://schemas.openxmlformats.org/officeDocument/2006/relationships/hyperlink" Target="https://mgg.stores-apple.com/catalog/besprovodnye-naushniki-apple-airpods-max-lunnyj-svet/" TargetMode="External"/><Relationship Id="rId1527" Type="http://schemas.openxmlformats.org/officeDocument/2006/relationships/hyperlink" Target="https://mgg.stores-apple.com/catalog/besprovodnye-naushniki-apple-airpods-max-sinij/" TargetMode="External"/><Relationship Id="rId1528" Type="http://schemas.openxmlformats.org/officeDocument/2006/relationships/hyperlink" Target="https://mgg.stores-apple.com/catalog/besprovodnye_naushniki_apple_airpods_max_2_fioletovyy/" TargetMode="External"/><Relationship Id="rId1529" Type="http://schemas.openxmlformats.org/officeDocument/2006/relationships/hyperlink" Target="https://mgg.stores-apple.com/catalog/besprovodnye_naushniki_apple_airpods_max_2_siyayushchaya_zvezda/" TargetMode="External"/><Relationship Id="rId939" Type="http://schemas.openxmlformats.org/officeDocument/2006/relationships/hyperlink" Target="https://mgg.stores-apple.com/catalog/planshet-apple-ipad-pro-2025-m5-11-wi-fi-cellular-512-gb-serebristyj/" TargetMode="External"/><Relationship Id="rId938" Type="http://schemas.openxmlformats.org/officeDocument/2006/relationships/hyperlink" Target="https://mgg.stores-apple.com/catalog/planshet-apple-ipad-pro-2025-m5-11-wi-fi-512-gb-serebristyj/" TargetMode="External"/><Relationship Id="rId937" Type="http://schemas.openxmlformats.org/officeDocument/2006/relationships/hyperlink" Target="https://mgg.stores-apple.com/catalog/planshet-apple-ipad-pro-2024-m4-13-wi-fi-512-gb-serebristyj/" TargetMode="External"/><Relationship Id="rId932" Type="http://schemas.openxmlformats.org/officeDocument/2006/relationships/hyperlink" Target="https://mgg.stores-apple.com/catalog/planshet-apple-ipad-pro-2025-m5-13-wi-fi-256-gb-serebristyj/" TargetMode="External"/><Relationship Id="rId931" Type="http://schemas.openxmlformats.org/officeDocument/2006/relationships/hyperlink" Target="https://mgg.stores-apple.com/catalog/planshet-apple-ipad-pro-2024-m4-13-wi-fi-cellular-256-gb-chernyj-kosmos/" TargetMode="External"/><Relationship Id="rId930" Type="http://schemas.openxmlformats.org/officeDocument/2006/relationships/hyperlink" Target="https://mgg.stores-apple.com/catalog/planshet-apple-ipad-pro-2024-m4-13-wi-fi-cellular-256-gb-serebristyj/" TargetMode="External"/><Relationship Id="rId936" Type="http://schemas.openxmlformats.org/officeDocument/2006/relationships/hyperlink" Target="https://mgg.stores-apple.com/catalog/planshet-apple-ipad-pro-2025-m5-11-wi-fi-cellular-256-gb-serebristyj/" TargetMode="External"/><Relationship Id="rId935" Type="http://schemas.openxmlformats.org/officeDocument/2006/relationships/hyperlink" Target="https://mgg.stores-apple.com/catalog/planshet-apple-ipad-pro-2024-m4-13-wi-fi-512-gb-chernyj-kosmos/" TargetMode="External"/><Relationship Id="rId934" Type="http://schemas.openxmlformats.org/officeDocument/2006/relationships/hyperlink" Target="https://mgg.stores-apple.com/catalog/planshet-apple-ipad-pro-2025-m5-13-wi-fi-256-gb-seryj-kosmos/" TargetMode="External"/><Relationship Id="rId933" Type="http://schemas.openxmlformats.org/officeDocument/2006/relationships/hyperlink" Target="https://mgg.stores-apple.com/catalog/planshet-apple-ipad-pro-2025-m5-11-wi-fi-512-gb-seryj-kosmos/" TargetMode="External"/><Relationship Id="rId1520" Type="http://schemas.openxmlformats.org/officeDocument/2006/relationships/hyperlink" Target="https://mgg.stores-apple.com/catalog/kolonka-yandeks-stanciya-maks-zelenyj/" TargetMode="External"/><Relationship Id="rId1554" Type="http://schemas.openxmlformats.org/officeDocument/2006/relationships/drawing" Target="../drawings/drawing7.xml"/><Relationship Id="rId965" Type="http://schemas.openxmlformats.org/officeDocument/2006/relationships/hyperlink" Target="https://mgg.stores-apple.com/catalog/planshet-apple-ipad-pro-2024-m4-13-wi-fi-1024-gb-chernyj-kosmos/" TargetMode="External"/><Relationship Id="rId964" Type="http://schemas.openxmlformats.org/officeDocument/2006/relationships/hyperlink" Target="https://mgg.stores-apple.com/catalog/planshet-apple-ipad-pro-2025-m5-13-wi-fi-cellular-512-gb-serebristyj/" TargetMode="External"/><Relationship Id="rId963" Type="http://schemas.openxmlformats.org/officeDocument/2006/relationships/hyperlink" Target="https://mgg.stores-apple.com/catalog/planshet-apple-ipad-pro-2025-m5-13-wi-fi-cellular-512-gb-seryj-kosmos/" TargetMode="External"/><Relationship Id="rId962" Type="http://schemas.openxmlformats.org/officeDocument/2006/relationships/hyperlink" Target="https://mgg.stores-apple.com/catalog/planshet-apple-ipad-pro-2025-m5-11-wi-fi-cellular-1024-gb-serebristyj-nano/" TargetMode="External"/><Relationship Id="rId969" Type="http://schemas.openxmlformats.org/officeDocument/2006/relationships/hyperlink" Target="https://mgg.stores-apple.com/catalog/planshet-apple-ipad-pro-2025-m5-11-wi-fi-2048-gb-seryj-kosmos/" TargetMode="External"/><Relationship Id="rId968" Type="http://schemas.openxmlformats.org/officeDocument/2006/relationships/hyperlink" Target="https://mgg.stores-apple.com/catalog/planshet-apple-ipad-pro-2024-m4-11-wi-fi-2048-gb-chernyj-kosmos/" TargetMode="External"/><Relationship Id="rId967" Type="http://schemas.openxmlformats.org/officeDocument/2006/relationships/hyperlink" Target="https://mgg.stores-apple.com/catalog/planshet-apple-ipad-pro-2024-m4-11-wi-fi-2048-gb-serebristyj/" TargetMode="External"/><Relationship Id="rId966" Type="http://schemas.openxmlformats.org/officeDocument/2006/relationships/hyperlink" Target="https://mgg.stores-apple.com/catalog/planshet-apple-ipad-pro-2024-m4-13-wi-fi-1024-gb-serebristyj/" TargetMode="External"/><Relationship Id="rId961" Type="http://schemas.openxmlformats.org/officeDocument/2006/relationships/hyperlink" Target="https://mgg.stores-apple.com/catalog/planshet-apple-ipad-pro-2025-m5-11-wi-fi-cellular-1024-gb-seryj-kosmos-nano/" TargetMode="External"/><Relationship Id="rId1550" Type="http://schemas.openxmlformats.org/officeDocument/2006/relationships/hyperlink" Target="https://mgg.stores-apple.com/catalog/ochki-virtualnoy-realnosti-apple-vision-pro-m5-1024-gb/" TargetMode="External"/><Relationship Id="rId960" Type="http://schemas.openxmlformats.org/officeDocument/2006/relationships/hyperlink" Target="https://mgg.stores-apple.com/catalog/planshet-apple-ipad-pro-2025-m5-11-wi-fi-cellular-1024-gb-serebristyj/" TargetMode="External"/><Relationship Id="rId1551" Type="http://schemas.openxmlformats.org/officeDocument/2006/relationships/hyperlink" Target="https://mgg.stores-apple.com/catalog/mikrofonnaya_sistema_dji_mic_mini_2_tx_1_rx_charging_case/" TargetMode="External"/><Relationship Id="rId1552" Type="http://schemas.openxmlformats.org/officeDocument/2006/relationships/hyperlink" Target="https://mgg.stores-apple.com/catalog/mikrofonnaya_sistema_dji_mic_mini_2s_2_tx_1_rx_charging_case/" TargetMode="External"/><Relationship Id="rId1553" Type="http://schemas.openxmlformats.org/officeDocument/2006/relationships/hyperlink" Target="https://mgg.stores-apple.com/catalog/mikrofonnaya_sistema_dji_mic_3_2_tx_1_rx_charging_case/" TargetMode="External"/><Relationship Id="rId1543" Type="http://schemas.openxmlformats.org/officeDocument/2006/relationships/hyperlink" Target="https://mgg.stores-apple.com/catalog/mediapleer-apple-tv-4k-64-gb-3go-pokoleniya/" TargetMode="External"/><Relationship Id="rId1544" Type="http://schemas.openxmlformats.org/officeDocument/2006/relationships/hyperlink" Target="https://mgg.stores-apple.com/catalog/mediapleer-apple-tv-4k-128-gb-3go-pokoleniya/" TargetMode="External"/><Relationship Id="rId1545" Type="http://schemas.openxmlformats.org/officeDocument/2006/relationships/hyperlink" Target="https://mgg.stores-apple.com/catalog/sistema-virtualnoy-realnosti-sony-playstation-vr-2-belyy/" TargetMode="External"/><Relationship Id="rId1546" Type="http://schemas.openxmlformats.org/officeDocument/2006/relationships/hyperlink" Target="https://mgg.stores-apple.com/catalog/ochki-virtualnoy-realnosti-oculus-quest-3s-128-gb/" TargetMode="External"/><Relationship Id="rId1547" Type="http://schemas.openxmlformats.org/officeDocument/2006/relationships/hyperlink" Target="https://mgg.stores-apple.com/catalog/ochki-virtualnoy-realnosti-oculus-quest-3s-256-gb/" TargetMode="External"/><Relationship Id="rId1548" Type="http://schemas.openxmlformats.org/officeDocument/2006/relationships/hyperlink" Target="https://mgg.stores-apple.com/catalog/ochki-virtualnoy-realnosti-apple-vision-pro-m5-256-gb/" TargetMode="External"/><Relationship Id="rId1549" Type="http://schemas.openxmlformats.org/officeDocument/2006/relationships/hyperlink" Target="https://mgg.stores-apple.com/catalog/ochki-virtualnoy-realnosti-apple-vision-pro-m5-512-gb/" TargetMode="External"/><Relationship Id="rId959" Type="http://schemas.openxmlformats.org/officeDocument/2006/relationships/hyperlink" Target="https://mgg.stores-apple.com/catalog/planshet-apple-ipad-pro-2024-m4-13-wi-fi-cellular-1024-gb-serebristyj/" TargetMode="External"/><Relationship Id="rId954" Type="http://schemas.openxmlformats.org/officeDocument/2006/relationships/hyperlink" Target="https://mgg.stores-apple.com/catalog/planshet-apple-ipad-pro-2025-m5-11-wi-fi-1024-gb-serebristyj-nano/" TargetMode="External"/><Relationship Id="rId953" Type="http://schemas.openxmlformats.org/officeDocument/2006/relationships/hyperlink" Target="https://mgg.stores-apple.com/catalog/planshet-apple-ipad-pro-2025-m5-11-wi-fi-1024-gb-seryj-kosmos-nano/" TargetMode="External"/><Relationship Id="rId952" Type="http://schemas.openxmlformats.org/officeDocument/2006/relationships/hyperlink" Target="https://mgg.stores-apple.com/catalog/planshet-apple-ipad-pro-2024-m4-11-wi-fi-1024-gb-chernyj-kosmos/" TargetMode="External"/><Relationship Id="rId951" Type="http://schemas.openxmlformats.org/officeDocument/2006/relationships/hyperlink" Target="https://mgg.stores-apple.com/catalog/planshet-apple-ipad-pro-2024-m4-11-wi-fi-1024-gb-serebristyj/" TargetMode="External"/><Relationship Id="rId958" Type="http://schemas.openxmlformats.org/officeDocument/2006/relationships/hyperlink" Target="https://mgg.stores-apple.com/catalog/planshet-apple-ipad-pro-2024-m4-13-wi-fi-cellular-1024-gb-chernyj-kosmos/" TargetMode="External"/><Relationship Id="rId957" Type="http://schemas.openxmlformats.org/officeDocument/2006/relationships/hyperlink" Target="https://mgg.stores-apple.com/catalog/planshet-apple-ipad-pro-2025-m5-11-wi-fi-cellular-1024-gb-seryj-kosmos/" TargetMode="External"/><Relationship Id="rId956" Type="http://schemas.openxmlformats.org/officeDocument/2006/relationships/hyperlink" Target="https://mgg.stores-apple.com/catalog/planshet-apple-ipad-pro-2024-m4-11-wi-fi-cellular-1024-gb-chernyj-kosmos/" TargetMode="External"/><Relationship Id="rId955" Type="http://schemas.openxmlformats.org/officeDocument/2006/relationships/hyperlink" Target="https://mgg.stores-apple.com/catalog/planshet-apple-ipad-pro-2024-m4-11-wi-fi-cellular-1024-gb-serebristyj/" TargetMode="External"/><Relationship Id="rId950" Type="http://schemas.openxmlformats.org/officeDocument/2006/relationships/hyperlink" Target="https://mgg.stores-apple.com/catalog/planshet-apple-ipad-pro-2025-m5-11-wi-fi-1024-gb-serebristyj/" TargetMode="External"/><Relationship Id="rId1540" Type="http://schemas.openxmlformats.org/officeDocument/2006/relationships/hyperlink" Target="https://mgg.stores-apple.com/catalog/portativnaya_kolonka_jbl_charge_6_chernaya_oranzhevaya/" TargetMode="External"/><Relationship Id="rId1541" Type="http://schemas.openxmlformats.org/officeDocument/2006/relationships/hyperlink" Target="https://mgg.stores-apple.com/catalog/mediapleer_apple_tv_4k_64_gb_4_go_pokoleniya/" TargetMode="External"/><Relationship Id="rId1542" Type="http://schemas.openxmlformats.org/officeDocument/2006/relationships/hyperlink" Target="https://mgg.stores-apple.com/catalog/mediapleer_apple_tv_4k_128_gb_4_go_pokoleniya/" TargetMode="External"/><Relationship Id="rId590" Type="http://schemas.openxmlformats.org/officeDocument/2006/relationships/hyperlink" Target="https://mgg.stores-apple.com/catalog/smartfon_samsung_galaxy_z_flip_8_12_256_gb_seryy/" TargetMode="External"/><Relationship Id="rId107" Type="http://schemas.openxmlformats.org/officeDocument/2006/relationships/hyperlink" Target="https://mgg.stores-apple.com/catalog/smartfon_apple_iphone_17_512_gb_goluboy_nano_sim_esim/" TargetMode="External"/><Relationship Id="rId106" Type="http://schemas.openxmlformats.org/officeDocument/2006/relationships/hyperlink" Target="https://mgg.stores-apple.com/catalog/smartfon_apple_iphone_17_512_gb_zelenyy_nano_sim_esim/" TargetMode="External"/><Relationship Id="rId105" Type="http://schemas.openxmlformats.org/officeDocument/2006/relationships/hyperlink" Target="https://mgg.stores-apple.com/catalog/smartfon_apple_iphone_17_512_gb_lavandovyy_nano_sim_esim/" TargetMode="External"/><Relationship Id="rId589" Type="http://schemas.openxmlformats.org/officeDocument/2006/relationships/hyperlink" Target="https://mgg.stores-apple.com/catalog/smartfon_samsung_galaxy_z_flip_8_12_256_gb_bezhevyy/" TargetMode="External"/><Relationship Id="rId104" Type="http://schemas.openxmlformats.org/officeDocument/2006/relationships/hyperlink" Target="https://mgg.stores-apple.com/catalog/smartfon_apple_iphone_17_512_gb_chernyy_nano_sim_esim/" TargetMode="External"/><Relationship Id="rId588" Type="http://schemas.openxmlformats.org/officeDocument/2006/relationships/hyperlink" Target="https://mgg.stores-apple.com/catalog/smartfon-samsung-galaxy-z-flip7-fe-8-256-gb-belyj/" TargetMode="External"/><Relationship Id="rId109" Type="http://schemas.openxmlformats.org/officeDocument/2006/relationships/hyperlink" Target="https://mgg.stores-apple.com/catalog/smartfon_apple_iphone_17_256_gb_chernyy_nano_sim_esim/" TargetMode="External"/><Relationship Id="rId1170" Type="http://schemas.openxmlformats.org/officeDocument/2006/relationships/hyperlink" Target="https://mgg.stores-apple.com/catalog/planshet-samsung-galaxy-tab-s11-ultra-wifi-512-gb-serebro/" TargetMode="External"/><Relationship Id="rId108" Type="http://schemas.openxmlformats.org/officeDocument/2006/relationships/hyperlink" Target="https://mgg.stores-apple.com/catalog/smartfon_apple_iphone_17_512_gb_belyy_nano_sim_esim/" TargetMode="External"/><Relationship Id="rId1171" Type="http://schemas.openxmlformats.org/officeDocument/2006/relationships/hyperlink" Target="https://mgg.stores-apple.com/catalog/planshet-samsung-galaxy-tab-s11-ultra-lte-256-gb-serebro/" TargetMode="External"/><Relationship Id="rId583" Type="http://schemas.openxmlformats.org/officeDocument/2006/relationships/hyperlink" Target="https://mgg.stores-apple.com/catalog/smartfon_samsung_galaxy_s26_ultra_1024_gb_white_shadow/" TargetMode="External"/><Relationship Id="rId1172" Type="http://schemas.openxmlformats.org/officeDocument/2006/relationships/hyperlink" Target="https://mgg.stores-apple.com/catalog/planshet-samsung-galaxy-tab-s11-ultra-lte-256-gb-seryy/" TargetMode="External"/><Relationship Id="rId582" Type="http://schemas.openxmlformats.org/officeDocument/2006/relationships/hyperlink" Target="https://mgg.stores-apple.com/catalog/smartfon_samsung_galaxy_s26_ultra_16_1024_gb_pink_gold_rozovoe_zoloto/" TargetMode="External"/><Relationship Id="rId1173" Type="http://schemas.openxmlformats.org/officeDocument/2006/relationships/hyperlink" Target="https://mgg.stores-apple.com/catalog/planshet-samsung-galaxy-tab-s11-ultra-lte-512-gb-seryy/" TargetMode="External"/><Relationship Id="rId581" Type="http://schemas.openxmlformats.org/officeDocument/2006/relationships/hyperlink" Target="https://mgg.stores-apple.com/catalog/smartfon_samsung_galaxy_s26_ultra_16_1024_gb_silver_shadow_serebryanaya_ten/" TargetMode="External"/><Relationship Id="rId1174" Type="http://schemas.openxmlformats.org/officeDocument/2006/relationships/hyperlink" Target="https://mgg.stores-apple.com/catalog/planshet-samsung-galaxy-tab-s11-ultra-lte-512-gb-serebro/" TargetMode="External"/><Relationship Id="rId580" Type="http://schemas.openxmlformats.org/officeDocument/2006/relationships/hyperlink" Target="https://mgg.stores-apple.com/catalog/smartfon_samsung_galaxy_s26_ultra_1024_gb_sky_blue/" TargetMode="External"/><Relationship Id="rId1175" Type="http://schemas.openxmlformats.org/officeDocument/2006/relationships/hyperlink" Target="https://mgg.stores-apple.com/catalog/planshet-samsung-galaxy-tab-s11-ultra-wifi-1024-gb-serebro/" TargetMode="External"/><Relationship Id="rId103" Type="http://schemas.openxmlformats.org/officeDocument/2006/relationships/hyperlink" Target="https://mgg.stores-apple.com/catalog/smartfon_apple_iphone_17_256_gb_belyy_esim_aktiv/" TargetMode="External"/><Relationship Id="rId587" Type="http://schemas.openxmlformats.org/officeDocument/2006/relationships/hyperlink" Target="https://mgg.stores-apple.com/catalog/smartfon-samsung-galaxy-z-flip7-fe-8-256-gb-miatnyj/" TargetMode="External"/><Relationship Id="rId1176" Type="http://schemas.openxmlformats.org/officeDocument/2006/relationships/hyperlink" Target="https://mgg.stores-apple.com/catalog/planshet-samsung-galaxy-tab-s11-ultra-wifi-1024-gb-seryy/" TargetMode="External"/><Relationship Id="rId102" Type="http://schemas.openxmlformats.org/officeDocument/2006/relationships/hyperlink" Target="https://mgg.stores-apple.com/catalog/smartfon_apple_iphone_17_256_gb_goluboy_esim_aktiv/" TargetMode="External"/><Relationship Id="rId586" Type="http://schemas.openxmlformats.org/officeDocument/2006/relationships/hyperlink" Target="https://mgg.stores-apple.com/catalog/smartfon-samsung-galaxy-z-flip7-fe-8-128-gb-miatnyj/" TargetMode="External"/><Relationship Id="rId1177" Type="http://schemas.openxmlformats.org/officeDocument/2006/relationships/hyperlink" Target="https://mgg.stores-apple.com/catalog/planshet-samsung-galaxy-tab-s11-ultra-lte-1024-gb-seryy/" TargetMode="External"/><Relationship Id="rId101" Type="http://schemas.openxmlformats.org/officeDocument/2006/relationships/hyperlink" Target="https://mgg.stores-apple.com/catalog/smartfon_apple_iphone_17_256_gb_zelenyy_esim_aktiv/" TargetMode="External"/><Relationship Id="rId585" Type="http://schemas.openxmlformats.org/officeDocument/2006/relationships/hyperlink" Target="https://mgg.stores-apple.com/catalog/smartfon-samsung-galaxy-z-flip7-fe-8-128-gb-belyj/" TargetMode="External"/><Relationship Id="rId1178" Type="http://schemas.openxmlformats.org/officeDocument/2006/relationships/hyperlink" Target="https://mgg.stores-apple.com/catalog/planshet-samsung-galaxy-tab-s11-ultra-lte-1024-gb-serebro/" TargetMode="External"/><Relationship Id="rId100" Type="http://schemas.openxmlformats.org/officeDocument/2006/relationships/hyperlink" Target="https://mgg.stores-apple.com/catalog/smartfon_apple_iphone_17_256_gb_lavandovyy_esim_aktiv/" TargetMode="External"/><Relationship Id="rId584" Type="http://schemas.openxmlformats.org/officeDocument/2006/relationships/hyperlink" Target="https://mgg.stores-apple.com/catalog/smartfon_samsung_galaxy_s26_ultra_12_256_gb_black_shadow/" TargetMode="External"/><Relationship Id="rId1179" Type="http://schemas.openxmlformats.org/officeDocument/2006/relationships/hyperlink" Target="https://mgg.stores-apple.com/catalog/planshet-xiaomi-pad-7-8-128gb-wifi-seryy/" TargetMode="External"/><Relationship Id="rId1169" Type="http://schemas.openxmlformats.org/officeDocument/2006/relationships/hyperlink" Target="https://mgg.stores-apple.com/catalog/planshet-samsung-galaxy-tab-s11-ultra-wifi-512-gb-seryy/" TargetMode="External"/><Relationship Id="rId579" Type="http://schemas.openxmlformats.org/officeDocument/2006/relationships/hyperlink" Target="https://mgg.stores-apple.com/catalog/smartfon_samsung_galaxy_s26_ultra_12_512_gb_silver_shadow_serebryanaya_ten/" TargetMode="External"/><Relationship Id="rId578" Type="http://schemas.openxmlformats.org/officeDocument/2006/relationships/hyperlink" Target="https://mgg.stores-apple.com/catalog/smartfon_samsung_galaxy_s26_ultra_512_gb_sky_blue/" TargetMode="External"/><Relationship Id="rId577" Type="http://schemas.openxmlformats.org/officeDocument/2006/relationships/hyperlink" Target="https://mgg.stores-apple.com/catalog/smartfon-samsung-galaxy-s25-ultra-1024-gb-siniy-titan/" TargetMode="External"/><Relationship Id="rId1160" Type="http://schemas.openxmlformats.org/officeDocument/2006/relationships/hyperlink" Target="https://mgg.stores-apple.com/catalog/planshet-samsung-galaxy-tab-s11-lte-128-gb-serebro/" TargetMode="External"/><Relationship Id="rId572" Type="http://schemas.openxmlformats.org/officeDocument/2006/relationships/hyperlink" Target="https://mgg.stores-apple.com/catalog/smartfon_samsung_galaxy_s26_512_gb_white_belyy/" TargetMode="External"/><Relationship Id="rId1161" Type="http://schemas.openxmlformats.org/officeDocument/2006/relationships/hyperlink" Target="https://mgg.stores-apple.com/catalog/planshet-samsung-galaxy-tab-s11-wifi-512-gb-serebro/" TargetMode="External"/><Relationship Id="rId571" Type="http://schemas.openxmlformats.org/officeDocument/2006/relationships/hyperlink" Target="https://mgg.stores-apple.com/catalog/smartfon_samsung_galaxy_s26_512_gb_blue_goluboy_1/" TargetMode="External"/><Relationship Id="rId1162" Type="http://schemas.openxmlformats.org/officeDocument/2006/relationships/hyperlink" Target="https://mgg.stores-apple.com/catalog/planshet-samsung-galaxy-tab-s11-wifi-512-gb-seryy/" TargetMode="External"/><Relationship Id="rId570" Type="http://schemas.openxmlformats.org/officeDocument/2006/relationships/hyperlink" Target="https://mgg.stores-apple.com/catalog/smartfon_samsung_galaxy_s26_12_512_gb_silver_shadow_serebryanaya_ten_1/" TargetMode="External"/><Relationship Id="rId1163" Type="http://schemas.openxmlformats.org/officeDocument/2006/relationships/hyperlink" Target="https://mgg.stores-apple.com/catalog/planshet-samsung-galaxy-tab-s11-lte-256-gb-seryy/" TargetMode="External"/><Relationship Id="rId1164" Type="http://schemas.openxmlformats.org/officeDocument/2006/relationships/hyperlink" Target="https://mgg.stores-apple.com/catalog/planshet-samsung-galaxy-tab-s11-lte-256-gb-serebro/" TargetMode="External"/><Relationship Id="rId576" Type="http://schemas.openxmlformats.org/officeDocument/2006/relationships/hyperlink" Target="https://mgg.stores-apple.com/catalog/smartfon-samsung-galaxy-s25-ultra-1024-gb-rozovyy-titan/" TargetMode="External"/><Relationship Id="rId1165" Type="http://schemas.openxmlformats.org/officeDocument/2006/relationships/hyperlink" Target="https://mgg.stores-apple.com/catalog/planshet-samsung-galaxy-tab-s11-ultra-wifi-256-gb-serebro/" TargetMode="External"/><Relationship Id="rId575" Type="http://schemas.openxmlformats.org/officeDocument/2006/relationships/hyperlink" Target="https://mgg.stores-apple.com/catalog/smartfon_samsung_galaxy_s26_512_gb_violet_fioletovyy_1/" TargetMode="External"/><Relationship Id="rId1166" Type="http://schemas.openxmlformats.org/officeDocument/2006/relationships/hyperlink" Target="https://mgg.stores-apple.com/catalog/planshet-samsung-galaxy-tab-s11-ultra-wifi-256-gb-seryy/" TargetMode="External"/><Relationship Id="rId574" Type="http://schemas.openxmlformats.org/officeDocument/2006/relationships/hyperlink" Target="https://mgg.stores-apple.com/catalog/smartfon-samsung-galaxy-s25-ultra-1024-gb-seryy-titan/" TargetMode="External"/><Relationship Id="rId1167" Type="http://schemas.openxmlformats.org/officeDocument/2006/relationships/hyperlink" Target="https://mgg.stores-apple.com/catalog/planshet-samsung-galaxy-tab-s11-lte-512-gb-serebro/" TargetMode="External"/><Relationship Id="rId573" Type="http://schemas.openxmlformats.org/officeDocument/2006/relationships/hyperlink" Target="https://mgg.stores-apple.com/catalog/smartfon-samsung-galaxy-s25-ultra-1024-gb-zelenyy-titan/" TargetMode="External"/><Relationship Id="rId1168" Type="http://schemas.openxmlformats.org/officeDocument/2006/relationships/hyperlink" Target="https://mgg.stores-apple.com/catalog/planshet-samsung-galaxy-tab-s11-lte-512-gb-seryy/" TargetMode="External"/><Relationship Id="rId129" Type="http://schemas.openxmlformats.org/officeDocument/2006/relationships/hyperlink" Target="https://mgg.stores-apple.com/catalog/smartfon-apple-iphone-air-512-gb-zolotoi/" TargetMode="External"/><Relationship Id="rId128" Type="http://schemas.openxmlformats.org/officeDocument/2006/relationships/hyperlink" Target="https://mgg.stores-apple.com/catalog/smartfon-apple-iphone-air-512-gb-goluboi/" TargetMode="External"/><Relationship Id="rId127" Type="http://schemas.openxmlformats.org/officeDocument/2006/relationships/hyperlink" Target="https://mgg.stores-apple.com/catalog/smartfon_apple_iphone_air_1024_gb_zolotoy_/" TargetMode="External"/><Relationship Id="rId126" Type="http://schemas.openxmlformats.org/officeDocument/2006/relationships/hyperlink" Target="https://mgg.stores-apple.com/catalog/smartfon_apple_iphone_air_1024_gb_goluboy_/" TargetMode="External"/><Relationship Id="rId1190" Type="http://schemas.openxmlformats.org/officeDocument/2006/relationships/hyperlink" Target="https://mgg.stores-apple.com/catalog/planshet-xiaomi-pad-7-pro-8-256gb-wi-fi-zelenyy/" TargetMode="External"/><Relationship Id="rId1191" Type="http://schemas.openxmlformats.org/officeDocument/2006/relationships/hyperlink" Target="https://mgg.stores-apple.com/catalog/planshet-xiaomi-pad-7-pro-12-512gb-wi-fi-goluboy/" TargetMode="External"/><Relationship Id="rId1192" Type="http://schemas.openxmlformats.org/officeDocument/2006/relationships/hyperlink" Target="https://mgg.stores-apple.com/catalog/planshet-xiaomi-pad-7-pro-12-512gb-wi-fi-seryy/" TargetMode="External"/><Relationship Id="rId1193" Type="http://schemas.openxmlformats.org/officeDocument/2006/relationships/hyperlink" Target="https://mgg.stores-apple.com/catalog/planshet-xiaomi-pad-7-pro-12-512gb-wi-fi-zelenyy/" TargetMode="External"/><Relationship Id="rId121" Type="http://schemas.openxmlformats.org/officeDocument/2006/relationships/hyperlink" Target="https://mgg.stores-apple.com/catalog/smartfon_apple_iphone_air_512_gb_goluboy_/" TargetMode="External"/><Relationship Id="rId1194" Type="http://schemas.openxmlformats.org/officeDocument/2006/relationships/hyperlink" Target="https://mgg.stores-apple.com/catalog/stilus-apple-pencil-usb-c/" TargetMode="External"/><Relationship Id="rId120" Type="http://schemas.openxmlformats.org/officeDocument/2006/relationships/hyperlink" Target="https://mgg.stores-apple.com/catalog/smartfon-apple-iphone-air-256-gb-goluboi/" TargetMode="External"/><Relationship Id="rId1195" Type="http://schemas.openxmlformats.org/officeDocument/2006/relationships/hyperlink" Target="https://mgg.stores-apple.com/catalog/stilus-apple-pencil-pro/" TargetMode="External"/><Relationship Id="rId1196" Type="http://schemas.openxmlformats.org/officeDocument/2006/relationships/hyperlink" Target="https://mgg.stores-apple.com/catalog/klaviatura_magic_keyboard_dlya_ipad_air_13_white_mwr43_2024_/" TargetMode="External"/><Relationship Id="rId1197" Type="http://schemas.openxmlformats.org/officeDocument/2006/relationships/hyperlink" Target="https://mgg.stores-apple.com/catalog/klaviatura_magic_keyboard_dlya_ipad_air_13_chernaya_mjqk3/" TargetMode="External"/><Relationship Id="rId125" Type="http://schemas.openxmlformats.org/officeDocument/2006/relationships/hyperlink" Target="https://mgg.stores-apple.com/catalog/smartfon_apple_iphone_air_512_gb_belyy_/" TargetMode="External"/><Relationship Id="rId1198" Type="http://schemas.openxmlformats.org/officeDocument/2006/relationships/hyperlink" Target="https://mgg.stores-apple.com/catalog/smart-chasy-apple-watch-se-3-40-mm-bezhevyi-bezhevyi-s-m-gps/" TargetMode="External"/><Relationship Id="rId124" Type="http://schemas.openxmlformats.org/officeDocument/2006/relationships/hyperlink" Target="https://mgg.stores-apple.com/catalog/smartfon_apple_iphone_air_512_gb_chernyy_/" TargetMode="External"/><Relationship Id="rId1199" Type="http://schemas.openxmlformats.org/officeDocument/2006/relationships/hyperlink" Target="https://mgg.stores-apple.com/catalog/smart-chasy-apple-watch-se-3-40-mm-chernyi-chernyi-s-m-gps/" TargetMode="External"/><Relationship Id="rId123" Type="http://schemas.openxmlformats.org/officeDocument/2006/relationships/hyperlink" Target="https://mgg.stores-apple.com/catalog/smartfon-apple-iphone-air-256-gb-belyi/" TargetMode="External"/><Relationship Id="rId122" Type="http://schemas.openxmlformats.org/officeDocument/2006/relationships/hyperlink" Target="https://mgg.stores-apple.com/catalog/smartfon_apple_iphone_air_512_gb_zolotoy_/" TargetMode="External"/><Relationship Id="rId118" Type="http://schemas.openxmlformats.org/officeDocument/2006/relationships/hyperlink" Target="https://mgg.stores-apple.com/catalog/smartfon_apple_iphone_air_256_gb_chernyy_/" TargetMode="External"/><Relationship Id="rId117" Type="http://schemas.openxmlformats.org/officeDocument/2006/relationships/hyperlink" Target="https://mgg.stores-apple.com/catalog/smartfon_apple_iphone_air_256_gb_belyy_/" TargetMode="External"/><Relationship Id="rId116" Type="http://schemas.openxmlformats.org/officeDocument/2006/relationships/hyperlink" Target="https://mgg.stores-apple.com/catalog/smartfon_apple_iphone_air_256_gb_goluboy_/" TargetMode="External"/><Relationship Id="rId115" Type="http://schemas.openxmlformats.org/officeDocument/2006/relationships/hyperlink" Target="https://mgg.stores-apple.com/catalog/smartfon_apple_iphone_air_256_gb_zolotoy_/" TargetMode="External"/><Relationship Id="rId599" Type="http://schemas.openxmlformats.org/officeDocument/2006/relationships/hyperlink" Target="https://mgg.stores-apple.com/catalog/smartfon_samsung_galaxy_z_flip_8_12_512_gb_seryy/" TargetMode="External"/><Relationship Id="rId1180" Type="http://schemas.openxmlformats.org/officeDocument/2006/relationships/hyperlink" Target="https://mgg.stores-apple.com/catalog/planshet-xiaomi-pad-7-8-128gb-wifi-goluboy/" TargetMode="External"/><Relationship Id="rId1181" Type="http://schemas.openxmlformats.org/officeDocument/2006/relationships/hyperlink" Target="https://mgg.stores-apple.com/catalog/planshet-xiaomi-pad-7-8-128gb-wifi-zelenyy/" TargetMode="External"/><Relationship Id="rId119" Type="http://schemas.openxmlformats.org/officeDocument/2006/relationships/hyperlink" Target="https://mgg.stores-apple.com/catalog/smartfon-apple-iphone-air-256-gb-zolotoi/" TargetMode="External"/><Relationship Id="rId1182" Type="http://schemas.openxmlformats.org/officeDocument/2006/relationships/hyperlink" Target="https://mgg.stores-apple.com/catalog/planshet-xiaomi-pad-7-8-256gb-wifi-seryy/" TargetMode="External"/><Relationship Id="rId110" Type="http://schemas.openxmlformats.org/officeDocument/2006/relationships/hyperlink" Target="https://mgg.stores-apple.com/catalog/smartfon_apple_iphone_17_256_gb_lavandovyy_nano_sim_esim/" TargetMode="External"/><Relationship Id="rId594" Type="http://schemas.openxmlformats.org/officeDocument/2006/relationships/hyperlink" Target="https://mgg.stores-apple.com/catalog/smartfon_samsung_galaxy_z_flip_8_12_256_gb_rozovyy/" TargetMode="External"/><Relationship Id="rId1183" Type="http://schemas.openxmlformats.org/officeDocument/2006/relationships/hyperlink" Target="https://mgg.stores-apple.com/catalog/planshet-xiaomi-pad-7-8-256gb-wifi-zelenyy/" TargetMode="External"/><Relationship Id="rId593" Type="http://schemas.openxmlformats.org/officeDocument/2006/relationships/hyperlink" Target="https://mgg.stores-apple.com/catalog/smartfon-samsung-galaxy-z-flip7-12-256-gb-oranzevyj/" TargetMode="External"/><Relationship Id="rId1184" Type="http://schemas.openxmlformats.org/officeDocument/2006/relationships/hyperlink" Target="https://mgg.stores-apple.com/catalog/planshet-xiaomi-pad-7-8-256gb-wifi-goluboy/" TargetMode="External"/><Relationship Id="rId592" Type="http://schemas.openxmlformats.org/officeDocument/2006/relationships/hyperlink" Target="https://mgg.stores-apple.com/catalog/smartfon-samsung-galaxy-z-flip7-12-256-gb-sinij/" TargetMode="External"/><Relationship Id="rId1185" Type="http://schemas.openxmlformats.org/officeDocument/2006/relationships/hyperlink" Target="https://mgg.stores-apple.com/catalog/planshet-xiaomi-pad-7-pro-8-128gb-wi-fi-goluboy/" TargetMode="External"/><Relationship Id="rId591" Type="http://schemas.openxmlformats.org/officeDocument/2006/relationships/hyperlink" Target="https://mgg.stores-apple.com/catalog/smartfon-samsung-galaxy-z-flip7-12-256-gb-cernyj/" TargetMode="External"/><Relationship Id="rId1186" Type="http://schemas.openxmlformats.org/officeDocument/2006/relationships/hyperlink" Target="https://mgg.stores-apple.com/catalog/planshet-xiaomi-pad-7-pro-8-128gb-wi-fi-seryy/" TargetMode="External"/><Relationship Id="rId114" Type="http://schemas.openxmlformats.org/officeDocument/2006/relationships/hyperlink" Target="https://mgg.stores-apple.com/catalog/smartfon-apple-iphone-air-256-gb-chernyi/" TargetMode="External"/><Relationship Id="rId598" Type="http://schemas.openxmlformats.org/officeDocument/2006/relationships/hyperlink" Target="https://mgg.stores-apple.com/catalog/smartfon_samsung_galaxy_z_flip_8_12_512_gb_bezhevyy/" TargetMode="External"/><Relationship Id="rId1187" Type="http://schemas.openxmlformats.org/officeDocument/2006/relationships/hyperlink" Target="https://mgg.stores-apple.com/catalog/planshet-xiaomi-pad-7-pro-8-128gb-wi-fi-zelenyy/" TargetMode="External"/><Relationship Id="rId113" Type="http://schemas.openxmlformats.org/officeDocument/2006/relationships/hyperlink" Target="https://mgg.stores-apple.com/catalog/smartfon_apple_iphone_17_256_gb_belyy_nano_sim_esim/" TargetMode="External"/><Relationship Id="rId597" Type="http://schemas.openxmlformats.org/officeDocument/2006/relationships/hyperlink" Target="https://mgg.stores-apple.com/catalog/smartfon-samsung-galaxy-z-flip7-12-512-gb-cernyj/" TargetMode="External"/><Relationship Id="rId1188" Type="http://schemas.openxmlformats.org/officeDocument/2006/relationships/hyperlink" Target="https://mgg.stores-apple.com/catalog/planshet-xiaomi-pad-7-pro-8-256gb-wi-fi-seryy/" TargetMode="External"/><Relationship Id="rId112" Type="http://schemas.openxmlformats.org/officeDocument/2006/relationships/hyperlink" Target="https://mgg.stores-apple.com/catalog/smartfon_apple_iphone_17_256_gb_goluboy_nano_sim_esim/" TargetMode="External"/><Relationship Id="rId596" Type="http://schemas.openxmlformats.org/officeDocument/2006/relationships/hyperlink" Target="https://mgg.stores-apple.com/catalog/smartfon-samsung-galaxy-z-flip7-12-512-gb-sinij/" TargetMode="External"/><Relationship Id="rId1189" Type="http://schemas.openxmlformats.org/officeDocument/2006/relationships/hyperlink" Target="https://mgg.stores-apple.com/catalog/planshet-xiaomi-pad-7-pro-8-256gb-wi-fi-goluboy/" TargetMode="External"/><Relationship Id="rId111" Type="http://schemas.openxmlformats.org/officeDocument/2006/relationships/hyperlink" Target="https://mgg.stores-apple.com/catalog/smartfon_apple_iphone_17_256_gb_zelenyy_nano_sim_esim/" TargetMode="External"/><Relationship Id="rId595" Type="http://schemas.openxmlformats.org/officeDocument/2006/relationships/hyperlink" Target="https://mgg.stores-apple.com/catalog/smartfon-samsung-galaxy-z-flip7-12-512-gb-oranzevyj/" TargetMode="External"/><Relationship Id="rId1136" Type="http://schemas.openxmlformats.org/officeDocument/2006/relationships/hyperlink" Target="https://mgg.stores-apple.com/catalog/planshet-apple-ipad-mini-2024-wi-fi-512-gb-goluboj/" TargetMode="External"/><Relationship Id="rId1137" Type="http://schemas.openxmlformats.org/officeDocument/2006/relationships/hyperlink" Target="https://mgg.stores-apple.com/catalog/planshet-apple-ipad-mini-2024-wi-fi-512-gb-seryj-kosmos/" TargetMode="External"/><Relationship Id="rId1138" Type="http://schemas.openxmlformats.org/officeDocument/2006/relationships/hyperlink" Target="https://mgg.stores-apple.com/catalog/planshet-apple-ipad-mini-2024-wi-fi-512-gb-fioletovyj/" TargetMode="External"/><Relationship Id="rId1139" Type="http://schemas.openxmlformats.org/officeDocument/2006/relationships/hyperlink" Target="https://mgg.stores-apple.com/catalog/planshet-apple-ipad-mini-2024-wi-fi-256-gb-cellular-siyayushchaya-zvezda/" TargetMode="External"/><Relationship Id="rId547" Type="http://schemas.openxmlformats.org/officeDocument/2006/relationships/hyperlink" Target="https://mgg.stores-apple.com/catalog/smartfon_samsung_galaxy_s26_512_gb_blue_goluboy/" TargetMode="External"/><Relationship Id="rId546" Type="http://schemas.openxmlformats.org/officeDocument/2006/relationships/hyperlink" Target="https://mgg.stores-apple.com/catalog/smartfon_samsung_galaxy_s26_12_256_gb_silver_shadow_serebryanaya_ten/" TargetMode="External"/><Relationship Id="rId545" Type="http://schemas.openxmlformats.org/officeDocument/2006/relationships/hyperlink" Target="https://mgg.stores-apple.com/catalog/smartfon-samsung-galaxy-s25-ultra-256-gb-rozovyy-titan/" TargetMode="External"/><Relationship Id="rId544" Type="http://schemas.openxmlformats.org/officeDocument/2006/relationships/hyperlink" Target="https://mgg.stores-apple.com/catalog/smartfon_samsung_galaxy_s26_fe_512_gb_fioletovyy/" TargetMode="External"/><Relationship Id="rId549" Type="http://schemas.openxmlformats.org/officeDocument/2006/relationships/hyperlink" Target="https://mgg.stores-apple.com/catalog/smartfon_samsung_galaxy_s26_256_gb_white_belyy_1/" TargetMode="External"/><Relationship Id="rId548" Type="http://schemas.openxmlformats.org/officeDocument/2006/relationships/hyperlink" Target="https://mgg.stores-apple.com/catalog/smartfon_samsung_galaxy_s26_256_gb_blue_goluboy_1/" TargetMode="External"/><Relationship Id="rId1130" Type="http://schemas.openxmlformats.org/officeDocument/2006/relationships/hyperlink" Target="https://mgg.stores-apple.com/catalog/planshet-apple-ipad-mini-2024-wi-fi-256-gb-siyayushchaya-zvezda/" TargetMode="External"/><Relationship Id="rId1131" Type="http://schemas.openxmlformats.org/officeDocument/2006/relationships/hyperlink" Target="https://mgg.stores-apple.com/catalog/planshet-apple-ipad-mini-2024-wi-fi-128-gb-cellular-seryj-kosmos/" TargetMode="External"/><Relationship Id="rId543" Type="http://schemas.openxmlformats.org/officeDocument/2006/relationships/hyperlink" Target="https://mgg.stores-apple.com/catalog/smartfon_samsung_galaxy_s26_fe_512_gb_zelenyy/" TargetMode="External"/><Relationship Id="rId1132" Type="http://schemas.openxmlformats.org/officeDocument/2006/relationships/hyperlink" Target="https://mgg.stores-apple.com/catalog/planshet-apple-ipad-mini-2024-wi-fi-128-gb-cellular-goluboj/" TargetMode="External"/><Relationship Id="rId542" Type="http://schemas.openxmlformats.org/officeDocument/2006/relationships/hyperlink" Target="https://mgg.stores-apple.com/catalog/smartfon_samsung_galaxy_s26_fe_512_gb_chernyy/" TargetMode="External"/><Relationship Id="rId1133" Type="http://schemas.openxmlformats.org/officeDocument/2006/relationships/hyperlink" Target="https://mgg.stores-apple.com/catalog/planshet-apple-ipad-mini-2024-wi-fi-128-gb-cellular-siyayushchaya-zvezda/" TargetMode="External"/><Relationship Id="rId541" Type="http://schemas.openxmlformats.org/officeDocument/2006/relationships/hyperlink" Target="https://mgg.stores-apple.com/catalog/smartfon_samsung_galaxy_s26_256_gb_white_belyy/" TargetMode="External"/><Relationship Id="rId1134" Type="http://schemas.openxmlformats.org/officeDocument/2006/relationships/hyperlink" Target="https://mgg.stores-apple.com/catalog/planshet-apple-ipad-mini-2024-wi-fi-128-gb-cellular-fioletovyj/" TargetMode="External"/><Relationship Id="rId540" Type="http://schemas.openxmlformats.org/officeDocument/2006/relationships/hyperlink" Target="https://mgg.stores-apple.com/catalog/smartfon_samsung_galaxy_s26_256_gb_blue_goluboy/" TargetMode="External"/><Relationship Id="rId1135" Type="http://schemas.openxmlformats.org/officeDocument/2006/relationships/hyperlink" Target="https://mgg.stores-apple.com/catalog/planshet-apple-ipad-mini-2024-wi-fi-512-gb-siyayushchaya-zvezda/" TargetMode="External"/><Relationship Id="rId1125" Type="http://schemas.openxmlformats.org/officeDocument/2006/relationships/hyperlink" Target="https://mgg.stores-apple.com/catalog/planshet-apple-ipad-mini-2024-wi-fi-128-gb-seryj-kosmos/" TargetMode="External"/><Relationship Id="rId1126" Type="http://schemas.openxmlformats.org/officeDocument/2006/relationships/hyperlink" Target="https://mgg.stores-apple.com/catalog/planshet-apple-ipad-mini-2024-wi-fi-128-gb-fioletovyj/" TargetMode="External"/><Relationship Id="rId1127" Type="http://schemas.openxmlformats.org/officeDocument/2006/relationships/hyperlink" Target="https://mgg.stores-apple.com/catalog/planshet-apple-ipad-mini-2024-wi-fi-256-gb-goluboj/" TargetMode="External"/><Relationship Id="rId1128" Type="http://schemas.openxmlformats.org/officeDocument/2006/relationships/hyperlink" Target="https://mgg.stores-apple.com/catalog/planshet-apple-ipad-mini-2024-wi-fi-256-gb-seryj-kosmos/" TargetMode="External"/><Relationship Id="rId1129" Type="http://schemas.openxmlformats.org/officeDocument/2006/relationships/hyperlink" Target="https://mgg.stores-apple.com/catalog/planshet-apple-ipad-mini-2024-wi-fi-256-gb-fioletovyj/" TargetMode="External"/><Relationship Id="rId536" Type="http://schemas.openxmlformats.org/officeDocument/2006/relationships/hyperlink" Target="https://mgg.stores-apple.com/catalog/smartfon-samsung-galaxy-s25-plus-256-gb-siniy/" TargetMode="External"/><Relationship Id="rId535" Type="http://schemas.openxmlformats.org/officeDocument/2006/relationships/hyperlink" Target="https://mgg.stores-apple.com/catalog/smartfon-samsung-galaxy-s25-plus-256-gb-goluboy/" TargetMode="External"/><Relationship Id="rId534" Type="http://schemas.openxmlformats.org/officeDocument/2006/relationships/hyperlink" Target="https://mgg.stores-apple.com/catalog/smartfon-samsung-galaxy-s25-plus-256-gb-rozovyy/" TargetMode="External"/><Relationship Id="rId533" Type="http://schemas.openxmlformats.org/officeDocument/2006/relationships/hyperlink" Target="https://mgg.stores-apple.com/catalog/smartfon-samsung-galaxy-s25-plus-256-gb-seryy/" TargetMode="External"/><Relationship Id="rId539" Type="http://schemas.openxmlformats.org/officeDocument/2006/relationships/hyperlink" Target="https://mgg.stores-apple.com/catalog/smartfon-samsung-galaxy-s25-edge-12-512gb-chernyi/" TargetMode="External"/><Relationship Id="rId538" Type="http://schemas.openxmlformats.org/officeDocument/2006/relationships/hyperlink" Target="https://mgg.stores-apple.com/catalog/smartfon-samsung-galaxy-s25-edge-12-512gb-serebristyi/" TargetMode="External"/><Relationship Id="rId537" Type="http://schemas.openxmlformats.org/officeDocument/2006/relationships/hyperlink" Target="https://mgg.stores-apple.com/catalog/smartfon-samsung-galaxy-s25-edge-12-512gb-goluboi/" TargetMode="External"/><Relationship Id="rId1120" Type="http://schemas.openxmlformats.org/officeDocument/2006/relationships/hyperlink" Target="https://mgg.stores-apple.com/catalog/planshet-apple-ipad-11-a16-2025-wi-fi-cellular-512-gb-zheltyj/" TargetMode="External"/><Relationship Id="rId532" Type="http://schemas.openxmlformats.org/officeDocument/2006/relationships/hyperlink" Target="https://mgg.stores-apple.com/catalog/smartfon-samsung-galaxy-s25-plus-256-gb-myatnyy/" TargetMode="External"/><Relationship Id="rId1121" Type="http://schemas.openxmlformats.org/officeDocument/2006/relationships/hyperlink" Target="https://mgg.stores-apple.com/catalog/planshet-apple-ipad-11-a16-2025-wi-fi-cellular-512-gb-goluboj/" TargetMode="External"/><Relationship Id="rId531" Type="http://schemas.openxmlformats.org/officeDocument/2006/relationships/hyperlink" Target="https://mgg.stores-apple.com/catalog/smartfon-samsung-galaxy-s25-plus-256-gb-korallovyy/" TargetMode="External"/><Relationship Id="rId1122" Type="http://schemas.openxmlformats.org/officeDocument/2006/relationships/hyperlink" Target="https://mgg.stores-apple.com/catalog/planshet-apple-ipad-11-a16-2025-wi-fi-cellular-512-gb-rozovyj/" TargetMode="External"/><Relationship Id="rId530" Type="http://schemas.openxmlformats.org/officeDocument/2006/relationships/hyperlink" Target="https://mgg.stores-apple.com/catalog/smartfon-samsung-galaxy-s25-edge-12-256gb-serebristyi/" TargetMode="External"/><Relationship Id="rId1123" Type="http://schemas.openxmlformats.org/officeDocument/2006/relationships/hyperlink" Target="https://mgg.stores-apple.com/catalog/planshet-apple-ipad-mini-2024-wi-fi-128-gb-goluboj/" TargetMode="External"/><Relationship Id="rId1124" Type="http://schemas.openxmlformats.org/officeDocument/2006/relationships/hyperlink" Target="https://mgg.stores-apple.com/catalog/planshet-apple-ipad-mini-2024-wi-fi-128-gb-siyayushchaya-zvezda/" TargetMode="External"/><Relationship Id="rId1158" Type="http://schemas.openxmlformats.org/officeDocument/2006/relationships/hyperlink" Target="https://mgg.stores-apple.com/catalog/planshet-samsung-galaxy-tab-s11-wifi-256-gb-seryy/" TargetMode="External"/><Relationship Id="rId1159" Type="http://schemas.openxmlformats.org/officeDocument/2006/relationships/hyperlink" Target="https://mgg.stores-apple.com/catalog/planshet-samsung-galaxy-tab-s11-lte-128-gb-seryy/" TargetMode="External"/><Relationship Id="rId569" Type="http://schemas.openxmlformats.org/officeDocument/2006/relationships/hyperlink" Target="https://mgg.stores-apple.com/catalog/smartfon_samsung_galaxy_s26_12_512_gb_pink_gold_rozovoe_zoloto_1/" TargetMode="External"/><Relationship Id="rId568" Type="http://schemas.openxmlformats.org/officeDocument/2006/relationships/hyperlink" Target="https://mgg.stores-apple.com/catalog/smartfon-samsung-galaxy-s25-ultra-512-gb-ugolno-chernyy-titan/" TargetMode="External"/><Relationship Id="rId567" Type="http://schemas.openxmlformats.org/officeDocument/2006/relationships/hyperlink" Target="https://mgg.stores-apple.com/catalog/smartfon-samsung-galaxy-s25-ultra-512-gb-siniy-titan/" TargetMode="External"/><Relationship Id="rId566" Type="http://schemas.openxmlformats.org/officeDocument/2006/relationships/hyperlink" Target="https://mgg.stores-apple.com/catalog/smartfon-samsung-galaxy-s25-ultra-512-gb-serebryanyy-titan/" TargetMode="External"/><Relationship Id="rId561" Type="http://schemas.openxmlformats.org/officeDocument/2006/relationships/hyperlink" Target="https://mgg.stores-apple.com/catalog/smartfon_samsung_galaxy_s26_256_gb_black_chernyy_1/" TargetMode="External"/><Relationship Id="rId1150" Type="http://schemas.openxmlformats.org/officeDocument/2006/relationships/hyperlink" Target="https://mgg.stores-apple.com/catalog/planshet_samsung_galaxy_tab_a11_plus_lte_128_gb_seryy/" TargetMode="External"/><Relationship Id="rId560" Type="http://schemas.openxmlformats.org/officeDocument/2006/relationships/hyperlink" Target="https://mgg.stores-apple.com/catalog/smartfon_samsung_galaxy_s26_12_512_gb_pink_gold_rozovoe_zoloto/" TargetMode="External"/><Relationship Id="rId1151" Type="http://schemas.openxmlformats.org/officeDocument/2006/relationships/hyperlink" Target="https://mgg.stores-apple.com/catalog/planshet_samsung_galaxy_tab_a11_plus_wifi_256_gb_seryy/" TargetMode="External"/><Relationship Id="rId1152" Type="http://schemas.openxmlformats.org/officeDocument/2006/relationships/hyperlink" Target="https://mgg.stores-apple.com/catalog/planshet_samsung_galaxy_tab_a11_plus_wifi_256_gb_serebro/" TargetMode="External"/><Relationship Id="rId1153" Type="http://schemas.openxmlformats.org/officeDocument/2006/relationships/hyperlink" Target="https://mgg.stores-apple.com/catalog/planshet_samsung_galaxy_tab_a11_plus_lte_256_gb_serebro/" TargetMode="External"/><Relationship Id="rId565" Type="http://schemas.openxmlformats.org/officeDocument/2006/relationships/hyperlink" Target="https://mgg.stores-apple.com/catalog/smartfon-samsung-galaxy-s25-ultra-512-gb-zelenyy-titan/" TargetMode="External"/><Relationship Id="rId1154" Type="http://schemas.openxmlformats.org/officeDocument/2006/relationships/hyperlink" Target="https://mgg.stores-apple.com/catalog/planshet_samsung_galaxy_tab_a11_plus_lte_256_gb_seryy/" TargetMode="External"/><Relationship Id="rId564" Type="http://schemas.openxmlformats.org/officeDocument/2006/relationships/hyperlink" Target="https://mgg.stores-apple.com/catalog/smartfon-samsung-galaxy-s25-ultra-256-gb-zelenyy-titan/" TargetMode="External"/><Relationship Id="rId1155" Type="http://schemas.openxmlformats.org/officeDocument/2006/relationships/hyperlink" Target="https://mgg.stores-apple.com/catalog/planshet-samsung-galaxy-tab-s11-wifi-128-gb-serebro/" TargetMode="External"/><Relationship Id="rId563" Type="http://schemas.openxmlformats.org/officeDocument/2006/relationships/hyperlink" Target="https://mgg.stores-apple.com/catalog/smartfon_samsung_galaxy_s26_12_256_gb_silver_shadow_serebryanaya_ten_1/" TargetMode="External"/><Relationship Id="rId1156" Type="http://schemas.openxmlformats.org/officeDocument/2006/relationships/hyperlink" Target="https://mgg.stores-apple.com/catalog/planshet-samsung-galaxy-tab-s11-wifi-128-gb-seryy/" TargetMode="External"/><Relationship Id="rId562" Type="http://schemas.openxmlformats.org/officeDocument/2006/relationships/hyperlink" Target="https://mgg.stores-apple.com/catalog/smartfon_samsung_galaxy_s26_12_256_gb_pink_gold_rozovoe_zoloto_1/" TargetMode="External"/><Relationship Id="rId1157" Type="http://schemas.openxmlformats.org/officeDocument/2006/relationships/hyperlink" Target="https://mgg.stores-apple.com/catalog/planshet-samsung-galaxy-tab-s11-wifi-256-gb-serebro/" TargetMode="External"/><Relationship Id="rId1147" Type="http://schemas.openxmlformats.org/officeDocument/2006/relationships/hyperlink" Target="https://mgg.stores-apple.com/catalog/planshet_samsung_galaxy_tab_a11_plus_wifi_128_gb_serebro/" TargetMode="External"/><Relationship Id="rId1148" Type="http://schemas.openxmlformats.org/officeDocument/2006/relationships/hyperlink" Target="https://mgg.stores-apple.com/catalog/planshet_samsung_galaxy_tab_a11_plus_wifi_128_gb_seryy/" TargetMode="External"/><Relationship Id="rId1149" Type="http://schemas.openxmlformats.org/officeDocument/2006/relationships/hyperlink" Target="https://mgg.stores-apple.com/catalog/planshet_samsung_galaxy_tab_a11_plus_lte_128_gb_serebro/" TargetMode="External"/><Relationship Id="rId558" Type="http://schemas.openxmlformats.org/officeDocument/2006/relationships/hyperlink" Target="https://mgg.stores-apple.com/catalog/smartfon_samsung_galaxy_s26_512_gb_white_belyy_1/" TargetMode="External"/><Relationship Id="rId557" Type="http://schemas.openxmlformats.org/officeDocument/2006/relationships/hyperlink" Target="https://mgg.stores-apple.com/catalog/smartfon_samsung_galaxy_s26_256_gb_violet_fioletovyy_1/" TargetMode="External"/><Relationship Id="rId556" Type="http://schemas.openxmlformats.org/officeDocument/2006/relationships/hyperlink" Target="https://mgg.stores-apple.com/catalog/smartfon-samsung-galaxy-s25-plus-512-gb-siniy/" TargetMode="External"/><Relationship Id="rId555" Type="http://schemas.openxmlformats.org/officeDocument/2006/relationships/hyperlink" Target="https://mgg.stores-apple.com/catalog/smartfon-samsung-galaxy-s25-plus-512-gb-temno-seryy/" TargetMode="External"/><Relationship Id="rId559" Type="http://schemas.openxmlformats.org/officeDocument/2006/relationships/hyperlink" Target="https://mgg.stores-apple.com/catalog/smartfon_samsung_galaxy_s26_12_512_gb_silver_shadow_serebryanaya_ten/" TargetMode="External"/><Relationship Id="rId550" Type="http://schemas.openxmlformats.org/officeDocument/2006/relationships/hyperlink" Target="https://mgg.stores-apple.com/catalog/smartfon-samsung-galaxy-s25-plus-512-gb-korallovyy/" TargetMode="External"/><Relationship Id="rId1140" Type="http://schemas.openxmlformats.org/officeDocument/2006/relationships/hyperlink" Target="https://mgg.stores-apple.com/catalog/planshet-apple-ipad-mini-2024-wi-fi-256-gb-cellular-goluboj/" TargetMode="External"/><Relationship Id="rId1141" Type="http://schemas.openxmlformats.org/officeDocument/2006/relationships/hyperlink" Target="https://mgg.stores-apple.com/catalog/planshet-apple-ipad-mini-2024-wi-fi-256-gb-cellular-fioletovyj/" TargetMode="External"/><Relationship Id="rId1142" Type="http://schemas.openxmlformats.org/officeDocument/2006/relationships/hyperlink" Target="https://mgg.stores-apple.com/catalog/planshet-apple-ipad-mini-2024-wi-fi-256-gb-cellular-seryj-kosmos/" TargetMode="External"/><Relationship Id="rId554" Type="http://schemas.openxmlformats.org/officeDocument/2006/relationships/hyperlink" Target="https://mgg.stores-apple.com/catalog/smartfon-samsung-galaxy-s25-plus-512-gb-seryy/" TargetMode="External"/><Relationship Id="rId1143" Type="http://schemas.openxmlformats.org/officeDocument/2006/relationships/hyperlink" Target="https://mgg.stores-apple.com/catalog/planshet-apple-ipad-mini-2024-wi-fi-512-gb-cellular-fioletovyj/" TargetMode="External"/><Relationship Id="rId553" Type="http://schemas.openxmlformats.org/officeDocument/2006/relationships/hyperlink" Target="https://mgg.stores-apple.com/catalog/smartfon-samsung-galaxy-s25-plus-512-gb-rozovyy/" TargetMode="External"/><Relationship Id="rId1144" Type="http://schemas.openxmlformats.org/officeDocument/2006/relationships/hyperlink" Target="https://mgg.stores-apple.com/catalog/planshet-apple-ipad-mini-2024-wi-fi-512-gb-cellular-siyayushchaya-zvezda/" TargetMode="External"/><Relationship Id="rId552" Type="http://schemas.openxmlformats.org/officeDocument/2006/relationships/hyperlink" Target="https://mgg.stores-apple.com/catalog/smartfon-samsung-galaxy-s25-plus-512-gb-goluboy/" TargetMode="External"/><Relationship Id="rId1145" Type="http://schemas.openxmlformats.org/officeDocument/2006/relationships/hyperlink" Target="https://mgg.stores-apple.com/catalog/planshet-apple-ipad-mini-2024-wi-fi-512-gb-cellular-goluboj/" TargetMode="External"/><Relationship Id="rId551" Type="http://schemas.openxmlformats.org/officeDocument/2006/relationships/hyperlink" Target="https://mgg.stores-apple.com/catalog/smartfon-samsung-galaxy-s25-plus-512-gb-myatnyy/" TargetMode="External"/><Relationship Id="rId1146" Type="http://schemas.openxmlformats.org/officeDocument/2006/relationships/hyperlink" Target="https://mgg.stores-apple.com/catalog/planshet-apple-ipad-mini-2024-wi-fi-512-gb-cellular-seryj-kosmos/" TargetMode="External"/><Relationship Id="rId495" Type="http://schemas.openxmlformats.org/officeDocument/2006/relationships/hyperlink" Target="https://mgg.stores-apple.com/catalog/smartfon-samsung-galaxy-s25-ultra-512-gb-seryy-titan/" TargetMode="External"/><Relationship Id="rId494" Type="http://schemas.openxmlformats.org/officeDocument/2006/relationships/hyperlink" Target="https://mgg.stores-apple.com/catalog/smartfon-samsung-galaxy-s25-ultra-256-gb-seryy-titan/" TargetMode="External"/><Relationship Id="rId493" Type="http://schemas.openxmlformats.org/officeDocument/2006/relationships/hyperlink" Target="https://mgg.stores-apple.com/catalog/smartfon_samsung_galaxy_s26_256_gb_black_chernyy/" TargetMode="External"/><Relationship Id="rId492" Type="http://schemas.openxmlformats.org/officeDocument/2006/relationships/hyperlink" Target="https://mgg.stores-apple.com/catalog/smartfon_samsung_galaxy_s26_256_gb_violet_fioletovyy/" TargetMode="External"/><Relationship Id="rId499" Type="http://schemas.openxmlformats.org/officeDocument/2006/relationships/hyperlink" Target="https://mgg.stores-apple.com/catalog/smartfon_samsung_galaxy_s26_ultra_512_gb_cobalt_violet/" TargetMode="External"/><Relationship Id="rId498" Type="http://schemas.openxmlformats.org/officeDocument/2006/relationships/hyperlink" Target="https://mgg.stores-apple.com/catalog/smartfon_samsung_galaxy_s26_ultra_512_gb_black_shadow/" TargetMode="External"/><Relationship Id="rId497" Type="http://schemas.openxmlformats.org/officeDocument/2006/relationships/hyperlink" Target="https://mgg.stores-apple.com/catalog/smartfon_samsung_galaxy_s26_ultra_12_256_gb_cobalt_violet/" TargetMode="External"/><Relationship Id="rId496" Type="http://schemas.openxmlformats.org/officeDocument/2006/relationships/hyperlink" Target="https://mgg.stores-apple.com/catalog/smartfon-samsung-galaxy-s25-ultra-512-gb-chernyy-titan/" TargetMode="External"/><Relationship Id="rId907" Type="http://schemas.openxmlformats.org/officeDocument/2006/relationships/hyperlink" Target="https://mgg.stores-apple.com/catalog/smartfon_xiaomi_redmi_note_15_pro_5g_8_512_gb_black_chernyy/" TargetMode="External"/><Relationship Id="rId906" Type="http://schemas.openxmlformats.org/officeDocument/2006/relationships/hyperlink" Target="https://mgg.stores-apple.com/catalog/smartfon_xiaomi_redmi_note_15_pro_5g_8_512_gb_mist_purple_dymchatyy_fioletovyy/" TargetMode="External"/><Relationship Id="rId905" Type="http://schemas.openxmlformats.org/officeDocument/2006/relationships/hyperlink" Target="https://mgg.stores-apple.com/catalog/smartfon_xiaomi_redmi_note_15_pro_5g_8_512_gb_glacier_blue_goluboy_led/" TargetMode="External"/><Relationship Id="rId904" Type="http://schemas.openxmlformats.org/officeDocument/2006/relationships/hyperlink" Target="https://mgg.stores-apple.com/catalog/smartfon_xiaomi_redmi_note_15_pro_5g_8_256_gb_black_chernyy/" TargetMode="External"/><Relationship Id="rId909" Type="http://schemas.openxmlformats.org/officeDocument/2006/relationships/hyperlink" Target="https://mgg.stores-apple.com/catalog/smartfon_xiaomi_redmi_note_15_pro_5g_8_256_gb_glacier_blue_goluboy_led_1/" TargetMode="External"/><Relationship Id="rId908" Type="http://schemas.openxmlformats.org/officeDocument/2006/relationships/hyperlink" Target="https://mgg.stores-apple.com/catalog/smartfon_xiaomi_redmi_note_15_pro_5g_8_512_gb_titanium_titanovyy/" TargetMode="External"/><Relationship Id="rId903" Type="http://schemas.openxmlformats.org/officeDocument/2006/relationships/hyperlink" Target="https://mgg.stores-apple.com/catalog/smartfon_xiaomi_redmi_note_15_pro_5g_8_256_gb_titanium_titanovyy/" TargetMode="External"/><Relationship Id="rId902" Type="http://schemas.openxmlformats.org/officeDocument/2006/relationships/hyperlink" Target="https://mgg.stores-apple.com/catalog/smartfon_xiaomi_redmi_note_15_pro_5g_8_256_gb_mist_purple_dymchatyy_fioletovyy/" TargetMode="External"/><Relationship Id="rId901" Type="http://schemas.openxmlformats.org/officeDocument/2006/relationships/hyperlink" Target="https://mgg.stores-apple.com/catalog/smartfon_xiaomi_redmi_note_15_pro_5g_8_256_gb_glacier_blue_goluboy_led/" TargetMode="External"/><Relationship Id="rId900" Type="http://schemas.openxmlformats.org/officeDocument/2006/relationships/hyperlink" Target="https://mgg.stores-apple.com/catalog/smartfon-xiaomi-15-ultra-16-512-gb-serebro/" TargetMode="External"/><Relationship Id="rId929" Type="http://schemas.openxmlformats.org/officeDocument/2006/relationships/hyperlink" Target="https://mgg.stores-apple.com/catalog/planshet-apple-ipad-pro-2025-m5-11-wi-fi-cellular-256-gb-seryj-kosmos/" TargetMode="External"/><Relationship Id="rId928" Type="http://schemas.openxmlformats.org/officeDocument/2006/relationships/hyperlink" Target="https://mgg.stores-apple.com/catalog/planshet-apple-ipad-pro-2024-m4-13-wi-fi-256-gb-serebristyj/" TargetMode="External"/><Relationship Id="rId927" Type="http://schemas.openxmlformats.org/officeDocument/2006/relationships/hyperlink" Target="https://mgg.stores-apple.com/catalog/planshet-apple-ipad-pro-2024-m4-11-wi-fi-cellular-256-gb-serebristyj/" TargetMode="External"/><Relationship Id="rId926" Type="http://schemas.openxmlformats.org/officeDocument/2006/relationships/hyperlink" Target="https://mgg.stores-apple.com/catalog/planshet-apple-ipad-pro-2024-m4-11-wi-fi-cellular-256-gb-chernyj-kosmos/" TargetMode="External"/><Relationship Id="rId921" Type="http://schemas.openxmlformats.org/officeDocument/2006/relationships/hyperlink" Target="https://mgg.stores-apple.com/catalog/planshet-apple-ipad-pro-2024-m4-11-wi-fi-512-gb-chernyj-kosmos/" TargetMode="External"/><Relationship Id="rId920" Type="http://schemas.openxmlformats.org/officeDocument/2006/relationships/hyperlink" Target="https://mgg.stores-apple.com/catalog/planshet-apple-ipad-pro-2024-m4-11-wi-fi-256-gb-serebristyj/" TargetMode="External"/><Relationship Id="rId925" Type="http://schemas.openxmlformats.org/officeDocument/2006/relationships/hyperlink" Target="https://mgg.stores-apple.com/catalog/planshet-apple-ipad-pro-2024-m4-11-wi-fi-512-gb-serebristyj/" TargetMode="External"/><Relationship Id="rId924" Type="http://schemas.openxmlformats.org/officeDocument/2006/relationships/hyperlink" Target="https://mgg.stores-apple.com/catalog/planshet-apple-ipad-pro-2024-m4-13-wi-fi-256-gb-chernyj-kosmos/" TargetMode="External"/><Relationship Id="rId923" Type="http://schemas.openxmlformats.org/officeDocument/2006/relationships/hyperlink" Target="https://mgg.stores-apple.com/catalog/planshet-apple-ipad-pro-2025-m5-11-wi-fi-256-gb-seryj-kosmos/" TargetMode="External"/><Relationship Id="rId922" Type="http://schemas.openxmlformats.org/officeDocument/2006/relationships/hyperlink" Target="https://mgg.stores-apple.com/catalog/planshet-apple-ipad-pro-2025-m5-11-wi-fi-256-gb-serebristyj/" TargetMode="External"/><Relationship Id="rId918" Type="http://schemas.openxmlformats.org/officeDocument/2006/relationships/hyperlink" Target="https://mgg.stores-apple.com/catalog/smartfon_xiaomi_redmi_note_15_pro_5g_12_512_gb_mocha_brown_korichnevyy_mokko/" TargetMode="External"/><Relationship Id="rId917" Type="http://schemas.openxmlformats.org/officeDocument/2006/relationships/hyperlink" Target="https://mgg.stores-apple.com/catalog/smartfon_xiaomi_redmi_note_15_pro_5g_12_512_gb_midnight_black_polunochno_chernyy/" TargetMode="External"/><Relationship Id="rId916" Type="http://schemas.openxmlformats.org/officeDocument/2006/relationships/hyperlink" Target="https://mgg.stores-apple.com/catalog/smartfon_xiaomi_redmi_note_15_pro_5g_12_512_gb_glacier_blue_goluboy_led_1/" TargetMode="External"/><Relationship Id="rId915" Type="http://schemas.openxmlformats.org/officeDocument/2006/relationships/hyperlink" Target="https://mgg.stores-apple.com/catalog/smartfon_xiaomi_redmi_note_15_pro_5g_12_512_gb_black_chernyy/" TargetMode="External"/><Relationship Id="rId919" Type="http://schemas.openxmlformats.org/officeDocument/2006/relationships/hyperlink" Target="https://mgg.stores-apple.com/catalog/planshet-apple-ipad-pro-2024-m4-11-wi-fi-256-gb-chernyj-kosmos/" TargetMode="External"/><Relationship Id="rId910" Type="http://schemas.openxmlformats.org/officeDocument/2006/relationships/hyperlink" Target="https://mgg.stores-apple.com/catalog/smartfon_xiaomi_redmi_note_15_pro_5g_8_256_gb_midnight_black_polunochno_chernyy/" TargetMode="External"/><Relationship Id="rId914" Type="http://schemas.openxmlformats.org/officeDocument/2006/relationships/hyperlink" Target="https://mgg.stores-apple.com/catalog/smartfon_xiaomi_redmi_note_15_pro_5g_12_512_gb_glacier_blue_goluboy_led/" TargetMode="External"/><Relationship Id="rId913" Type="http://schemas.openxmlformats.org/officeDocument/2006/relationships/hyperlink" Target="https://mgg.stores-apple.com/catalog/smartfon_xiaomi_redmi_note_15_pro_5g_12_512_gb_titanium_titanovyy/" TargetMode="External"/><Relationship Id="rId912" Type="http://schemas.openxmlformats.org/officeDocument/2006/relationships/hyperlink" Target="https://mgg.stores-apple.com/catalog/smartfon_xiaomi_redmi_note_15_pro_5g_12_512_gb_mist_purple_dymchatyy_fioletovyy/" TargetMode="External"/><Relationship Id="rId911" Type="http://schemas.openxmlformats.org/officeDocument/2006/relationships/hyperlink" Target="https://mgg.stores-apple.com/catalog/smartfon_xiaomi_redmi_note_15_pro_5g_8_256_gb_mocha_brown_korichnevyy_mokko/" TargetMode="External"/><Relationship Id="rId1213" Type="http://schemas.openxmlformats.org/officeDocument/2006/relationships/hyperlink" Target="https://mgg.stores-apple.com/catalog/smart-chasy-apple-watch-se-3-40-mm-chernyi-sinii-s-m-gps/" TargetMode="External"/><Relationship Id="rId1214" Type="http://schemas.openxmlformats.org/officeDocument/2006/relationships/hyperlink" Target="https://mgg.stores-apple.com/catalog/smart-chasy-apple-watch-se-3-40-mm-bezhevyi-zheltyi-s-m-gps/" TargetMode="External"/><Relationship Id="rId1215" Type="http://schemas.openxmlformats.org/officeDocument/2006/relationships/hyperlink" Target="https://mgg.stores-apple.com/catalog/smart-chasy-apple-watch-se-3-44-mm-bezhevyi-bezhevyi-s-m-gps/" TargetMode="External"/><Relationship Id="rId1216" Type="http://schemas.openxmlformats.org/officeDocument/2006/relationships/hyperlink" Target="https://mgg.stores-apple.com/catalog/smart-chasy-apple-watch-se-3-40-mm-bezhevyi-bezhevyi-m-l-gps/" TargetMode="External"/><Relationship Id="rId1217" Type="http://schemas.openxmlformats.org/officeDocument/2006/relationships/hyperlink" Target="https://mgg.stores-apple.com/catalog/smart-chasy-apple-watch-se-3-40-mm-bezhevyi-zheltyi-m-l-gps/" TargetMode="External"/><Relationship Id="rId1218" Type="http://schemas.openxmlformats.org/officeDocument/2006/relationships/hyperlink" Target="https://mgg.stores-apple.com/catalog/smart-chasy-apple-watch-se-3-40-mm-chernyi-chernyi-m-l-gps/" TargetMode="External"/><Relationship Id="rId1219" Type="http://schemas.openxmlformats.org/officeDocument/2006/relationships/hyperlink" Target="https://mgg.stores-apple.com/catalog/smart-chasy-apple-watch-se-3-40-mm-chernyi-sinii-m-l-gps/" TargetMode="External"/><Relationship Id="rId866" Type="http://schemas.openxmlformats.org/officeDocument/2006/relationships/hyperlink" Target="https://mgg.stores-apple.com/catalog/smartfon-poco-f7-pro-12-512gb-serebro/" TargetMode="External"/><Relationship Id="rId865" Type="http://schemas.openxmlformats.org/officeDocument/2006/relationships/hyperlink" Target="https://mgg.stores-apple.com/catalog/smartfon-poco-f7-pro-12-512gb-goluboy/" TargetMode="External"/><Relationship Id="rId864" Type="http://schemas.openxmlformats.org/officeDocument/2006/relationships/hyperlink" Target="https://mgg.stores-apple.com/catalog/smartfon-poco-f7-pro-12-512gb-chernyy/" TargetMode="External"/><Relationship Id="rId863" Type="http://schemas.openxmlformats.org/officeDocument/2006/relationships/hyperlink" Target="https://mgg.stores-apple.com/catalog/smartfon-poco-f7-pro-12-256gb-chernyy/" TargetMode="External"/><Relationship Id="rId869" Type="http://schemas.openxmlformats.org/officeDocument/2006/relationships/hyperlink" Target="https://mgg.stores-apple.com/catalog/smartfon_poco_x8_pro_12_512_gb_chernyy/" TargetMode="External"/><Relationship Id="rId868" Type="http://schemas.openxmlformats.org/officeDocument/2006/relationships/hyperlink" Target="https://mgg.stores-apple.com/catalog/smartfon_poco_x8_pro_12_512_gb_zelenyy/" TargetMode="External"/><Relationship Id="rId867" Type="http://schemas.openxmlformats.org/officeDocument/2006/relationships/hyperlink" Target="https://mgg.stores-apple.com/catalog/smartfon_poco_x8_pro_12_512_gb_belyy/" TargetMode="External"/><Relationship Id="rId862" Type="http://schemas.openxmlformats.org/officeDocument/2006/relationships/hyperlink" Target="https://mgg.stores-apple.com/catalog/smartfon-poco-f7-pro-12-256gb-serebro/" TargetMode="External"/><Relationship Id="rId861" Type="http://schemas.openxmlformats.org/officeDocument/2006/relationships/hyperlink" Target="https://mgg.stores-apple.com/catalog/smartfon-poco-f7-pro-12-256gb-goluboy/" TargetMode="External"/><Relationship Id="rId1210" Type="http://schemas.openxmlformats.org/officeDocument/2006/relationships/hyperlink" Target="https://mgg.stores-apple.com/catalog/smart-chasy-apple-watch-se-3-40-mm-chernyi-chernyi-m-l-lte/" TargetMode="External"/><Relationship Id="rId860" Type="http://schemas.openxmlformats.org/officeDocument/2006/relationships/hyperlink" Target="https://mgg.stores-apple.com/catalog/smartfon_poco_x8_pro_8_512_gb_chernyy/" TargetMode="External"/><Relationship Id="rId1211" Type="http://schemas.openxmlformats.org/officeDocument/2006/relationships/hyperlink" Target="https://mgg.stores-apple.com/catalog/smart-chasy-apple-watch-se-3-40-mm-chernyi-chernyi-s-m-lte/" TargetMode="External"/><Relationship Id="rId1212" Type="http://schemas.openxmlformats.org/officeDocument/2006/relationships/hyperlink" Target="https://mgg.stores-apple.com/catalog/smart-chasy-apple-watch-se-3-40-mm-chernyi-sinii-s-m-lte/" TargetMode="External"/><Relationship Id="rId1202" Type="http://schemas.openxmlformats.org/officeDocument/2006/relationships/hyperlink" Target="https://mgg.stores-apple.com/catalog/smart-chasy-apple-watch-series-11-42-mm-alyuminii-chernyi-chernyi-s-m-rezina/" TargetMode="External"/><Relationship Id="rId1203" Type="http://schemas.openxmlformats.org/officeDocument/2006/relationships/hyperlink" Target="https://mgg.stores-apple.com/catalog/smart-chasy-apple-watch-series-11-42-mm-alyuminii-zolotistyi-bezhevyi-s-m-rezina/" TargetMode="External"/><Relationship Id="rId1204" Type="http://schemas.openxmlformats.org/officeDocument/2006/relationships/hyperlink" Target="https://mgg.stores-apple.com/catalog/smart-chasy-apple-watch-series-11-46-mm-alyuminii-zolotistyi-bezhevyi-m-l-rezina/" TargetMode="External"/><Relationship Id="rId1205" Type="http://schemas.openxmlformats.org/officeDocument/2006/relationships/hyperlink" Target="https://mgg.stores-apple.com/catalog/smart-chasy-apple-watch-series-11-46-mm-alyuminii-chernyi-chernyi-m-l-rezina/" TargetMode="External"/><Relationship Id="rId1206" Type="http://schemas.openxmlformats.org/officeDocument/2006/relationships/hyperlink" Target="https://mgg.stores-apple.com/catalog/smart-chasy-apple-watch-ultra-3-49-mm-chernyi-chernyi-5g/" TargetMode="External"/><Relationship Id="rId1207" Type="http://schemas.openxmlformats.org/officeDocument/2006/relationships/hyperlink" Target="https://mgg.stores-apple.com/catalog/smart-chasy-apple-watch-se-3-40-mm-bezhevyi-zheltyi-s-m-lte/" TargetMode="External"/><Relationship Id="rId1208" Type="http://schemas.openxmlformats.org/officeDocument/2006/relationships/hyperlink" Target="https://mgg.stores-apple.com/catalog/smart-chasy-apple-watch-se-3-40-mm-bezhevyi-zheltyi-m-l-lte/" TargetMode="External"/><Relationship Id="rId1209" Type="http://schemas.openxmlformats.org/officeDocument/2006/relationships/hyperlink" Target="https://mgg.stores-apple.com/catalog/smart-chasy-apple-watch-se-3-40-mm-chernyi-sinii-m-l-lte/" TargetMode="External"/><Relationship Id="rId855" Type="http://schemas.openxmlformats.org/officeDocument/2006/relationships/hyperlink" Target="https://mgg.stores-apple.com/catalog/smartfon-poco-x7-pro-12-512gb-chernyy/" TargetMode="External"/><Relationship Id="rId854" Type="http://schemas.openxmlformats.org/officeDocument/2006/relationships/hyperlink" Target="https://mgg.stores-apple.com/catalog/smartfon-poco-x7-pro-12-512gb-zelenyy/" TargetMode="External"/><Relationship Id="rId853" Type="http://schemas.openxmlformats.org/officeDocument/2006/relationships/hyperlink" Target="https://mgg.stores-apple.com/catalog/smartfon-poco-x7-pro-12-512gb-zheltyy/" TargetMode="External"/><Relationship Id="rId852" Type="http://schemas.openxmlformats.org/officeDocument/2006/relationships/hyperlink" Target="https://mgg.stores-apple.com/catalog/smartfon_poco_m8_8_512_gb_serebristyy/" TargetMode="External"/><Relationship Id="rId859" Type="http://schemas.openxmlformats.org/officeDocument/2006/relationships/hyperlink" Target="https://mgg.stores-apple.com/catalog/smartfon_poco_x8_pro_8_512_gb_zelenyy/" TargetMode="External"/><Relationship Id="rId858" Type="http://schemas.openxmlformats.org/officeDocument/2006/relationships/hyperlink" Target="https://mgg.stores-apple.com/catalog/smartfon_poco_x8_pro_8_256_gb_chernyy/" TargetMode="External"/><Relationship Id="rId857" Type="http://schemas.openxmlformats.org/officeDocument/2006/relationships/hyperlink" Target="https://mgg.stores-apple.com/catalog/smartfon_poco_x8_pro_8_256_gb_belyy/" TargetMode="External"/><Relationship Id="rId856" Type="http://schemas.openxmlformats.org/officeDocument/2006/relationships/hyperlink" Target="https://mgg.stores-apple.com/catalog/smartfon_poco_x8_pro_8_256_gb_zelenyy/" TargetMode="External"/><Relationship Id="rId851" Type="http://schemas.openxmlformats.org/officeDocument/2006/relationships/hyperlink" Target="https://mgg.stores-apple.com/catalog/smartfon_poco_m8_8_512_gb_chernyy/" TargetMode="External"/><Relationship Id="rId850" Type="http://schemas.openxmlformats.org/officeDocument/2006/relationships/hyperlink" Target="https://mgg.stores-apple.com/catalog/smartfon_poco_m8_8_512_gb_zelenyy/" TargetMode="External"/><Relationship Id="rId1200" Type="http://schemas.openxmlformats.org/officeDocument/2006/relationships/hyperlink" Target="https://mgg.stores-apple.com/catalog/smart-chasy-apple-watch-se-3-44-mm-chernyi-chernyi-m-l-gps/" TargetMode="External"/><Relationship Id="rId1201" Type="http://schemas.openxmlformats.org/officeDocument/2006/relationships/hyperlink" Target="https://mgg.stores-apple.com/catalog/smart-chasy-apple-watch-se-3-44-mm-bezhevyi-bezhevyi-m-l-gps/" TargetMode="External"/><Relationship Id="rId1235" Type="http://schemas.openxmlformats.org/officeDocument/2006/relationships/hyperlink" Target="https://mgg.stores-apple.com/catalog/apple-watch-ultra-2-trail-loop-orange-beige-sm/" TargetMode="External"/><Relationship Id="rId1236" Type="http://schemas.openxmlformats.org/officeDocument/2006/relationships/hyperlink" Target="https://mgg.stores-apple.com/catalog/smart-chasy-apple-watch-ultra-3-49-mm-black-titanium-bl-charcoal-trail-loop-s-m-5g/" TargetMode="External"/><Relationship Id="rId1237" Type="http://schemas.openxmlformats.org/officeDocument/2006/relationships/hyperlink" Target="https://mgg.stores-apple.com/catalog/smart-chasy-apple-watch-ultra-3-49-mm-black-titanium-bl-charcoal-trail-loop-m-l-5g/" TargetMode="External"/><Relationship Id="rId1238" Type="http://schemas.openxmlformats.org/officeDocument/2006/relationships/hyperlink" Target="https://mgg.stores-apple.com/catalog/smart-chasy-apple-watch-ultra-3-49-mm-natural-titanium-bright-blue-trail-m-l-5g/" TargetMode="External"/><Relationship Id="rId1239" Type="http://schemas.openxmlformats.org/officeDocument/2006/relationships/hyperlink" Target="https://mgg.stores-apple.com/catalog/smart_chasy_apple_watch_ultra_2_satin_black_49_mm_ocean_band_chernyy_/" TargetMode="External"/><Relationship Id="rId409" Type="http://schemas.openxmlformats.org/officeDocument/2006/relationships/hyperlink" Target="https://mgg.stores-apple.com/catalog/smartfon_apple_iphone_17e_256_gb_chernyy_esim_/" TargetMode="External"/><Relationship Id="rId404" Type="http://schemas.openxmlformats.org/officeDocument/2006/relationships/hyperlink" Target="https://mgg.stores-apple.com/catalog/smartfon_apple_iphone_17e_256_gb_rozovyy_/" TargetMode="External"/><Relationship Id="rId888" Type="http://schemas.openxmlformats.org/officeDocument/2006/relationships/hyperlink" Target="https://mgg.stores-apple.com/catalog/smartfon-xiaomi-15-12-512-gb-belyy/" TargetMode="External"/><Relationship Id="rId403" Type="http://schemas.openxmlformats.org/officeDocument/2006/relationships/hyperlink" Target="https://mgg.stores-apple.com/catalog/smartfon_apple_iphone_17e_512_gb_belyy_esim_/" TargetMode="External"/><Relationship Id="rId887" Type="http://schemas.openxmlformats.org/officeDocument/2006/relationships/hyperlink" Target="https://mgg.stores-apple.com/catalog/smartfon-xiaomi-15-12-512-gb-zelenyy/" TargetMode="External"/><Relationship Id="rId402" Type="http://schemas.openxmlformats.org/officeDocument/2006/relationships/hyperlink" Target="https://mgg.stores-apple.com/catalog/smartfon_apple_iphone_17e_256_gb_belyy_esim_/" TargetMode="External"/><Relationship Id="rId886" Type="http://schemas.openxmlformats.org/officeDocument/2006/relationships/hyperlink" Target="https://mgg.stores-apple.com/catalog/smartfon_xiaomi_15t_pro_12_256_gb_zolotoy/" TargetMode="External"/><Relationship Id="rId401" Type="http://schemas.openxmlformats.org/officeDocument/2006/relationships/hyperlink" Target="https://mgg.stores-apple.com/catalog/smartfon_apple_iphone_17e_512_gb_chernyy/" TargetMode="External"/><Relationship Id="rId885" Type="http://schemas.openxmlformats.org/officeDocument/2006/relationships/hyperlink" Target="https://mgg.stores-apple.com/catalog/smartfon_xiaomi_15t_pro_12_256_gb_chernyy/" TargetMode="External"/><Relationship Id="rId408" Type="http://schemas.openxmlformats.org/officeDocument/2006/relationships/hyperlink" Target="https://mgg.stores-apple.com/catalog/smartfon_apple_iphone_17e_512_gb_rozovyy_esim_/" TargetMode="External"/><Relationship Id="rId407" Type="http://schemas.openxmlformats.org/officeDocument/2006/relationships/hyperlink" Target="https://mgg.stores-apple.com/catalog/smartfon_apple_iphone_17e_256_gb_chernyy_/" TargetMode="External"/><Relationship Id="rId406" Type="http://schemas.openxmlformats.org/officeDocument/2006/relationships/hyperlink" Target="https://mgg.stores-apple.com/catalog/smartfon_apple_iphone_17e_512_gb_belyy_/" TargetMode="External"/><Relationship Id="rId405" Type="http://schemas.openxmlformats.org/officeDocument/2006/relationships/hyperlink" Target="https://mgg.stores-apple.com/catalog/smartfon_apple_iphone_17e_512_gb_rozovyy_/" TargetMode="External"/><Relationship Id="rId889" Type="http://schemas.openxmlformats.org/officeDocument/2006/relationships/hyperlink" Target="https://mgg.stores-apple.com/catalog/smartfon-xiaomi-15-12-512-gb-chernyy/" TargetMode="External"/><Relationship Id="rId880" Type="http://schemas.openxmlformats.org/officeDocument/2006/relationships/hyperlink" Target="https://mgg.stores-apple.com/catalog/smartfon_xiaomi_15t_12_256_gb_chernyy/" TargetMode="External"/><Relationship Id="rId1230" Type="http://schemas.openxmlformats.org/officeDocument/2006/relationships/hyperlink" Target="https://mgg.stores-apple.com/catalog/smart-chasy-apple-watch-se-3-44-mm-bezhevyi-zheltyi-s-m-gps/" TargetMode="External"/><Relationship Id="rId400" Type="http://schemas.openxmlformats.org/officeDocument/2006/relationships/hyperlink" Target="https://mgg.stores-apple.com/catalog/smartfon_apple_iphone_17e_512_gb_belyy/" TargetMode="External"/><Relationship Id="rId884" Type="http://schemas.openxmlformats.org/officeDocument/2006/relationships/hyperlink" Target="https://mgg.stores-apple.com/catalog/smartfon-xiaomi-15-12-256-gb-belyy/" TargetMode="External"/><Relationship Id="rId1231" Type="http://schemas.openxmlformats.org/officeDocument/2006/relationships/hyperlink" Target="https://mgg.stores-apple.com/catalog/smart-chasy-apple-watch-se-3-44-mm-chernyi-sinii-s-m-gps/" TargetMode="External"/><Relationship Id="rId883" Type="http://schemas.openxmlformats.org/officeDocument/2006/relationships/hyperlink" Target="https://mgg.stores-apple.com/catalog/smartfon-xiaomi-15-12-256-gb-chernyy/" TargetMode="External"/><Relationship Id="rId1232" Type="http://schemas.openxmlformats.org/officeDocument/2006/relationships/hyperlink" Target="https://mgg.stores-apple.com/catalog/smart_chasy_apple_watch_ultra_2_satin_black_49_mm_trail_loop_chernyy_razmer_m_l/" TargetMode="External"/><Relationship Id="rId882" Type="http://schemas.openxmlformats.org/officeDocument/2006/relationships/hyperlink" Target="https://mgg.stores-apple.com/catalog/smartfon-xiaomi-15-12-256-gb-zelenyy/" TargetMode="External"/><Relationship Id="rId1233" Type="http://schemas.openxmlformats.org/officeDocument/2006/relationships/hyperlink" Target="https://mgg.stores-apple.com/catalog/smart_chasy_apple_watch_ultra_2_black_titanium_49mm_milanese_loop_black_l/" TargetMode="External"/><Relationship Id="rId881" Type="http://schemas.openxmlformats.org/officeDocument/2006/relationships/hyperlink" Target="https://mgg.stores-apple.com/catalog/smartfon_xiaomi_15t_12_256_gb_seryy/" TargetMode="External"/><Relationship Id="rId1234" Type="http://schemas.openxmlformats.org/officeDocument/2006/relationships/hyperlink" Target="https://mgg.stores-apple.com/catalog/smart_chasy_apple_watch_ultra_2_satin_black_49_mm_trail_loop_chernyy_razmer_s_m/" TargetMode="External"/><Relationship Id="rId1224" Type="http://schemas.openxmlformats.org/officeDocument/2006/relationships/hyperlink" Target="https://mgg.stores-apple.com/catalog/smart-chasy-apple-watch-se-3-44-mm-bezhevyi-zheltyi-s-m-lte/" TargetMode="External"/><Relationship Id="rId1225" Type="http://schemas.openxmlformats.org/officeDocument/2006/relationships/hyperlink" Target="https://mgg.stores-apple.com/catalog/smart-chasy-apple-watch-se-3-44-mm-bezhevyi-bezhevyi-m-l-lte/" TargetMode="External"/><Relationship Id="rId1226" Type="http://schemas.openxmlformats.org/officeDocument/2006/relationships/hyperlink" Target="https://mgg.stores-apple.com/catalog/smart-chasy-apple-watch-se-3-44-mm-chernyi-sinii-s-m-lte/" TargetMode="External"/><Relationship Id="rId1227" Type="http://schemas.openxmlformats.org/officeDocument/2006/relationships/hyperlink" Target="https://mgg.stores-apple.com/catalog/smart-chasy-apple-watch-se-3-44-mm-chernyi-sinii-m-l-lte/" TargetMode="External"/><Relationship Id="rId1228" Type="http://schemas.openxmlformats.org/officeDocument/2006/relationships/hyperlink" Target="https://mgg.stores-apple.com/catalog/smart-chasy-apple-watch-se-3-44-mm-chernyi-chernyi-s-m-lte/" TargetMode="External"/><Relationship Id="rId1229" Type="http://schemas.openxmlformats.org/officeDocument/2006/relationships/hyperlink" Target="https://mgg.stores-apple.com/catalog/smart-chasy-apple-watch-se-3-44-mm-chernyi-chernyi-m-l-lte/" TargetMode="External"/><Relationship Id="rId877" Type="http://schemas.openxmlformats.org/officeDocument/2006/relationships/hyperlink" Target="https://mgg.stores-apple.com/catalog/smartfon_xiaomi_17t_pro_12_256gb_chernyy/" TargetMode="External"/><Relationship Id="rId876" Type="http://schemas.openxmlformats.org/officeDocument/2006/relationships/hyperlink" Target="https://mgg.stores-apple.com/catalog/smartfon_xiaomi_15t_pro_12_256_gb_seryy/" TargetMode="External"/><Relationship Id="rId875" Type="http://schemas.openxmlformats.org/officeDocument/2006/relationships/hyperlink" Target="https://mgg.stores-apple.com/catalog/smartfon_poco_x8_pro_max_12_512_gb_chernyy/" TargetMode="External"/><Relationship Id="rId874" Type="http://schemas.openxmlformats.org/officeDocument/2006/relationships/hyperlink" Target="https://mgg.stores-apple.com/catalog/smartfon_poco_x8_pro_max_12_512gb_belyy/" TargetMode="External"/><Relationship Id="rId879" Type="http://schemas.openxmlformats.org/officeDocument/2006/relationships/hyperlink" Target="https://mgg.stores-apple.com/catalog/smartfon_xiaomi_15t_12_256_gb_zolotoy/" TargetMode="External"/><Relationship Id="rId878" Type="http://schemas.openxmlformats.org/officeDocument/2006/relationships/hyperlink" Target="https://mgg.stores-apple.com/catalog/smartfon_xiaomi_17_12_512_gb_chernyy/" TargetMode="External"/><Relationship Id="rId873" Type="http://schemas.openxmlformats.org/officeDocument/2006/relationships/hyperlink" Target="https://mgg.stores-apple.com/catalog/smartfon_poco_x8_pro_max_12_512_gb_goluboy/" TargetMode="External"/><Relationship Id="rId1220" Type="http://schemas.openxmlformats.org/officeDocument/2006/relationships/hyperlink" Target="https://mgg.stores-apple.com/catalog/smart-chasy-apple-watch-se-3-44-mm-chernyi-chernyi-s-m-gps/" TargetMode="External"/><Relationship Id="rId872" Type="http://schemas.openxmlformats.org/officeDocument/2006/relationships/hyperlink" Target="https://mgg.stores-apple.com/catalog/smartfon_poco_x8_pro_max_12_256_gb_chernyy/" TargetMode="External"/><Relationship Id="rId1221" Type="http://schemas.openxmlformats.org/officeDocument/2006/relationships/hyperlink" Target="https://mgg.stores-apple.com/catalog/smart-chasy-apple-watch-se-3-44-mm-chernyi-sinii-m-l-gps/" TargetMode="External"/><Relationship Id="rId871" Type="http://schemas.openxmlformats.org/officeDocument/2006/relationships/hyperlink" Target="https://mgg.stores-apple.com/catalog/smartfon_poco_x8_pro_max_12_256_gb_goluboy/" TargetMode="External"/><Relationship Id="rId1222" Type="http://schemas.openxmlformats.org/officeDocument/2006/relationships/hyperlink" Target="https://mgg.stores-apple.com/catalog/smart-chasy-apple-watch-se-3-44-mm-bezhevyi-zheltyi-m-l-gps/" TargetMode="External"/><Relationship Id="rId870" Type="http://schemas.openxmlformats.org/officeDocument/2006/relationships/hyperlink" Target="https://mgg.stores-apple.com/catalog/smartfon_poco_x8_pro_max_12_256_gb_belyy/" TargetMode="External"/><Relationship Id="rId1223" Type="http://schemas.openxmlformats.org/officeDocument/2006/relationships/hyperlink" Target="https://mgg.stores-apple.com/catalog/smart-chasy-apple-watch-se-3-44-mm-bezhevyi-zheltyi-m-l-lte/" TargetMode="External"/><Relationship Id="rId829" Type="http://schemas.openxmlformats.org/officeDocument/2006/relationships/hyperlink" Target="https://mgg.stores-apple.com/catalog/smartfon-poco-m7-pro-5g-12-512-gb-fioletovyi/" TargetMode="External"/><Relationship Id="rId828" Type="http://schemas.openxmlformats.org/officeDocument/2006/relationships/hyperlink" Target="https://mgg.stores-apple.com/catalog/smartfon-poco-m7-pro-5g-12-512-gb-zelenyi/" TargetMode="External"/><Relationship Id="rId827" Type="http://schemas.openxmlformats.org/officeDocument/2006/relationships/hyperlink" Target="https://mgg.stores-apple.com/catalog/smartfon-poco-m7-pro-5g-12-512-gb-chernyi/" TargetMode="External"/><Relationship Id="rId822" Type="http://schemas.openxmlformats.org/officeDocument/2006/relationships/hyperlink" Target="https://mgg.stores-apple.com/catalog/smartfon-poco-x7-8-128gb-serebristyy/" TargetMode="External"/><Relationship Id="rId821" Type="http://schemas.openxmlformats.org/officeDocument/2006/relationships/hyperlink" Target="https://mgg.stores-apple.com/catalog/smartfon-poco-m7-pro-5g-12-256-gb-zelenyi/" TargetMode="External"/><Relationship Id="rId820" Type="http://schemas.openxmlformats.org/officeDocument/2006/relationships/hyperlink" Target="https://mgg.stores-apple.com/catalog/smartfon-poco-x7-8-128gb-chernyy/" TargetMode="External"/><Relationship Id="rId826" Type="http://schemas.openxmlformats.org/officeDocument/2006/relationships/hyperlink" Target="https://mgg.stores-apple.com/catalog/smartfon-poco-m7-pro-5g-12-512-gb-serebryanyi/" TargetMode="External"/><Relationship Id="rId825" Type="http://schemas.openxmlformats.org/officeDocument/2006/relationships/hyperlink" Target="https://mgg.stores-apple.com/catalog/smartfon-poco-m7-pro-5g-12-256-gb-chernyi/" TargetMode="External"/><Relationship Id="rId824" Type="http://schemas.openxmlformats.org/officeDocument/2006/relationships/hyperlink" Target="https://mgg.stores-apple.com/catalog/smartfon-poco-m7-pro-5g-12-256-gb-fioletovyi/" TargetMode="External"/><Relationship Id="rId823" Type="http://schemas.openxmlformats.org/officeDocument/2006/relationships/hyperlink" Target="https://mgg.stores-apple.com/catalog/smartfon-poco-m7-pro-5g-12-256-gb-serebryanyi/" TargetMode="External"/><Relationship Id="rId819" Type="http://schemas.openxmlformats.org/officeDocument/2006/relationships/hyperlink" Target="https://mgg.stores-apple.com/catalog/smartfon-poco-x7-8-128gb-zelenyy/" TargetMode="External"/><Relationship Id="rId818" Type="http://schemas.openxmlformats.org/officeDocument/2006/relationships/hyperlink" Target="https://mgg.stores-apple.com/catalog/smartfon-poco-m7-pro-5g-8-256-gb-serebryanyi/" TargetMode="External"/><Relationship Id="rId817" Type="http://schemas.openxmlformats.org/officeDocument/2006/relationships/hyperlink" Target="https://mgg.stores-apple.com/catalog/smartfon-poco-m7-pro-5g-8-256-gb-chernyi/" TargetMode="External"/><Relationship Id="rId816" Type="http://schemas.openxmlformats.org/officeDocument/2006/relationships/hyperlink" Target="https://mgg.stores-apple.com/catalog/smartfon-poco-m7-pro-5g-8-256-gb-zelenyi/" TargetMode="External"/><Relationship Id="rId811" Type="http://schemas.openxmlformats.org/officeDocument/2006/relationships/hyperlink" Target="https://mgg.stores-apple.com/catalog/smartfon_honor_magic_8_pro_16_1024_gb_sunrise_gold_zolotoy/" TargetMode="External"/><Relationship Id="rId810" Type="http://schemas.openxmlformats.org/officeDocument/2006/relationships/hyperlink" Target="https://mgg.stores-apple.com/catalog/smartfon_honor_magic_8_pro_12_512_gb_sunrise_gold_zolotoy/" TargetMode="External"/><Relationship Id="rId815" Type="http://schemas.openxmlformats.org/officeDocument/2006/relationships/hyperlink" Target="https://mgg.stores-apple.com/catalog/smartfon-poco-m7-pro-5g-8-256-gb-fioletovyi/" TargetMode="External"/><Relationship Id="rId814" Type="http://schemas.openxmlformats.org/officeDocument/2006/relationships/hyperlink" Target="https://mgg.stores-apple.com/catalog/smartfon_poco_x8_pro_8_512_gb_belyy/" TargetMode="External"/><Relationship Id="rId813" Type="http://schemas.openxmlformats.org/officeDocument/2006/relationships/hyperlink" Target="https://mgg.stores-apple.com/catalog/smartfon_poco_m8_pro_5g_8_256_gb_chernyy/" TargetMode="External"/><Relationship Id="rId812" Type="http://schemas.openxmlformats.org/officeDocument/2006/relationships/hyperlink" Target="https://mgg.stores-apple.com/catalog/smartfon_honor_magic_8_pro_16_1024_gb_black_chernyy/" TargetMode="External"/><Relationship Id="rId849" Type="http://schemas.openxmlformats.org/officeDocument/2006/relationships/hyperlink" Target="https://mgg.stores-apple.com/catalog/smartfon-poco-x7-pro-12-256gb-zelenyy/" TargetMode="External"/><Relationship Id="rId844" Type="http://schemas.openxmlformats.org/officeDocument/2006/relationships/hyperlink" Target="https://mgg.stores-apple.com/catalog/smartfon_poco_m8_pro_5g_12_256_gb_zelenyy/" TargetMode="External"/><Relationship Id="rId843" Type="http://schemas.openxmlformats.org/officeDocument/2006/relationships/hyperlink" Target="https://mgg.stores-apple.com/catalog/smartfon-poco-x7-pro-8-256gb-chernyy/" TargetMode="External"/><Relationship Id="rId842" Type="http://schemas.openxmlformats.org/officeDocument/2006/relationships/hyperlink" Target="https://mgg.stores-apple.com/catalog/smartfon-poco-x7-pro-8-256gb-zheltyy/" TargetMode="External"/><Relationship Id="rId841" Type="http://schemas.openxmlformats.org/officeDocument/2006/relationships/hyperlink" Target="https://mgg.stores-apple.com/catalog/smartfon-poco-x7-pro-8-256gb-zelenyy/" TargetMode="External"/><Relationship Id="rId848" Type="http://schemas.openxmlformats.org/officeDocument/2006/relationships/hyperlink" Target="https://mgg.stores-apple.com/catalog/smartfon-poco-x7-pro-12-256gb-chernyy/" TargetMode="External"/><Relationship Id="rId847" Type="http://schemas.openxmlformats.org/officeDocument/2006/relationships/hyperlink" Target="https://mgg.stores-apple.com/catalog/smartfon-poco-x7-pro-12-256gb-zheltyy/" TargetMode="External"/><Relationship Id="rId846" Type="http://schemas.openxmlformats.org/officeDocument/2006/relationships/hyperlink" Target="https://mgg.stores-apple.com/catalog/smartfon_poco_m8_pro_5g_12_256_gb_serebristyy/" TargetMode="External"/><Relationship Id="rId845" Type="http://schemas.openxmlformats.org/officeDocument/2006/relationships/hyperlink" Target="https://mgg.stores-apple.com/catalog/smartfon_poco_m8_pro_5g_12_256_gb_chernyy/" TargetMode="External"/><Relationship Id="rId840" Type="http://schemas.openxmlformats.org/officeDocument/2006/relationships/hyperlink" Target="https://mgg.stores-apple.com/catalog/smartfon_poco_m8_pro_5g_8_256_gb_serebristyy/" TargetMode="External"/><Relationship Id="rId839" Type="http://schemas.openxmlformats.org/officeDocument/2006/relationships/hyperlink" Target="https://mgg.stores-apple.com/catalog/smartfon_poco_m8_pro_5g_8_256_gb_zelenyy/" TargetMode="External"/><Relationship Id="rId838" Type="http://schemas.openxmlformats.org/officeDocument/2006/relationships/hyperlink" Target="https://mgg.stores-apple.com/catalog/smartfon_poco_m8_8_256_gb_chernyy/" TargetMode="External"/><Relationship Id="rId833" Type="http://schemas.openxmlformats.org/officeDocument/2006/relationships/hyperlink" Target="https://mgg.stores-apple.com/catalog/smartfon-poco-x7-12-512gb-serebristyy/" TargetMode="External"/><Relationship Id="rId832" Type="http://schemas.openxmlformats.org/officeDocument/2006/relationships/hyperlink" Target="https://mgg.stores-apple.com/catalog/smartfon-poco-x7-8-256gb-zelenyy/" TargetMode="External"/><Relationship Id="rId831" Type="http://schemas.openxmlformats.org/officeDocument/2006/relationships/hyperlink" Target="https://mgg.stores-apple.com/catalog/smartfon-poco-x7-8-256gb-chernyy/" TargetMode="External"/><Relationship Id="rId830" Type="http://schemas.openxmlformats.org/officeDocument/2006/relationships/hyperlink" Target="https://mgg.stores-apple.com/catalog/smartfon-poco-x7-8-256gb-serebristyy/" TargetMode="External"/><Relationship Id="rId837" Type="http://schemas.openxmlformats.org/officeDocument/2006/relationships/hyperlink" Target="https://mgg.stores-apple.com/catalog/smartfon_poco_m8_8_256_gb_serebristyy/" TargetMode="External"/><Relationship Id="rId836" Type="http://schemas.openxmlformats.org/officeDocument/2006/relationships/hyperlink" Target="https://mgg.stores-apple.com/catalog/smartfon_poco_m8_8_256_gb_zelenyy/" TargetMode="External"/><Relationship Id="rId835" Type="http://schemas.openxmlformats.org/officeDocument/2006/relationships/hyperlink" Target="https://mgg.stores-apple.com/catalog/smartfon-poco-x7-12-512gb-chernyy/" TargetMode="External"/><Relationship Id="rId834" Type="http://schemas.openxmlformats.org/officeDocument/2006/relationships/hyperlink" Target="https://mgg.stores-apple.com/catalog/smartfon-poco-x7-12-512gb-zelenyy/" TargetMode="External"/><Relationship Id="rId469" Type="http://schemas.openxmlformats.org/officeDocument/2006/relationships/hyperlink" Target="https://mgg.stores-apple.com/catalog/smartfon_samsung_galaxy_a57_8_128_gb_siniy/" TargetMode="External"/><Relationship Id="rId468" Type="http://schemas.openxmlformats.org/officeDocument/2006/relationships/hyperlink" Target="https://mgg.stores-apple.com/catalog/smartfon_samsung_galaxy_a37_8_256_gb_lavandovyy/" TargetMode="External"/><Relationship Id="rId467" Type="http://schemas.openxmlformats.org/officeDocument/2006/relationships/hyperlink" Target="https://mgg.stores-apple.com/catalog/smartfon_samsung_galaxy_a37_8_256_gb_chernyy/" TargetMode="External"/><Relationship Id="rId1290" Type="http://schemas.openxmlformats.org/officeDocument/2006/relationships/hyperlink" Target="https://mgg.stores-apple.com/catalog/smart-chasy-apple-watch-ultra-3-49-mm-natural-titanium-milanese-natural-loop-l-5g/" TargetMode="External"/><Relationship Id="rId1291" Type="http://schemas.openxmlformats.org/officeDocument/2006/relationships/hyperlink" Target="https://mgg.stores-apple.com/catalog/smart-chasy-apple-watch-ultra-3-49-mm-natural-titanium-milanese-natural-loop-s-5g/" TargetMode="External"/><Relationship Id="rId1292" Type="http://schemas.openxmlformats.org/officeDocument/2006/relationships/hyperlink" Target="https://mgg.stores-apple.com/catalog/smart_chasy_apple_watch_series_12_black/" TargetMode="External"/><Relationship Id="rId462" Type="http://schemas.openxmlformats.org/officeDocument/2006/relationships/hyperlink" Target="https://mgg.stores-apple.com/catalog/smartfon-samsung-galaxy-a56-8-128-gb-zelenyy/" TargetMode="External"/><Relationship Id="rId1293" Type="http://schemas.openxmlformats.org/officeDocument/2006/relationships/hyperlink" Target="https://mgg.stores-apple.com/catalog/smart_chasy_apple_watch_series_12_light_gold/" TargetMode="External"/><Relationship Id="rId461" Type="http://schemas.openxmlformats.org/officeDocument/2006/relationships/hyperlink" Target="https://mgg.stores-apple.com/catalog/smartfon-samsung-galaxy-a56-8-128-gb-chernyy/" TargetMode="External"/><Relationship Id="rId1294" Type="http://schemas.openxmlformats.org/officeDocument/2006/relationships/hyperlink" Target="https://mgg.stores-apple.com/catalog/smart_chasy_apple_watch_series_12_dark_bronze/" TargetMode="External"/><Relationship Id="rId460" Type="http://schemas.openxmlformats.org/officeDocument/2006/relationships/hyperlink" Target="https://mgg.stores-apple.com/catalog/smartfon-samsung-galaxy-a36-12-256-gb-chernyy/" TargetMode="External"/><Relationship Id="rId1295" Type="http://schemas.openxmlformats.org/officeDocument/2006/relationships/hyperlink" Target="https://mgg.stores-apple.com/catalog/smart_chasy_apple_watch_ultra_4_natural_titanium__1/" TargetMode="External"/><Relationship Id="rId1296" Type="http://schemas.openxmlformats.org/officeDocument/2006/relationships/hyperlink" Target="https://mgg.stores-apple.com/catalog/smart_chasy_apple_watch_ultra_4_natural_titanium_/" TargetMode="External"/><Relationship Id="rId466" Type="http://schemas.openxmlformats.org/officeDocument/2006/relationships/hyperlink" Target="https://mgg.stores-apple.com/catalog/smartfon-samsung-galaxy-a56-8-128-gb-lavandovyy/" TargetMode="External"/><Relationship Id="rId1297" Type="http://schemas.openxmlformats.org/officeDocument/2006/relationships/hyperlink" Target="https://mgg.stores-apple.com/catalog/smart-chasy-samsung-galaxy-watch-fe-40mm-chernyy/" TargetMode="External"/><Relationship Id="rId465" Type="http://schemas.openxmlformats.org/officeDocument/2006/relationships/hyperlink" Target="https://mgg.stores-apple.com/catalog/smartfon_samsung_galaxy_a37_8_256_gb_belyy/" TargetMode="External"/><Relationship Id="rId1298" Type="http://schemas.openxmlformats.org/officeDocument/2006/relationships/hyperlink" Target="https://mgg.stores-apple.com/catalog/smart-chasy-samsung-galaxy-watch-8-lte-40-mm-grafit/" TargetMode="External"/><Relationship Id="rId464" Type="http://schemas.openxmlformats.org/officeDocument/2006/relationships/hyperlink" Target="https://mgg.stores-apple.com/catalog/smartfon-samsung-galaxy-a56-8-128-gb-belyy/" TargetMode="External"/><Relationship Id="rId1299" Type="http://schemas.openxmlformats.org/officeDocument/2006/relationships/hyperlink" Target="https://mgg.stores-apple.com/catalog/smart-chasy-samsung-galaxy-watch-8-lte-40-mm-serebryannyi/" TargetMode="External"/><Relationship Id="rId463" Type="http://schemas.openxmlformats.org/officeDocument/2006/relationships/hyperlink" Target="https://mgg.stores-apple.com/catalog/smartfon_samsung_galaxy_a37_8_256_gb_sero_zelenyy/" TargetMode="External"/><Relationship Id="rId459" Type="http://schemas.openxmlformats.org/officeDocument/2006/relationships/hyperlink" Target="https://mgg.stores-apple.com/catalog/smartfon-samsung-galaxy-a36-12-256-gb-lavandovyy/" TargetMode="External"/><Relationship Id="rId458" Type="http://schemas.openxmlformats.org/officeDocument/2006/relationships/hyperlink" Target="https://mgg.stores-apple.com/catalog/smartfon-samsung-galaxy-a36-12-256-gb-belyy/" TargetMode="External"/><Relationship Id="rId457" Type="http://schemas.openxmlformats.org/officeDocument/2006/relationships/hyperlink" Target="https://mgg.stores-apple.com/catalog/smartfon-samsung-galaxy-a36-12-256-gb-zelenyy/" TargetMode="External"/><Relationship Id="rId456" Type="http://schemas.openxmlformats.org/officeDocument/2006/relationships/hyperlink" Target="https://mgg.stores-apple.com/catalog/smartfon_samsung_galaxy_a37_8_128_gb_chernyy/" TargetMode="External"/><Relationship Id="rId1280" Type="http://schemas.openxmlformats.org/officeDocument/2006/relationships/hyperlink" Target="https://mgg.stores-apple.com/catalog/smart-chasy-apple-watch-ultra-3-49-mm-natural-titanium-light-blue-alpine-loop-s-5g/" TargetMode="External"/><Relationship Id="rId1281" Type="http://schemas.openxmlformats.org/officeDocument/2006/relationships/hyperlink" Target="https://mgg.stores-apple.com/catalog/smart-chasy-apple-watch-ultra-3-49-mm-natural-titanium-light-blue-alpine-loop-l-5g/" TargetMode="External"/><Relationship Id="rId451" Type="http://schemas.openxmlformats.org/officeDocument/2006/relationships/hyperlink" Target="https://mgg.stores-apple.com/catalog/smartfon-samsung-galaxy-a36-8-256-gb-belyy/" TargetMode="External"/><Relationship Id="rId1282" Type="http://schemas.openxmlformats.org/officeDocument/2006/relationships/hyperlink" Target="https://mgg.stores-apple.com/catalog/smart-chasy-apple-watch-ultra-3-49-mm-black-titanium-black-alpine-loop-m-5g/" TargetMode="External"/><Relationship Id="rId450" Type="http://schemas.openxmlformats.org/officeDocument/2006/relationships/hyperlink" Target="https://mgg.stores-apple.com/catalog/smartfon-samsung-galaxy-a36-8-256-gb-lavandovyy/" TargetMode="External"/><Relationship Id="rId1283" Type="http://schemas.openxmlformats.org/officeDocument/2006/relationships/hyperlink" Target="https://mgg.stores-apple.com/catalog/smart_chasy_apple_watch_ultra_2_satin_black_cellular_49_mm_ocean_band_temno_siniy/" TargetMode="External"/><Relationship Id="rId1284" Type="http://schemas.openxmlformats.org/officeDocument/2006/relationships/hyperlink" Target="https://mgg.stores-apple.com/catalog/smart_chasy_apple_watch_ultra_2_satin_black_cellular_49_mm_trail_loop_chernyy_razmer_l/" TargetMode="External"/><Relationship Id="rId1285" Type="http://schemas.openxmlformats.org/officeDocument/2006/relationships/hyperlink" Target="https://mgg.stores-apple.com/catalog/smart_chasy_apple_watch_ultra_2_satin_black_cellular_49_mm_trail_loop_chernyy_razmer_s_m/" TargetMode="External"/><Relationship Id="rId455" Type="http://schemas.openxmlformats.org/officeDocument/2006/relationships/hyperlink" Target="https://mgg.stores-apple.com/catalog/smartfon_samsung_galaxy_a37_8_128_gb_lavandovyy/" TargetMode="External"/><Relationship Id="rId1286" Type="http://schemas.openxmlformats.org/officeDocument/2006/relationships/hyperlink" Target="https://mgg.stores-apple.com/catalog/smart-chasy-apple-watch-ultra-3-49-mm-black-titanium-milanese-loop-black-s-5g/" TargetMode="External"/><Relationship Id="rId454" Type="http://schemas.openxmlformats.org/officeDocument/2006/relationships/hyperlink" Target="https://mgg.stores-apple.com/catalog/smartfon_samsung_galaxy_a37_8_128_gb_belyy/" TargetMode="External"/><Relationship Id="rId1287" Type="http://schemas.openxmlformats.org/officeDocument/2006/relationships/hyperlink" Target="https://mgg.stores-apple.com/catalog/smart-chasy-apple-watch-ultra-3-49-mm-black-titanium-milanese-loop-black-l-5g/" TargetMode="External"/><Relationship Id="rId453" Type="http://schemas.openxmlformats.org/officeDocument/2006/relationships/hyperlink" Target="https://mgg.stores-apple.com/catalog/smartfon_samsung_galaxy_a37_8_128_gb_sero_zelenyy/" TargetMode="External"/><Relationship Id="rId1288" Type="http://schemas.openxmlformats.org/officeDocument/2006/relationships/hyperlink" Target="https://mgg.stores-apple.com/catalog/smart-chasy-apple-watch-ultra-3-49-mm-black-titanium-milanese-loop-black-m-5g/" TargetMode="External"/><Relationship Id="rId452" Type="http://schemas.openxmlformats.org/officeDocument/2006/relationships/hyperlink" Target="https://mgg.stores-apple.com/catalog/smartfon-samsung-galaxy-a36-8-256-gb-chernyy/" TargetMode="External"/><Relationship Id="rId1289" Type="http://schemas.openxmlformats.org/officeDocument/2006/relationships/hyperlink" Target="https://mgg.stores-apple.com/catalog/smart-chasy-apple-watch-ultra-3-49-mm-natural-titanium-milanese-natural-loop-m-5g/" TargetMode="External"/><Relationship Id="rId491" Type="http://schemas.openxmlformats.org/officeDocument/2006/relationships/hyperlink" Target="https://mgg.stores-apple.com/catalog/smartfon-samsung-galaxy-s25-256-gb-seryy/" TargetMode="External"/><Relationship Id="rId490" Type="http://schemas.openxmlformats.org/officeDocument/2006/relationships/hyperlink" Target="https://mgg.stores-apple.com/catalog/smartfon-samsung-galaxy-s25-256-gb-siniy/" TargetMode="External"/><Relationship Id="rId489" Type="http://schemas.openxmlformats.org/officeDocument/2006/relationships/hyperlink" Target="https://mgg.stores-apple.com/catalog/smartfon-samsung-galaxy-s25-256-gb-goluboy/" TargetMode="External"/><Relationship Id="rId484" Type="http://schemas.openxmlformats.org/officeDocument/2006/relationships/hyperlink" Target="https://mgg.stores-apple.com/catalog/smartfon_samsung_galaxy_a37_12_256_gb_chernyy/" TargetMode="External"/><Relationship Id="rId483" Type="http://schemas.openxmlformats.org/officeDocument/2006/relationships/hyperlink" Target="https://mgg.stores-apple.com/catalog/smartfon_samsung_galaxy_a37_12_256_gb_belyy/" TargetMode="External"/><Relationship Id="rId482" Type="http://schemas.openxmlformats.org/officeDocument/2006/relationships/hyperlink" Target="https://mgg.stores-apple.com/catalog/smartfon_samsung_galaxy_a37_12_256_gb_lavandovyy/" TargetMode="External"/><Relationship Id="rId481" Type="http://schemas.openxmlformats.org/officeDocument/2006/relationships/hyperlink" Target="https://mgg.stores-apple.com/catalog/smartfon_samsung_galaxy_a57_12_512_gb_sirenevyy/" TargetMode="External"/><Relationship Id="rId488" Type="http://schemas.openxmlformats.org/officeDocument/2006/relationships/hyperlink" Target="https://mgg.stores-apple.com/catalog/smartfon-samsung-galaxy-s25-128-gb-siniy/" TargetMode="External"/><Relationship Id="rId487" Type="http://schemas.openxmlformats.org/officeDocument/2006/relationships/hyperlink" Target="https://mgg.stores-apple.com/catalog/smartfon-samsung-galaxy-s25-fe-8-256-chernyi/" TargetMode="External"/><Relationship Id="rId486" Type="http://schemas.openxmlformats.org/officeDocument/2006/relationships/hyperlink" Target="https://mgg.stores-apple.com/catalog/smartfon-samsung-galaxy-s25-fe-8-256-sinii/" TargetMode="External"/><Relationship Id="rId485" Type="http://schemas.openxmlformats.org/officeDocument/2006/relationships/hyperlink" Target="https://mgg.stores-apple.com/catalog/smartfon-samsung-galaxy-s25-fe-8-128-sinii/" TargetMode="External"/><Relationship Id="rId480" Type="http://schemas.openxmlformats.org/officeDocument/2006/relationships/hyperlink" Target="https://mgg.stores-apple.com/catalog/smartfon_samsung_galaxy_a57_12_512_gb_seryy/" TargetMode="External"/><Relationship Id="rId479" Type="http://schemas.openxmlformats.org/officeDocument/2006/relationships/hyperlink" Target="https://mgg.stores-apple.com/catalog/smartfon_samsung_galaxy_a57_12_256_gb_sirenevyy/" TargetMode="External"/><Relationship Id="rId478" Type="http://schemas.openxmlformats.org/officeDocument/2006/relationships/hyperlink" Target="https://mgg.stores-apple.com/catalog/smartfon-samsung-galaxy-a56-12-256-gb-lavandovyy/" TargetMode="External"/><Relationship Id="rId473" Type="http://schemas.openxmlformats.org/officeDocument/2006/relationships/hyperlink" Target="https://mgg.stores-apple.com/catalog/smartfon-samsung-galaxy-a56-12-256-gb-chernyy/" TargetMode="External"/><Relationship Id="rId472" Type="http://schemas.openxmlformats.org/officeDocument/2006/relationships/hyperlink" Target="https://mgg.stores-apple.com/catalog/smartfon-samsung-galaxy-a56-8-256-gb-zelenyy/" TargetMode="External"/><Relationship Id="rId471" Type="http://schemas.openxmlformats.org/officeDocument/2006/relationships/hyperlink" Target="https://mgg.stores-apple.com/catalog/smartfon_samsung_galaxy_a57_8_128_gb_goluboy/" TargetMode="External"/><Relationship Id="rId470" Type="http://schemas.openxmlformats.org/officeDocument/2006/relationships/hyperlink" Target="https://mgg.stores-apple.com/catalog/smartfon_samsung_galaxy_a57_8_128_gb_sirenevyy/" TargetMode="External"/><Relationship Id="rId477" Type="http://schemas.openxmlformats.org/officeDocument/2006/relationships/hyperlink" Target="https://mgg.stores-apple.com/catalog/smartfon-samsung-galaxy-a56-12-256-gb-belyy/" TargetMode="External"/><Relationship Id="rId476" Type="http://schemas.openxmlformats.org/officeDocument/2006/relationships/hyperlink" Target="https://mgg.stores-apple.com/catalog/smartfon_samsung_galaxy_a57_8_256_gb_sirenevyy/" TargetMode="External"/><Relationship Id="rId475" Type="http://schemas.openxmlformats.org/officeDocument/2006/relationships/hyperlink" Target="https://mgg.stores-apple.com/catalog/smartfon-samsung-galaxy-a56-8-256-gb-lavandovyy/" TargetMode="External"/><Relationship Id="rId474" Type="http://schemas.openxmlformats.org/officeDocument/2006/relationships/hyperlink" Target="https://mgg.stores-apple.com/catalog/smartfon-samsung-galaxy-a56-8-256-gb-chernyy/" TargetMode="External"/><Relationship Id="rId1257" Type="http://schemas.openxmlformats.org/officeDocument/2006/relationships/hyperlink" Target="https://mgg.stores-apple.com/catalog/apple-watch-ultra-2-trail-loop-blue-black-ml/" TargetMode="External"/><Relationship Id="rId1258" Type="http://schemas.openxmlformats.org/officeDocument/2006/relationships/hyperlink" Target="https://mgg.stores-apple.com/catalog/apple-watch-ultra-2-trail-loop-green-gray-ml/" TargetMode="External"/><Relationship Id="rId1259" Type="http://schemas.openxmlformats.org/officeDocument/2006/relationships/hyperlink" Target="https://mgg.stores-apple.com/catalog/apple-watch-ultra-2-trail-loop-green-gray-sm/" TargetMode="External"/><Relationship Id="rId426" Type="http://schemas.openxmlformats.org/officeDocument/2006/relationships/hyperlink" Target="https://mgg.stores-apple.com/catalog/smartfon_samsung_galaxy_a17_4_128_gb_seryy_grey/" TargetMode="External"/><Relationship Id="rId425" Type="http://schemas.openxmlformats.org/officeDocument/2006/relationships/hyperlink" Target="https://mgg.stores-apple.com/catalog/smartfon_samsung_galaxy_a17_4_128_gb_chernyy_black/" TargetMode="External"/><Relationship Id="rId424" Type="http://schemas.openxmlformats.org/officeDocument/2006/relationships/hyperlink" Target="https://mgg.stores-apple.com/catalog/smartfon_samsung_galaxy_a17_4_128_gb_svetlo_goluboy_light_blue/" TargetMode="External"/><Relationship Id="rId423" Type="http://schemas.openxmlformats.org/officeDocument/2006/relationships/hyperlink" Target="https://mgg.stores-apple.com/catalog/smartfon_samsung_galaxy_a57_12_256_gb_seryy/" TargetMode="External"/><Relationship Id="rId429" Type="http://schemas.openxmlformats.org/officeDocument/2006/relationships/hyperlink" Target="https://mgg.stores-apple.com/catalog/smartfon_samsung_galaxy_a17_6_128_gb_chernyy_black/" TargetMode="External"/><Relationship Id="rId428" Type="http://schemas.openxmlformats.org/officeDocument/2006/relationships/hyperlink" Target="https://mgg.stores-apple.com/catalog/smartfon_samsung_galaxy_a17_6_128_gb_svetlo_goluboy_light_blue/" TargetMode="External"/><Relationship Id="rId427" Type="http://schemas.openxmlformats.org/officeDocument/2006/relationships/hyperlink" Target="https://mgg.stores-apple.com/catalog/smartfon_samsung_galaxy_a17_6_128_gb_seryy_grey/" TargetMode="External"/><Relationship Id="rId1250" Type="http://schemas.openxmlformats.org/officeDocument/2006/relationships/hyperlink" Target="https://mgg.stores-apple.com/catalog/apple-watch-ultra-2-satin-black-ocean-band-orange/" TargetMode="External"/><Relationship Id="rId1251" Type="http://schemas.openxmlformats.org/officeDocument/2006/relationships/hyperlink" Target="https://mgg.stores-apple.com/catalog/apple-watch-ultra-2-satin-black-trail-loop-orange-beige-ml/" TargetMode="External"/><Relationship Id="rId1252" Type="http://schemas.openxmlformats.org/officeDocument/2006/relationships/hyperlink" Target="https://mgg.stores-apple.com/catalog/apple-watch-ultra-2-satin-black-alpine-loop-sinij-s/" TargetMode="External"/><Relationship Id="rId422" Type="http://schemas.openxmlformats.org/officeDocument/2006/relationships/hyperlink" Target="https://mgg.stores-apple.com/catalog/smartfon_samsung_galaxy_a57_12_256_gb_goluboy/" TargetMode="External"/><Relationship Id="rId1253" Type="http://schemas.openxmlformats.org/officeDocument/2006/relationships/hyperlink" Target="https://mgg.stores-apple.com/catalog/apple-watch-ultra-2-satin-black-trail-loop-blue-black-ml/" TargetMode="External"/><Relationship Id="rId421" Type="http://schemas.openxmlformats.org/officeDocument/2006/relationships/hyperlink" Target="https://mgg.stores-apple.com/catalog/smartfon_samsung_galaxy_a57_12_256_gb_siniy/" TargetMode="External"/><Relationship Id="rId1254" Type="http://schemas.openxmlformats.org/officeDocument/2006/relationships/hyperlink" Target="https://mgg.stores-apple.com/catalog/apple-watch-ultra-2-ocean-band-white/" TargetMode="External"/><Relationship Id="rId420" Type="http://schemas.openxmlformats.org/officeDocument/2006/relationships/hyperlink" Target="https://mgg.stores-apple.com/catalog/smartfon_samsung_galaxy_a57_8_256_gb_goluboy/" TargetMode="External"/><Relationship Id="rId1255" Type="http://schemas.openxmlformats.org/officeDocument/2006/relationships/hyperlink" Target="https://mgg.stores-apple.com/catalog/apple-watch-ultra-2-ocean-band-blue/" TargetMode="External"/><Relationship Id="rId1256" Type="http://schemas.openxmlformats.org/officeDocument/2006/relationships/hyperlink" Target="https://mgg.stores-apple.com/catalog/apple-watch-ultra-2-trail-loop-blue-black-sm/" TargetMode="External"/><Relationship Id="rId1246" Type="http://schemas.openxmlformats.org/officeDocument/2006/relationships/hyperlink" Target="https://mgg.stores-apple.com/catalog/apple-watch-ultra-2-satin-black-alpine-loop-indigo-m/" TargetMode="External"/><Relationship Id="rId1247" Type="http://schemas.openxmlformats.org/officeDocument/2006/relationships/hyperlink" Target="https://mgg.stores-apple.com/catalog/apple-watch-ultra-2-satin-black-alpine-loop-indigo-l/" TargetMode="External"/><Relationship Id="rId1248" Type="http://schemas.openxmlformats.org/officeDocument/2006/relationships/hyperlink" Target="https://mgg.stores-apple.com/catalog/apple-watch-ultra-2-satin-black-ocean-band-white/" TargetMode="External"/><Relationship Id="rId1249" Type="http://schemas.openxmlformats.org/officeDocument/2006/relationships/hyperlink" Target="https://mgg.stores-apple.com/catalog/apple-watch-ultra-2-satin-black-alpine-loop-indigo-s/" TargetMode="External"/><Relationship Id="rId415" Type="http://schemas.openxmlformats.org/officeDocument/2006/relationships/hyperlink" Target="https://mgg.stores-apple.com/catalog/smartfon_samsung_galaxy_a37_12_256_gb_sero_zelenyy/" TargetMode="External"/><Relationship Id="rId899" Type="http://schemas.openxmlformats.org/officeDocument/2006/relationships/hyperlink" Target="https://mgg.stores-apple.com/catalog/smartfon-xiaomi-15-ultra-16-512-gb-chernyy/" TargetMode="External"/><Relationship Id="rId414" Type="http://schemas.openxmlformats.org/officeDocument/2006/relationships/hyperlink" Target="https://mgg.stores-apple.com/catalog/smartfon_samsung_galaxy_a57_8_128_gb_seryy/" TargetMode="External"/><Relationship Id="rId898" Type="http://schemas.openxmlformats.org/officeDocument/2006/relationships/hyperlink" Target="https://mgg.stores-apple.com/catalog/smartfon-xiaomi-15-ultra-16-512-gb-belyy/" TargetMode="External"/><Relationship Id="rId413" Type="http://schemas.openxmlformats.org/officeDocument/2006/relationships/hyperlink" Target="https://mgg.stores-apple.com/catalog/smartfon_apple_iphone_17e_512_gb_chernyy_esim_/" TargetMode="External"/><Relationship Id="rId897" Type="http://schemas.openxmlformats.org/officeDocument/2006/relationships/hyperlink" Target="https://mgg.stores-apple.com/catalog/smartfon_xiaomi_17_16_512_gb_chernyy/" TargetMode="External"/><Relationship Id="rId412" Type="http://schemas.openxmlformats.org/officeDocument/2006/relationships/hyperlink" Target="https://mgg.stores-apple.com/catalog/smartfon_apple_iphone_17e_256_gb_rozovyy_esim_/" TargetMode="External"/><Relationship Id="rId896" Type="http://schemas.openxmlformats.org/officeDocument/2006/relationships/hyperlink" Target="https://mgg.stores-apple.com/catalog/smartfon_xiaomi_17_16_512_gb_rozovyy/" TargetMode="External"/><Relationship Id="rId419" Type="http://schemas.openxmlformats.org/officeDocument/2006/relationships/hyperlink" Target="https://mgg.stores-apple.com/catalog/smartfon-samsung-galaxy-a56-12-256-gb-zelenyy/" TargetMode="External"/><Relationship Id="rId418" Type="http://schemas.openxmlformats.org/officeDocument/2006/relationships/hyperlink" Target="https://mgg.stores-apple.com/catalog/smartfon_samsung_galaxy_a57_8_256_gb_siniy/" TargetMode="External"/><Relationship Id="rId417" Type="http://schemas.openxmlformats.org/officeDocument/2006/relationships/hyperlink" Target="https://mgg.stores-apple.com/catalog/smartfon_samsung_galaxy_a57_8_256_gb_seryy/" TargetMode="External"/><Relationship Id="rId416" Type="http://schemas.openxmlformats.org/officeDocument/2006/relationships/hyperlink" Target="https://mgg.stores-apple.com/catalog/smartfon-samsung-galaxy-a56-8-256-gb-belyy/" TargetMode="External"/><Relationship Id="rId891" Type="http://schemas.openxmlformats.org/officeDocument/2006/relationships/hyperlink" Target="https://mgg.stores-apple.com/catalog/smartfon_xiaomi_17_12_256_gb_rozovyy/" TargetMode="External"/><Relationship Id="rId890" Type="http://schemas.openxmlformats.org/officeDocument/2006/relationships/hyperlink" Target="https://mgg.stores-apple.com/catalog/smartfon_xiaomi_17_12_256_gb_goluboy/" TargetMode="External"/><Relationship Id="rId1240" Type="http://schemas.openxmlformats.org/officeDocument/2006/relationships/hyperlink" Target="https://mgg.stores-apple.com/catalog/apple-watch-ultra-2-satin-black-trail-loop-green-gray-ml/" TargetMode="External"/><Relationship Id="rId1241" Type="http://schemas.openxmlformats.org/officeDocument/2006/relationships/hyperlink" Target="https://mgg.stores-apple.com/catalog/apple-watch-ultra-2-satin-black-alpine-loop-sinij-l/" TargetMode="External"/><Relationship Id="rId411" Type="http://schemas.openxmlformats.org/officeDocument/2006/relationships/hyperlink" Target="https://mgg.stores-apple.com/catalog/smartfon_apple_iphone_17e_512_gb_chernyy_/" TargetMode="External"/><Relationship Id="rId895" Type="http://schemas.openxmlformats.org/officeDocument/2006/relationships/hyperlink" Target="https://mgg.stores-apple.com/catalog/smartfon_xiaomi_17_16_512_gb_belyy/" TargetMode="External"/><Relationship Id="rId1242" Type="http://schemas.openxmlformats.org/officeDocument/2006/relationships/hyperlink" Target="https://mgg.stores-apple.com/catalog/apple-watch-ultra-2-satin-black-trail-loop-green-gray-sm/" TargetMode="External"/><Relationship Id="rId410" Type="http://schemas.openxmlformats.org/officeDocument/2006/relationships/hyperlink" Target="https://mgg.stores-apple.com/catalog/smartfon_apple_iphone_17e_256_gb_belyy_/" TargetMode="External"/><Relationship Id="rId894" Type="http://schemas.openxmlformats.org/officeDocument/2006/relationships/hyperlink" Target="https://mgg.stores-apple.com/catalog/smartfon_xiaomi_17_16_512_gb_goluboy/" TargetMode="External"/><Relationship Id="rId1243" Type="http://schemas.openxmlformats.org/officeDocument/2006/relationships/hyperlink" Target="https://mgg.stores-apple.com/catalog/apple-watch-ultra-2-satin-black-alpine-loop-olive-m/" TargetMode="External"/><Relationship Id="rId893" Type="http://schemas.openxmlformats.org/officeDocument/2006/relationships/hyperlink" Target="https://mgg.stores-apple.com/catalog/smartfon_xiaomi_17_12_256_gb_chernyy/" TargetMode="External"/><Relationship Id="rId1244" Type="http://schemas.openxmlformats.org/officeDocument/2006/relationships/hyperlink" Target="https://mgg.stores-apple.com/catalog/apple-watch-ultra-2-satin-black-trail-loop-orange-beige-sm/" TargetMode="External"/><Relationship Id="rId892" Type="http://schemas.openxmlformats.org/officeDocument/2006/relationships/hyperlink" Target="https://mgg.stores-apple.com/catalog/smartfon_xiaomi_17_12_256_gb_belyy/" TargetMode="External"/><Relationship Id="rId1245" Type="http://schemas.openxmlformats.org/officeDocument/2006/relationships/hyperlink" Target="https://mgg.stores-apple.com/catalog/apple-watch-ultra-2-satin-black-trail-loop-blue-black-sm/" TargetMode="External"/><Relationship Id="rId1279" Type="http://schemas.openxmlformats.org/officeDocument/2006/relationships/hyperlink" Target="https://mgg.stores-apple.com/catalog/smart-chasy-apple-watch-ultra-3-49-mm-natural-titanium-bright-blue-trail-s-m-5g/" TargetMode="External"/><Relationship Id="rId448" Type="http://schemas.openxmlformats.org/officeDocument/2006/relationships/hyperlink" Target="https://mgg.stores-apple.com/catalog/smartfon-samsung-galaxy-a36-8-128-gb-chernyy/" TargetMode="External"/><Relationship Id="rId447" Type="http://schemas.openxmlformats.org/officeDocument/2006/relationships/hyperlink" Target="https://mgg.stores-apple.com/catalog/smartfon-samsung-galaxy-a36-8-128-gb-belyy/" TargetMode="External"/><Relationship Id="rId446" Type="http://schemas.openxmlformats.org/officeDocument/2006/relationships/hyperlink" Target="https://mgg.stores-apple.com/catalog/smartfon-samsung-galaxy-a36-8-128-gb-lavandovyy/" TargetMode="External"/><Relationship Id="rId445" Type="http://schemas.openxmlformats.org/officeDocument/2006/relationships/hyperlink" Target="https://mgg.stores-apple.com/catalog/smartfon-samsung-galaxy-a36-8-128-gb-zelenyy/" TargetMode="External"/><Relationship Id="rId449" Type="http://schemas.openxmlformats.org/officeDocument/2006/relationships/hyperlink" Target="https://mgg.stores-apple.com/catalog/smartfon-samsung-galaxy-a36-8-256-gb-zelenyy/" TargetMode="External"/><Relationship Id="rId1270" Type="http://schemas.openxmlformats.org/officeDocument/2006/relationships/hyperlink" Target="https://mgg.stores-apple.com/catalog/apple-watch-ultra-2-satin-black-alpine-loop-sinij-m/" TargetMode="External"/><Relationship Id="rId440" Type="http://schemas.openxmlformats.org/officeDocument/2006/relationships/hyperlink" Target="https://mgg.stores-apple.com/catalog/smartfon_samsung_galaxy_a17_8_256_gb_seryy_grey/" TargetMode="External"/><Relationship Id="rId1271" Type="http://schemas.openxmlformats.org/officeDocument/2006/relationships/hyperlink" Target="https://mgg.stores-apple.com/catalog/apple-watch-ultra-2-satin-black-alpine-loop-olive-s/" TargetMode="External"/><Relationship Id="rId1272" Type="http://schemas.openxmlformats.org/officeDocument/2006/relationships/hyperlink" Target="https://mgg.stores-apple.com/catalog/apple-watch-ultra-2-satin-black-alpine-loop-olive-l/" TargetMode="External"/><Relationship Id="rId1273" Type="http://schemas.openxmlformats.org/officeDocument/2006/relationships/hyperlink" Target="https://mgg.stores-apple.com/catalog/apple-watch-ultra-2-ocean-band-orange/" TargetMode="External"/><Relationship Id="rId1274" Type="http://schemas.openxmlformats.org/officeDocument/2006/relationships/hyperlink" Target="https://mgg.stores-apple.com/catalog/apple-watch-ultra-2-trail-loop-orange-beige-ml/" TargetMode="External"/><Relationship Id="rId444" Type="http://schemas.openxmlformats.org/officeDocument/2006/relationships/hyperlink" Target="https://mgg.stores-apple.com/catalog/smartfon_samsung_galaxy_a26_8_256_gb_chernyy_black/" TargetMode="External"/><Relationship Id="rId1275" Type="http://schemas.openxmlformats.org/officeDocument/2006/relationships/hyperlink" Target="https://mgg.stores-apple.com/catalog/smart-chasy-apple-watch-ultra-3-49-mm-seryi-sinii-5g/" TargetMode="External"/><Relationship Id="rId443" Type="http://schemas.openxmlformats.org/officeDocument/2006/relationships/hyperlink" Target="https://mgg.stores-apple.com/catalog/smartfon_samsung_galaxy_a26_8_256_gb_myatnyy_mint/" TargetMode="External"/><Relationship Id="rId1276" Type="http://schemas.openxmlformats.org/officeDocument/2006/relationships/hyperlink" Target="https://mgg.stores-apple.com/catalog/smart-chasy-apple-watch-ultra-3-49-mm-black-titanium-black-alpine-loop-l-5g/" TargetMode="External"/><Relationship Id="rId442" Type="http://schemas.openxmlformats.org/officeDocument/2006/relationships/hyperlink" Target="https://mgg.stores-apple.com/catalog/smartfon_samsung_galaxy_a26_8_256_gb_belyy_white/" TargetMode="External"/><Relationship Id="rId1277" Type="http://schemas.openxmlformats.org/officeDocument/2006/relationships/hyperlink" Target="https://mgg.stores-apple.com/catalog/smart-chasy-apple-watch-ultra-3-49-mm-black-titanium-black-alpine-loop-s-5g/" TargetMode="External"/><Relationship Id="rId441" Type="http://schemas.openxmlformats.org/officeDocument/2006/relationships/hyperlink" Target="https://mgg.stores-apple.com/catalog/smartfon_samsung_galaxy_a26_8_256_gb_persikovo_rozovyy_peach_pink/" TargetMode="External"/><Relationship Id="rId1278" Type="http://schemas.openxmlformats.org/officeDocument/2006/relationships/hyperlink" Target="https://mgg.stores-apple.com/catalog/smart-chasy-apple-watch-ultra-3-49-mm-natural-titanium-light-blue-alpine-loop-m-5g/" TargetMode="External"/><Relationship Id="rId1268" Type="http://schemas.openxmlformats.org/officeDocument/2006/relationships/hyperlink" Target="https://mgg.stores-apple.com/catalog/apple-watch-ultra-2-alpine-loop-sinij-l/" TargetMode="External"/><Relationship Id="rId1269" Type="http://schemas.openxmlformats.org/officeDocument/2006/relationships/hyperlink" Target="https://mgg.stores-apple.com/catalog/apple-watch-ultra-2-satin-black-ocean-band-blue/" TargetMode="External"/><Relationship Id="rId437" Type="http://schemas.openxmlformats.org/officeDocument/2006/relationships/hyperlink" Target="https://mgg.stores-apple.com/catalog/smartfon-samsung-galaxy-a36-6-128-gb-chernyy/" TargetMode="External"/><Relationship Id="rId436" Type="http://schemas.openxmlformats.org/officeDocument/2006/relationships/hyperlink" Target="https://mgg.stores-apple.com/catalog/smartfon-samsung-galaxy-a36-6-128-gb-lavandovyy/" TargetMode="External"/><Relationship Id="rId435" Type="http://schemas.openxmlformats.org/officeDocument/2006/relationships/hyperlink" Target="https://mgg.stores-apple.com/catalog/smartfon-samsung-galaxy-a36-6-128-gb-belyy/" TargetMode="External"/><Relationship Id="rId434" Type="http://schemas.openxmlformats.org/officeDocument/2006/relationships/hyperlink" Target="https://mgg.stores-apple.com/catalog/smartfon_samsung_galaxy_a26_6_128_gb_chernyy_black/" TargetMode="External"/><Relationship Id="rId439" Type="http://schemas.openxmlformats.org/officeDocument/2006/relationships/hyperlink" Target="https://mgg.stores-apple.com/catalog/smartfon_samsung_galaxy_a17_8_256_gb_svetlo_goluboy_light_blue/" TargetMode="External"/><Relationship Id="rId438" Type="http://schemas.openxmlformats.org/officeDocument/2006/relationships/hyperlink" Target="https://mgg.stores-apple.com/catalog/smartfon_samsung_galaxy_a17_8_256_gb_chernyy_black/" TargetMode="External"/><Relationship Id="rId1260" Type="http://schemas.openxmlformats.org/officeDocument/2006/relationships/hyperlink" Target="https://mgg.stores-apple.com/catalog/apple-watch-ultra-2-alpine-loop-olive-s/" TargetMode="External"/><Relationship Id="rId1261" Type="http://schemas.openxmlformats.org/officeDocument/2006/relationships/hyperlink" Target="https://mgg.stores-apple.com/catalog/apple-watch-ultra-2-alpine-loop-olive-m/" TargetMode="External"/><Relationship Id="rId1262" Type="http://schemas.openxmlformats.org/officeDocument/2006/relationships/hyperlink" Target="https://mgg.stores-apple.com/catalog/apple-watch-ultra-2-alpine-loop-olive-l/" TargetMode="External"/><Relationship Id="rId1263" Type="http://schemas.openxmlformats.org/officeDocument/2006/relationships/hyperlink" Target="https://mgg.stores-apple.com/catalog/apple-watch-ultra-2-alpine-loop-indigo-s/" TargetMode="External"/><Relationship Id="rId433" Type="http://schemas.openxmlformats.org/officeDocument/2006/relationships/hyperlink" Target="https://mgg.stores-apple.com/catalog/smartfon_samsung_galaxy_a26_6_128_gb_belyy_white/" TargetMode="External"/><Relationship Id="rId1264" Type="http://schemas.openxmlformats.org/officeDocument/2006/relationships/hyperlink" Target="https://mgg.stores-apple.com/catalog/apple-watch-ultra-2-alpine-loop-indigo-m/" TargetMode="External"/><Relationship Id="rId432" Type="http://schemas.openxmlformats.org/officeDocument/2006/relationships/hyperlink" Target="https://mgg.stores-apple.com/catalog/smartfon_samsung_galaxy_a26_6_128_gb_myatnyy_mint/" TargetMode="External"/><Relationship Id="rId1265" Type="http://schemas.openxmlformats.org/officeDocument/2006/relationships/hyperlink" Target="https://mgg.stores-apple.com/catalog/apple-watch-ultra-2-alpine-loop-indigo-l/" TargetMode="External"/><Relationship Id="rId431" Type="http://schemas.openxmlformats.org/officeDocument/2006/relationships/hyperlink" Target="https://mgg.stores-apple.com/catalog/smartfon_samsung_galaxy_a26_6_128_gb_persikovo_rozovyy_peach_pink/" TargetMode="External"/><Relationship Id="rId1266" Type="http://schemas.openxmlformats.org/officeDocument/2006/relationships/hyperlink" Target="https://mgg.stores-apple.com/catalog/apple-watch-ultra-2-alpine-loop-sinij-s/" TargetMode="External"/><Relationship Id="rId430" Type="http://schemas.openxmlformats.org/officeDocument/2006/relationships/hyperlink" Target="https://mgg.stores-apple.com/catalog/smartfon-samsung-galaxy-a36-6-128-gb-zelenyy/" TargetMode="External"/><Relationship Id="rId1267" Type="http://schemas.openxmlformats.org/officeDocument/2006/relationships/hyperlink" Target="https://mgg.stores-apple.com/catalog/apple-watch-ultra-2-alpine-loop-sinij-m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88"/>
    <col customWidth="1" min="2" max="2" width="5.38"/>
    <col customWidth="1" min="3" max="3" width="9.25"/>
    <col customWidth="1" min="4" max="4" width="3.0"/>
    <col customWidth="1" min="5" max="5" width="10.0"/>
    <col customWidth="1" min="6" max="6" width="10.75"/>
    <col customWidth="1" min="7" max="7" width="12.88"/>
    <col customWidth="1" min="9" max="9" width="16.13"/>
  </cols>
  <sheetData>
    <row r="1">
      <c r="A1" s="1" t="s">
        <v>1</v>
      </c>
      <c r="B1" s="1" t="s">
        <v>2</v>
      </c>
      <c r="C1" s="1" t="s">
        <v>4</v>
      </c>
      <c r="D1" s="1" t="s">
        <v>7</v>
      </c>
      <c r="E1" s="1" t="s">
        <v>10</v>
      </c>
      <c r="F1" s="1" t="s">
        <v>14</v>
      </c>
      <c r="G1" s="1" t="s">
        <v>15</v>
      </c>
      <c r="H1" s="3"/>
      <c r="I1" s="1" t="s">
        <v>21</v>
      </c>
      <c r="J1" s="1" t="s">
        <v>22</v>
      </c>
      <c r="L1" s="2" t="s">
        <v>24</v>
      </c>
    </row>
    <row r="2">
      <c r="A2" s="5" t="s">
        <v>27</v>
      </c>
      <c r="B2" s="9" t="s">
        <v>33</v>
      </c>
      <c r="C2" s="9" t="s">
        <v>50</v>
      </c>
      <c r="D2" s="10"/>
      <c r="E2" s="10">
        <v>1.0</v>
      </c>
      <c r="F2" s="10">
        <v>47390.0</v>
      </c>
      <c r="G2" s="3"/>
      <c r="H2" s="3"/>
      <c r="I2" s="3">
        <f t="shared" ref="I2:I124" si="1">MIN(E2:G2)</f>
        <v>1</v>
      </c>
      <c r="J2" s="3">
        <f t="shared" ref="J2:J124" si="2">AVERAGE(E2:G2)</f>
        <v>23695.5</v>
      </c>
      <c r="L2" s="2">
        <v>50000.0</v>
      </c>
    </row>
    <row r="3">
      <c r="A3" s="5" t="s">
        <v>67</v>
      </c>
      <c r="B3" s="3"/>
      <c r="C3" s="9" t="s">
        <v>68</v>
      </c>
      <c r="D3" s="3"/>
      <c r="E3" s="3"/>
      <c r="F3" s="10">
        <v>54390.0</v>
      </c>
      <c r="G3" s="3"/>
      <c r="H3" s="3"/>
      <c r="I3" s="3">
        <f t="shared" si="1"/>
        <v>54390</v>
      </c>
      <c r="J3" s="3">
        <f t="shared" si="2"/>
        <v>54390</v>
      </c>
      <c r="L3" s="2">
        <v>50000.0</v>
      </c>
    </row>
    <row r="4">
      <c r="A4" s="5" t="s">
        <v>72</v>
      </c>
      <c r="B4" s="3"/>
      <c r="C4" s="9" t="s">
        <v>73</v>
      </c>
      <c r="D4" s="3"/>
      <c r="E4" s="3"/>
      <c r="F4" s="10">
        <v>50390.0</v>
      </c>
      <c r="G4" s="3"/>
      <c r="H4" s="3"/>
      <c r="I4" s="3">
        <f t="shared" si="1"/>
        <v>50390</v>
      </c>
      <c r="J4" s="3">
        <f t="shared" si="2"/>
        <v>50390</v>
      </c>
      <c r="L4" s="2">
        <v>50000.0</v>
      </c>
    </row>
    <row r="5">
      <c r="A5" s="5" t="s">
        <v>96</v>
      </c>
      <c r="B5" s="9" t="s">
        <v>98</v>
      </c>
      <c r="C5" s="9" t="s">
        <v>105</v>
      </c>
      <c r="D5" s="1" t="s">
        <v>117</v>
      </c>
      <c r="E5" s="10">
        <v>56490.0</v>
      </c>
      <c r="F5" s="10">
        <v>56390.0</v>
      </c>
      <c r="G5" s="10">
        <v>56990.0</v>
      </c>
      <c r="H5" s="3"/>
      <c r="I5" s="3">
        <f t="shared" si="1"/>
        <v>56390</v>
      </c>
      <c r="J5" s="3">
        <f t="shared" si="2"/>
        <v>56623.33333</v>
      </c>
      <c r="L5" s="2">
        <v>50000.0</v>
      </c>
    </row>
    <row r="6">
      <c r="A6" s="5" t="s">
        <v>126</v>
      </c>
      <c r="B6" s="9" t="s">
        <v>128</v>
      </c>
      <c r="C6" s="9" t="s">
        <v>134</v>
      </c>
      <c r="D6" s="1" t="s">
        <v>136</v>
      </c>
      <c r="E6" s="10">
        <v>56490.0</v>
      </c>
      <c r="F6" s="10">
        <v>55890.0</v>
      </c>
      <c r="G6" s="10">
        <v>56990.0</v>
      </c>
      <c r="H6" s="3"/>
      <c r="I6" s="3">
        <f t="shared" si="1"/>
        <v>55890</v>
      </c>
      <c r="J6" s="3">
        <f t="shared" si="2"/>
        <v>56456.66667</v>
      </c>
      <c r="L6" s="2">
        <v>50000.0</v>
      </c>
    </row>
    <row r="7">
      <c r="A7" s="11" t="s">
        <v>138</v>
      </c>
      <c r="B7" s="3"/>
      <c r="C7" s="9" t="s">
        <v>139</v>
      </c>
      <c r="D7" s="3"/>
      <c r="E7" s="3"/>
      <c r="F7" s="10">
        <v>59890.0</v>
      </c>
      <c r="G7" s="3"/>
      <c r="H7" s="3"/>
      <c r="I7" s="3">
        <f t="shared" si="1"/>
        <v>59890</v>
      </c>
      <c r="J7" s="3">
        <f t="shared" si="2"/>
        <v>59890</v>
      </c>
      <c r="L7" s="2">
        <v>50000.0</v>
      </c>
    </row>
    <row r="8">
      <c r="A8" s="11" t="s">
        <v>132</v>
      </c>
      <c r="B8" s="3"/>
      <c r="C8" s="9" t="s">
        <v>142</v>
      </c>
      <c r="D8" s="3"/>
      <c r="E8" s="3"/>
      <c r="F8" s="10">
        <v>63890.0</v>
      </c>
      <c r="G8" s="3"/>
      <c r="H8" s="3"/>
      <c r="I8" s="3">
        <f t="shared" si="1"/>
        <v>63890</v>
      </c>
      <c r="J8" s="3">
        <f t="shared" si="2"/>
        <v>63890</v>
      </c>
      <c r="L8" s="2">
        <v>50000.0</v>
      </c>
    </row>
    <row r="9">
      <c r="A9" s="11" t="s">
        <v>147</v>
      </c>
      <c r="B9" s="9" t="s">
        <v>148</v>
      </c>
      <c r="C9" s="9" t="s">
        <v>151</v>
      </c>
      <c r="D9" s="1" t="s">
        <v>158</v>
      </c>
      <c r="E9" s="10">
        <v>66490.0</v>
      </c>
      <c r="F9" s="10">
        <v>66390.0</v>
      </c>
      <c r="G9" s="10">
        <v>66290.0</v>
      </c>
      <c r="H9" s="3"/>
      <c r="I9" s="3">
        <f t="shared" si="1"/>
        <v>66290</v>
      </c>
      <c r="J9" s="3">
        <f t="shared" si="2"/>
        <v>66390</v>
      </c>
      <c r="L9" s="2">
        <v>50000.0</v>
      </c>
    </row>
    <row r="10">
      <c r="A10" s="5" t="s">
        <v>160</v>
      </c>
      <c r="B10" s="9" t="s">
        <v>161</v>
      </c>
      <c r="C10" s="9" t="s">
        <v>165</v>
      </c>
      <c r="D10" s="1" t="s">
        <v>171</v>
      </c>
      <c r="E10" s="10">
        <v>66490.0</v>
      </c>
      <c r="F10" s="10">
        <v>66390.0</v>
      </c>
      <c r="G10" s="10">
        <v>66290.0</v>
      </c>
      <c r="H10" s="3"/>
      <c r="I10" s="3">
        <f t="shared" si="1"/>
        <v>66290</v>
      </c>
      <c r="J10" s="3">
        <f t="shared" si="2"/>
        <v>66390</v>
      </c>
      <c r="L10" s="2">
        <v>50000.0</v>
      </c>
    </row>
    <row r="11">
      <c r="A11" s="11" t="s">
        <v>173</v>
      </c>
      <c r="B11" s="3"/>
      <c r="C11" s="9" t="s">
        <v>174</v>
      </c>
      <c r="D11" s="3"/>
      <c r="E11" s="3"/>
      <c r="F11" s="10">
        <v>70890.0</v>
      </c>
      <c r="G11" s="3"/>
      <c r="H11" s="3"/>
      <c r="I11" s="3">
        <f t="shared" si="1"/>
        <v>70890</v>
      </c>
      <c r="J11" s="3">
        <f t="shared" si="2"/>
        <v>70890</v>
      </c>
      <c r="L11" s="2">
        <v>50000.0</v>
      </c>
    </row>
    <row r="12">
      <c r="A12" s="11" t="s">
        <v>177</v>
      </c>
      <c r="B12" s="3"/>
      <c r="C12" s="9" t="s">
        <v>178</v>
      </c>
      <c r="D12" s="3"/>
      <c r="E12" s="3"/>
      <c r="F12" s="10">
        <v>71390.0</v>
      </c>
      <c r="G12" s="3"/>
      <c r="H12" s="3"/>
      <c r="I12" s="3">
        <f t="shared" si="1"/>
        <v>71390</v>
      </c>
      <c r="J12" s="3">
        <f t="shared" si="2"/>
        <v>71390</v>
      </c>
      <c r="L12" s="2">
        <v>50000.0</v>
      </c>
    </row>
    <row r="13">
      <c r="A13" s="12" t="s">
        <v>182</v>
      </c>
      <c r="B13" s="9" t="s">
        <v>188</v>
      </c>
      <c r="C13" s="9" t="s">
        <v>194</v>
      </c>
      <c r="D13" s="1" t="s">
        <v>195</v>
      </c>
      <c r="E13" s="10">
        <v>65990.0</v>
      </c>
      <c r="F13" s="10">
        <v>65890.0</v>
      </c>
      <c r="G13" s="10">
        <v>66490.0</v>
      </c>
      <c r="H13" s="3"/>
      <c r="I13" s="3">
        <f t="shared" si="1"/>
        <v>65890</v>
      </c>
      <c r="J13" s="3">
        <f t="shared" si="2"/>
        <v>66123.33333</v>
      </c>
      <c r="L13" s="2">
        <v>50000.0</v>
      </c>
    </row>
    <row r="14">
      <c r="A14" s="13" t="s">
        <v>201</v>
      </c>
      <c r="B14" s="9" t="s">
        <v>217</v>
      </c>
      <c r="C14" s="9" t="s">
        <v>236</v>
      </c>
      <c r="D14" s="1" t="s">
        <v>240</v>
      </c>
      <c r="E14" s="10">
        <v>65490.0</v>
      </c>
      <c r="F14" s="10">
        <v>65390.0</v>
      </c>
      <c r="G14" s="10">
        <v>66490.0</v>
      </c>
      <c r="H14" s="3"/>
      <c r="I14" s="3">
        <f t="shared" si="1"/>
        <v>65390</v>
      </c>
      <c r="J14" s="3">
        <f t="shared" si="2"/>
        <v>65790</v>
      </c>
      <c r="L14" s="2">
        <v>50000.0</v>
      </c>
    </row>
    <row r="15">
      <c r="A15" s="9" t="s">
        <v>250</v>
      </c>
      <c r="B15" s="9" t="s">
        <v>260</v>
      </c>
      <c r="C15" s="9" t="s">
        <v>265</v>
      </c>
      <c r="D15" s="1" t="s">
        <v>240</v>
      </c>
      <c r="E15" s="10">
        <v>65490.0</v>
      </c>
      <c r="F15" s="10">
        <v>65390.0</v>
      </c>
      <c r="G15" s="10">
        <v>66490.0</v>
      </c>
      <c r="H15" s="3"/>
      <c r="I15" s="3">
        <f t="shared" si="1"/>
        <v>65390</v>
      </c>
      <c r="J15" s="3">
        <f t="shared" si="2"/>
        <v>65790</v>
      </c>
      <c r="L15" s="2">
        <v>50000.0</v>
      </c>
    </row>
    <row r="16">
      <c r="A16" s="9" t="s">
        <v>269</v>
      </c>
      <c r="B16" s="9" t="s">
        <v>273</v>
      </c>
      <c r="C16" s="9" t="s">
        <v>278</v>
      </c>
      <c r="D16" s="1" t="s">
        <v>279</v>
      </c>
      <c r="E16" s="10">
        <v>65490.0</v>
      </c>
      <c r="F16" s="10">
        <v>65390.0</v>
      </c>
      <c r="G16" s="10">
        <v>66490.0</v>
      </c>
      <c r="H16" s="3"/>
      <c r="I16" s="3">
        <f t="shared" si="1"/>
        <v>65390</v>
      </c>
      <c r="J16" s="3">
        <f t="shared" si="2"/>
        <v>65790</v>
      </c>
      <c r="L16" s="2">
        <v>50000.0</v>
      </c>
    </row>
    <row r="17">
      <c r="A17" s="9" t="s">
        <v>283</v>
      </c>
      <c r="B17" s="9" t="s">
        <v>287</v>
      </c>
      <c r="C17" s="9" t="s">
        <v>290</v>
      </c>
      <c r="D17" s="1" t="s">
        <v>292</v>
      </c>
      <c r="E17" s="10">
        <v>65490.0</v>
      </c>
      <c r="F17" s="10">
        <v>66890.0</v>
      </c>
      <c r="G17" s="10">
        <v>66490.0</v>
      </c>
      <c r="H17" s="3"/>
      <c r="I17" s="3">
        <f t="shared" si="1"/>
        <v>65490</v>
      </c>
      <c r="J17" s="3">
        <f t="shared" si="2"/>
        <v>66290</v>
      </c>
      <c r="L17" s="2">
        <v>50000.0</v>
      </c>
    </row>
    <row r="18">
      <c r="A18" s="12" t="s">
        <v>293</v>
      </c>
      <c r="B18" s="3"/>
      <c r="C18" s="9" t="s">
        <v>294</v>
      </c>
      <c r="D18" s="3"/>
      <c r="E18" s="3"/>
      <c r="F18" s="10">
        <v>65890.0</v>
      </c>
      <c r="G18" s="3"/>
      <c r="H18" s="3"/>
      <c r="I18" s="3">
        <f t="shared" si="1"/>
        <v>65890</v>
      </c>
      <c r="J18" s="3">
        <f t="shared" si="2"/>
        <v>65890</v>
      </c>
      <c r="L18" s="2">
        <v>50000.0</v>
      </c>
    </row>
    <row r="19">
      <c r="A19" s="13" t="s">
        <v>299</v>
      </c>
      <c r="B19" s="9" t="s">
        <v>300</v>
      </c>
      <c r="C19" s="9" t="s">
        <v>302</v>
      </c>
      <c r="D19" s="10"/>
      <c r="E19" s="10">
        <v>76990.0</v>
      </c>
      <c r="F19" s="10">
        <v>65890.0</v>
      </c>
      <c r="G19" s="3"/>
      <c r="H19" s="3"/>
      <c r="I19" s="3">
        <f t="shared" si="1"/>
        <v>65890</v>
      </c>
      <c r="J19" s="3">
        <f t="shared" si="2"/>
        <v>71440</v>
      </c>
      <c r="L19" s="2">
        <v>50000.0</v>
      </c>
    </row>
    <row r="20">
      <c r="A20" s="12" t="s">
        <v>280</v>
      </c>
      <c r="B20" s="9" t="s">
        <v>310</v>
      </c>
      <c r="C20" s="9" t="s">
        <v>314</v>
      </c>
      <c r="D20" s="10"/>
      <c r="E20" s="10">
        <v>1.0</v>
      </c>
      <c r="F20" s="10">
        <v>65890.0</v>
      </c>
      <c r="G20" s="3"/>
      <c r="H20" s="3"/>
      <c r="I20" s="3">
        <f t="shared" si="1"/>
        <v>1</v>
      </c>
      <c r="J20" s="3">
        <f t="shared" si="2"/>
        <v>32945.5</v>
      </c>
      <c r="L20" s="2">
        <v>50000.0</v>
      </c>
    </row>
    <row r="21">
      <c r="A21" s="12" t="s">
        <v>284</v>
      </c>
      <c r="B21" s="9" t="s">
        <v>316</v>
      </c>
      <c r="C21" s="9" t="s">
        <v>320</v>
      </c>
      <c r="D21" s="10"/>
      <c r="E21" s="10">
        <v>1.0</v>
      </c>
      <c r="F21" s="10">
        <v>65890.0</v>
      </c>
      <c r="G21" s="3"/>
      <c r="H21" s="3"/>
      <c r="I21" s="3">
        <f t="shared" si="1"/>
        <v>1</v>
      </c>
      <c r="J21" s="3">
        <f t="shared" si="2"/>
        <v>32945.5</v>
      </c>
      <c r="L21" s="2">
        <v>50000.0</v>
      </c>
    </row>
    <row r="22">
      <c r="A22" s="12" t="s">
        <v>289</v>
      </c>
      <c r="B22" s="9" t="s">
        <v>323</v>
      </c>
      <c r="C22" s="9" t="s">
        <v>327</v>
      </c>
      <c r="D22" s="10"/>
      <c r="E22" s="10">
        <v>76990.0</v>
      </c>
      <c r="F22" s="10">
        <v>65890.0</v>
      </c>
      <c r="G22" s="3"/>
      <c r="H22" s="3"/>
      <c r="I22" s="3">
        <f t="shared" si="1"/>
        <v>65890</v>
      </c>
      <c r="J22" s="3">
        <f t="shared" si="2"/>
        <v>71440</v>
      </c>
      <c r="L22" s="2">
        <v>50000.0</v>
      </c>
    </row>
    <row r="23">
      <c r="A23" s="13" t="s">
        <v>331</v>
      </c>
      <c r="B23" s="3"/>
      <c r="C23" s="9" t="s">
        <v>332</v>
      </c>
      <c r="D23" s="3"/>
      <c r="E23" s="3"/>
      <c r="F23" s="10">
        <v>53390.0</v>
      </c>
      <c r="G23" s="3"/>
      <c r="H23" s="3"/>
      <c r="I23" s="3">
        <f t="shared" si="1"/>
        <v>53390</v>
      </c>
      <c r="J23" s="3">
        <f t="shared" si="2"/>
        <v>53390</v>
      </c>
      <c r="L23" s="2">
        <v>50000.0</v>
      </c>
    </row>
    <row r="24">
      <c r="A24" s="13" t="s">
        <v>336</v>
      </c>
      <c r="B24" s="3"/>
      <c r="C24" s="9" t="s">
        <v>337</v>
      </c>
      <c r="D24" s="3"/>
      <c r="E24" s="3"/>
      <c r="F24" s="10">
        <v>53390.0</v>
      </c>
      <c r="G24" s="3"/>
      <c r="H24" s="3"/>
      <c r="I24" s="3">
        <f t="shared" si="1"/>
        <v>53390</v>
      </c>
      <c r="J24" s="3">
        <f t="shared" si="2"/>
        <v>53390</v>
      </c>
      <c r="L24" s="2">
        <v>50000.0</v>
      </c>
    </row>
    <row r="25">
      <c r="A25" s="13" t="s">
        <v>341</v>
      </c>
      <c r="B25" s="9" t="s">
        <v>342</v>
      </c>
      <c r="C25" s="9" t="s">
        <v>345</v>
      </c>
      <c r="D25" s="10"/>
      <c r="E25" s="10">
        <v>53490.0</v>
      </c>
      <c r="F25" s="10">
        <v>58390.0</v>
      </c>
      <c r="G25" s="3"/>
      <c r="H25" s="3"/>
      <c r="I25" s="3">
        <f t="shared" si="1"/>
        <v>53490</v>
      </c>
      <c r="J25" s="3">
        <f t="shared" si="2"/>
        <v>55940</v>
      </c>
      <c r="L25" s="2">
        <v>50000.0</v>
      </c>
    </row>
    <row r="26">
      <c r="A26" s="5" t="s">
        <v>349</v>
      </c>
      <c r="B26" s="9" t="s">
        <v>350</v>
      </c>
      <c r="C26" s="9" t="s">
        <v>352</v>
      </c>
      <c r="D26" s="10"/>
      <c r="E26" s="10">
        <v>49990.0</v>
      </c>
      <c r="F26" s="10">
        <v>58390.0</v>
      </c>
      <c r="G26" s="3"/>
      <c r="H26" s="3"/>
      <c r="I26" s="3">
        <f t="shared" si="1"/>
        <v>49990</v>
      </c>
      <c r="J26" s="3">
        <f t="shared" si="2"/>
        <v>54190</v>
      </c>
      <c r="L26" s="2">
        <v>50000.0</v>
      </c>
    </row>
    <row r="27">
      <c r="A27" s="13" t="s">
        <v>356</v>
      </c>
      <c r="B27" s="3"/>
      <c r="C27" s="12" t="s">
        <v>357</v>
      </c>
      <c r="D27" s="3"/>
      <c r="E27" s="3"/>
      <c r="F27" s="10">
        <v>76390.0</v>
      </c>
      <c r="G27" s="3"/>
      <c r="H27" s="3"/>
      <c r="I27" s="3">
        <f t="shared" si="1"/>
        <v>76390</v>
      </c>
      <c r="J27" s="3">
        <f t="shared" si="2"/>
        <v>76390</v>
      </c>
      <c r="L27" s="2">
        <v>50000.0</v>
      </c>
    </row>
    <row r="28">
      <c r="A28" s="13" t="s">
        <v>361</v>
      </c>
      <c r="B28" s="3"/>
      <c r="C28" s="9" t="s">
        <v>363</v>
      </c>
      <c r="D28" s="3"/>
      <c r="E28" s="3"/>
      <c r="F28" s="10">
        <v>76390.0</v>
      </c>
      <c r="G28" s="3"/>
      <c r="H28" s="3"/>
      <c r="I28" s="3">
        <f t="shared" si="1"/>
        <v>76390</v>
      </c>
      <c r="J28" s="3">
        <f t="shared" si="2"/>
        <v>76390</v>
      </c>
      <c r="L28" s="2">
        <v>50000.0</v>
      </c>
    </row>
    <row r="29">
      <c r="A29" s="13" t="s">
        <v>369</v>
      </c>
      <c r="B29" s="3"/>
      <c r="C29" s="9" t="s">
        <v>372</v>
      </c>
      <c r="D29" s="3"/>
      <c r="E29" s="3"/>
      <c r="F29" s="10">
        <v>77390.0</v>
      </c>
      <c r="G29" s="3"/>
      <c r="H29" s="3"/>
      <c r="I29" s="3">
        <f t="shared" si="1"/>
        <v>77390</v>
      </c>
      <c r="J29" s="3">
        <f t="shared" si="2"/>
        <v>77390</v>
      </c>
      <c r="L29" s="2">
        <v>50000.0</v>
      </c>
    </row>
    <row r="30">
      <c r="A30" s="13" t="s">
        <v>378</v>
      </c>
      <c r="B30" s="3"/>
      <c r="C30" s="9" t="s">
        <v>379</v>
      </c>
      <c r="D30" s="3"/>
      <c r="E30" s="3"/>
      <c r="F30" s="10">
        <v>76390.0</v>
      </c>
      <c r="G30" s="3"/>
      <c r="H30" s="3"/>
      <c r="I30" s="3">
        <f t="shared" si="1"/>
        <v>76390</v>
      </c>
      <c r="J30" s="3">
        <f t="shared" si="2"/>
        <v>76390</v>
      </c>
      <c r="L30" s="2">
        <v>50000.0</v>
      </c>
    </row>
    <row r="31">
      <c r="A31" s="13" t="s">
        <v>384</v>
      </c>
      <c r="B31" s="3"/>
      <c r="C31" s="9" t="s">
        <v>387</v>
      </c>
      <c r="D31" s="3"/>
      <c r="E31" s="3"/>
      <c r="F31" s="10">
        <v>77390.0</v>
      </c>
      <c r="G31" s="3"/>
      <c r="H31" s="3"/>
      <c r="I31" s="3">
        <f t="shared" si="1"/>
        <v>77390</v>
      </c>
      <c r="J31" s="3">
        <f t="shared" si="2"/>
        <v>77390</v>
      </c>
      <c r="L31" s="2">
        <v>50000.0</v>
      </c>
    </row>
    <row r="32">
      <c r="A32" s="13" t="s">
        <v>391</v>
      </c>
      <c r="B32" s="3"/>
      <c r="C32" s="9" t="s">
        <v>392</v>
      </c>
      <c r="D32" s="3"/>
      <c r="E32" s="3"/>
      <c r="F32" s="10">
        <v>83890.0</v>
      </c>
      <c r="G32" s="3"/>
      <c r="H32" s="3"/>
      <c r="I32" s="3">
        <f t="shared" si="1"/>
        <v>83890</v>
      </c>
      <c r="J32" s="3">
        <f t="shared" si="2"/>
        <v>83890</v>
      </c>
      <c r="L32" s="2">
        <v>50000.0</v>
      </c>
    </row>
    <row r="33">
      <c r="A33" s="13" t="s">
        <v>399</v>
      </c>
      <c r="B33" s="3"/>
      <c r="C33" s="9" t="s">
        <v>401</v>
      </c>
      <c r="D33" s="3"/>
      <c r="E33" s="3"/>
      <c r="F33" s="10">
        <v>84890.0</v>
      </c>
      <c r="G33" s="3"/>
      <c r="H33" s="3"/>
      <c r="I33" s="3">
        <f t="shared" si="1"/>
        <v>84890</v>
      </c>
      <c r="J33" s="3">
        <f t="shared" si="2"/>
        <v>84890</v>
      </c>
      <c r="L33" s="2">
        <v>50000.0</v>
      </c>
    </row>
    <row r="34">
      <c r="A34" s="13" t="s">
        <v>413</v>
      </c>
      <c r="B34" s="3"/>
      <c r="C34" s="9" t="s">
        <v>414</v>
      </c>
      <c r="D34" s="3"/>
      <c r="E34" s="3"/>
      <c r="F34" s="10">
        <v>84390.0</v>
      </c>
      <c r="G34" s="3"/>
      <c r="H34" s="3"/>
      <c r="I34" s="3">
        <f t="shared" si="1"/>
        <v>84390</v>
      </c>
      <c r="J34" s="3">
        <f t="shared" si="2"/>
        <v>84390</v>
      </c>
      <c r="L34" s="2">
        <v>50000.0</v>
      </c>
    </row>
    <row r="35">
      <c r="A35" s="13" t="s">
        <v>417</v>
      </c>
      <c r="B35" s="3"/>
      <c r="C35" s="9" t="s">
        <v>418</v>
      </c>
      <c r="D35" s="3"/>
      <c r="E35" s="3"/>
      <c r="F35" s="10">
        <v>83890.0</v>
      </c>
      <c r="G35" s="3"/>
      <c r="H35" s="3"/>
      <c r="I35" s="3">
        <f t="shared" si="1"/>
        <v>83890</v>
      </c>
      <c r="J35" s="3">
        <f t="shared" si="2"/>
        <v>83890</v>
      </c>
      <c r="L35" s="2">
        <v>50000.0</v>
      </c>
    </row>
    <row r="36">
      <c r="A36" s="13" t="s">
        <v>422</v>
      </c>
      <c r="B36" s="3"/>
      <c r="C36" s="9" t="s">
        <v>423</v>
      </c>
      <c r="D36" s="3"/>
      <c r="E36" s="3"/>
      <c r="F36" s="10">
        <v>84390.0</v>
      </c>
      <c r="G36" s="3"/>
      <c r="H36" s="3"/>
      <c r="I36" s="3">
        <f t="shared" si="1"/>
        <v>84390</v>
      </c>
      <c r="J36" s="3">
        <f t="shared" si="2"/>
        <v>84390</v>
      </c>
      <c r="L36" s="2">
        <v>50000.0</v>
      </c>
    </row>
    <row r="37">
      <c r="A37" s="5" t="s">
        <v>382</v>
      </c>
      <c r="B37" s="3"/>
      <c r="C37" s="9" t="s">
        <v>438</v>
      </c>
      <c r="D37" s="3"/>
      <c r="E37" s="3"/>
      <c r="F37" s="10">
        <v>98390.0</v>
      </c>
      <c r="G37" s="3"/>
      <c r="H37" s="3"/>
      <c r="I37" s="3">
        <f t="shared" si="1"/>
        <v>98390</v>
      </c>
      <c r="J37" s="3">
        <f t="shared" si="2"/>
        <v>98390</v>
      </c>
      <c r="L37" s="2">
        <v>50000.0</v>
      </c>
    </row>
    <row r="38">
      <c r="A38" s="5" t="s">
        <v>376</v>
      </c>
      <c r="B38" s="3"/>
      <c r="C38" s="9" t="s">
        <v>458</v>
      </c>
      <c r="D38" s="3"/>
      <c r="E38" s="3"/>
      <c r="F38" s="10">
        <v>96390.0</v>
      </c>
      <c r="G38" s="3"/>
      <c r="H38" s="3"/>
      <c r="I38" s="3">
        <f t="shared" si="1"/>
        <v>96390</v>
      </c>
      <c r="J38" s="3">
        <f t="shared" si="2"/>
        <v>96390</v>
      </c>
      <c r="L38" s="2">
        <v>50000.0</v>
      </c>
    </row>
    <row r="39">
      <c r="A39" s="5" t="s">
        <v>386</v>
      </c>
      <c r="B39" s="3"/>
      <c r="C39" s="9" t="s">
        <v>462</v>
      </c>
      <c r="D39" s="3"/>
      <c r="E39" s="3"/>
      <c r="F39" s="10">
        <v>93890.0</v>
      </c>
      <c r="G39" s="3"/>
      <c r="H39" s="3"/>
      <c r="I39" s="3">
        <f t="shared" si="1"/>
        <v>93890</v>
      </c>
      <c r="J39" s="3">
        <f t="shared" si="2"/>
        <v>93890</v>
      </c>
      <c r="L39" s="2">
        <v>50000.0</v>
      </c>
    </row>
    <row r="40">
      <c r="A40" s="5" t="s">
        <v>389</v>
      </c>
      <c r="B40" s="3"/>
      <c r="C40" s="9" t="s">
        <v>468</v>
      </c>
      <c r="D40" s="3"/>
      <c r="E40" s="3"/>
      <c r="F40" s="10">
        <v>98390.0</v>
      </c>
      <c r="G40" s="3"/>
      <c r="H40" s="3"/>
      <c r="I40" s="3">
        <f t="shared" si="1"/>
        <v>98390</v>
      </c>
      <c r="J40" s="3">
        <f t="shared" si="2"/>
        <v>98390</v>
      </c>
      <c r="L40" s="2">
        <v>50000.0</v>
      </c>
    </row>
    <row r="41">
      <c r="A41" s="5" t="s">
        <v>416</v>
      </c>
      <c r="B41" s="3"/>
      <c r="C41" s="9" t="s">
        <v>473</v>
      </c>
      <c r="D41" s="3"/>
      <c r="E41" s="3"/>
      <c r="F41" s="10">
        <v>95390.0</v>
      </c>
      <c r="G41" s="3"/>
      <c r="H41" s="3"/>
      <c r="I41" s="3">
        <f t="shared" si="1"/>
        <v>95390</v>
      </c>
      <c r="J41" s="3">
        <f t="shared" si="2"/>
        <v>95390</v>
      </c>
      <c r="L41" s="2">
        <v>50000.0</v>
      </c>
    </row>
    <row r="42">
      <c r="A42" s="5" t="s">
        <v>410</v>
      </c>
      <c r="B42" s="3"/>
      <c r="C42" s="9" t="s">
        <v>480</v>
      </c>
      <c r="D42" s="3"/>
      <c r="E42" s="3"/>
      <c r="F42" s="10">
        <v>98890.0</v>
      </c>
      <c r="G42" s="3"/>
      <c r="H42" s="3"/>
      <c r="I42" s="3">
        <f t="shared" si="1"/>
        <v>98890</v>
      </c>
      <c r="J42" s="3">
        <f t="shared" si="2"/>
        <v>98890</v>
      </c>
      <c r="L42" s="2">
        <v>50000.0</v>
      </c>
    </row>
    <row r="43">
      <c r="A43" s="5" t="s">
        <v>420</v>
      </c>
      <c r="B43" s="3"/>
      <c r="C43" s="9" t="s">
        <v>487</v>
      </c>
      <c r="D43" s="3"/>
      <c r="E43" s="3"/>
      <c r="F43" s="10">
        <v>98890.0</v>
      </c>
      <c r="G43" s="3"/>
      <c r="H43" s="3"/>
      <c r="I43" s="3">
        <f t="shared" si="1"/>
        <v>98890</v>
      </c>
      <c r="J43" s="3">
        <f t="shared" si="2"/>
        <v>98890</v>
      </c>
      <c r="L43" s="2">
        <v>50000.0</v>
      </c>
    </row>
    <row r="44">
      <c r="A44" s="5" t="s">
        <v>421</v>
      </c>
      <c r="B44" s="3"/>
      <c r="C44" s="9" t="s">
        <v>495</v>
      </c>
      <c r="D44" s="3"/>
      <c r="E44" s="3"/>
      <c r="F44" s="10">
        <v>98890.0</v>
      </c>
      <c r="G44" s="3"/>
      <c r="H44" s="3"/>
      <c r="I44" s="3">
        <f t="shared" si="1"/>
        <v>98890</v>
      </c>
      <c r="J44" s="3">
        <f t="shared" si="2"/>
        <v>98890</v>
      </c>
      <c r="L44" s="2">
        <v>50000.0</v>
      </c>
    </row>
    <row r="45">
      <c r="A45" s="1" t="s">
        <v>500</v>
      </c>
      <c r="B45" s="3"/>
      <c r="C45" s="9" t="s">
        <v>502</v>
      </c>
      <c r="D45" s="1" t="s">
        <v>506</v>
      </c>
      <c r="E45" s="3"/>
      <c r="F45" s="10">
        <v>70390.0</v>
      </c>
      <c r="G45" s="10">
        <v>69990.0</v>
      </c>
      <c r="H45" s="3"/>
      <c r="I45" s="3">
        <f t="shared" si="1"/>
        <v>69990</v>
      </c>
      <c r="J45" s="3">
        <f t="shared" si="2"/>
        <v>70190</v>
      </c>
      <c r="L45" s="2">
        <v>50000.0</v>
      </c>
    </row>
    <row r="46">
      <c r="A46" s="1" t="s">
        <v>508</v>
      </c>
      <c r="B46" s="3"/>
      <c r="C46" s="9" t="s">
        <v>509</v>
      </c>
      <c r="D46" s="1" t="s">
        <v>511</v>
      </c>
      <c r="E46" s="3"/>
      <c r="F46" s="10">
        <v>62390.0</v>
      </c>
      <c r="G46" s="10">
        <v>68490.0</v>
      </c>
      <c r="H46" s="3"/>
      <c r="I46" s="3">
        <f t="shared" si="1"/>
        <v>62390</v>
      </c>
      <c r="J46" s="3">
        <f t="shared" si="2"/>
        <v>65440</v>
      </c>
      <c r="L46" s="2">
        <v>50000.0</v>
      </c>
    </row>
    <row r="47">
      <c r="A47" s="1" t="s">
        <v>513</v>
      </c>
      <c r="B47" s="3"/>
      <c r="C47" s="9" t="s">
        <v>514</v>
      </c>
      <c r="D47" s="1" t="s">
        <v>517</v>
      </c>
      <c r="E47" s="3"/>
      <c r="F47" s="10">
        <v>63890.0</v>
      </c>
      <c r="G47" s="10">
        <v>67490.0</v>
      </c>
      <c r="H47" s="3"/>
      <c r="I47" s="3">
        <f t="shared" si="1"/>
        <v>63890</v>
      </c>
      <c r="J47" s="3">
        <f t="shared" si="2"/>
        <v>65690</v>
      </c>
      <c r="L47" s="2">
        <v>50000.0</v>
      </c>
    </row>
    <row r="48">
      <c r="A48" s="1" t="s">
        <v>518</v>
      </c>
      <c r="B48" s="3"/>
      <c r="C48" s="9" t="s">
        <v>519</v>
      </c>
      <c r="D48" s="3"/>
      <c r="E48" s="3"/>
      <c r="F48" s="10">
        <v>60890.0</v>
      </c>
      <c r="G48" s="3"/>
      <c r="H48" s="3"/>
      <c r="I48" s="3">
        <f t="shared" si="1"/>
        <v>60890</v>
      </c>
      <c r="J48" s="3">
        <f t="shared" si="2"/>
        <v>60890</v>
      </c>
      <c r="L48" s="2">
        <v>50000.0</v>
      </c>
    </row>
    <row r="49">
      <c r="A49" s="1" t="s">
        <v>537</v>
      </c>
      <c r="B49" s="3"/>
      <c r="C49" s="9" t="s">
        <v>538</v>
      </c>
      <c r="D49" s="3"/>
      <c r="E49" s="3"/>
      <c r="F49" s="10">
        <v>59890.0</v>
      </c>
      <c r="G49" s="3"/>
      <c r="H49" s="3"/>
      <c r="I49" s="3">
        <f t="shared" si="1"/>
        <v>59890</v>
      </c>
      <c r="J49" s="3">
        <f t="shared" si="2"/>
        <v>59890</v>
      </c>
      <c r="L49" s="2">
        <v>50000.0</v>
      </c>
    </row>
    <row r="50">
      <c r="A50" s="1" t="s">
        <v>547</v>
      </c>
      <c r="B50" s="3"/>
      <c r="C50" s="9" t="s">
        <v>548</v>
      </c>
      <c r="D50" s="3"/>
      <c r="E50" s="3"/>
      <c r="F50" s="10">
        <v>59890.0</v>
      </c>
      <c r="G50" s="3"/>
      <c r="H50" s="3"/>
      <c r="I50" s="3">
        <f t="shared" si="1"/>
        <v>59890</v>
      </c>
      <c r="J50" s="3">
        <f t="shared" si="2"/>
        <v>59890</v>
      </c>
      <c r="L50" s="2">
        <v>50000.0</v>
      </c>
    </row>
    <row r="51">
      <c r="A51" s="7" t="s">
        <v>244</v>
      </c>
      <c r="B51" s="9" t="s">
        <v>558</v>
      </c>
      <c r="C51" s="9" t="s">
        <v>565</v>
      </c>
      <c r="D51" s="1" t="s">
        <v>573</v>
      </c>
      <c r="E51" s="10">
        <v>80990.0</v>
      </c>
      <c r="F51" s="10">
        <v>79390.0</v>
      </c>
      <c r="G51" s="10">
        <v>80490.0</v>
      </c>
      <c r="H51" s="3"/>
      <c r="I51" s="3">
        <f t="shared" si="1"/>
        <v>79390</v>
      </c>
      <c r="J51" s="3">
        <f t="shared" si="2"/>
        <v>80290</v>
      </c>
      <c r="L51" s="2">
        <v>50000.0</v>
      </c>
    </row>
    <row r="52">
      <c r="A52" s="7" t="s">
        <v>266</v>
      </c>
      <c r="B52" s="9" t="s">
        <v>577</v>
      </c>
      <c r="C52" s="9" t="s">
        <v>583</v>
      </c>
      <c r="D52" s="1" t="s">
        <v>591</v>
      </c>
      <c r="E52" s="10">
        <v>80990.0</v>
      </c>
      <c r="F52" s="10">
        <v>79890.0</v>
      </c>
      <c r="G52" s="10">
        <v>80490.0</v>
      </c>
      <c r="H52" s="3"/>
      <c r="I52" s="3">
        <f t="shared" si="1"/>
        <v>79890</v>
      </c>
      <c r="J52" s="3">
        <f t="shared" si="2"/>
        <v>80456.66667</v>
      </c>
      <c r="L52" s="2">
        <v>50000.0</v>
      </c>
    </row>
    <row r="53">
      <c r="A53" s="7" t="s">
        <v>594</v>
      </c>
      <c r="B53" s="9" t="s">
        <v>596</v>
      </c>
      <c r="C53" s="9" t="s">
        <v>602</v>
      </c>
      <c r="D53" s="1" t="s">
        <v>610</v>
      </c>
      <c r="E53" s="10">
        <v>80490.0</v>
      </c>
      <c r="F53" s="10">
        <v>78890.0</v>
      </c>
      <c r="G53" s="10">
        <v>80490.0</v>
      </c>
      <c r="H53" s="3"/>
      <c r="I53" s="3">
        <f t="shared" si="1"/>
        <v>78890</v>
      </c>
      <c r="J53" s="3">
        <f t="shared" si="2"/>
        <v>79956.66667</v>
      </c>
      <c r="L53" s="2">
        <v>50000.0</v>
      </c>
    </row>
    <row r="54">
      <c r="A54" s="7" t="s">
        <v>258</v>
      </c>
      <c r="B54" s="9" t="s">
        <v>613</v>
      </c>
      <c r="C54" s="9" t="s">
        <v>621</v>
      </c>
      <c r="D54" s="1" t="s">
        <v>628</v>
      </c>
      <c r="E54" s="10">
        <v>80490.0</v>
      </c>
      <c r="F54" s="10">
        <v>78890.0</v>
      </c>
      <c r="G54" s="10">
        <v>80490.0</v>
      </c>
      <c r="H54" s="3"/>
      <c r="I54" s="3">
        <f t="shared" si="1"/>
        <v>78890</v>
      </c>
      <c r="J54" s="3">
        <f t="shared" si="2"/>
        <v>79956.66667</v>
      </c>
      <c r="L54" s="2">
        <v>50000.0</v>
      </c>
    </row>
    <row r="55">
      <c r="A55" s="7" t="s">
        <v>271</v>
      </c>
      <c r="B55" s="9" t="s">
        <v>631</v>
      </c>
      <c r="C55" s="9" t="s">
        <v>639</v>
      </c>
      <c r="D55" s="1" t="s">
        <v>646</v>
      </c>
      <c r="E55" s="10">
        <v>1.0</v>
      </c>
      <c r="F55" s="10">
        <v>78890.0</v>
      </c>
      <c r="G55" s="10">
        <v>80490.0</v>
      </c>
      <c r="H55" s="3"/>
      <c r="I55" s="3">
        <f t="shared" si="1"/>
        <v>1</v>
      </c>
      <c r="J55" s="3">
        <f t="shared" si="2"/>
        <v>53127</v>
      </c>
      <c r="L55" s="2">
        <v>50000.0</v>
      </c>
    </row>
    <row r="56">
      <c r="A56" s="7" t="s">
        <v>272</v>
      </c>
      <c r="B56" s="9" t="s">
        <v>650</v>
      </c>
      <c r="C56" s="9" t="s">
        <v>656</v>
      </c>
      <c r="D56" s="3"/>
      <c r="E56" s="10">
        <v>1.0</v>
      </c>
      <c r="F56" s="10">
        <v>77390.0</v>
      </c>
      <c r="G56" s="3"/>
      <c r="H56" s="3"/>
      <c r="I56" s="3">
        <f t="shared" si="1"/>
        <v>1</v>
      </c>
      <c r="J56" s="3">
        <f t="shared" si="2"/>
        <v>38695.5</v>
      </c>
      <c r="L56" s="2">
        <v>50000.0</v>
      </c>
    </row>
    <row r="57">
      <c r="A57" s="7" t="s">
        <v>276</v>
      </c>
      <c r="B57" s="9" t="s">
        <v>665</v>
      </c>
      <c r="C57" s="9" t="s">
        <v>666</v>
      </c>
      <c r="D57" s="3"/>
      <c r="E57" s="10">
        <v>78990.0</v>
      </c>
      <c r="F57" s="10">
        <v>76390.0</v>
      </c>
      <c r="G57" s="3"/>
      <c r="H57" s="3"/>
      <c r="I57" s="3">
        <f t="shared" si="1"/>
        <v>76390</v>
      </c>
      <c r="J57" s="3">
        <f t="shared" si="2"/>
        <v>77690</v>
      </c>
      <c r="L57" s="2">
        <v>50000.0</v>
      </c>
    </row>
    <row r="58">
      <c r="A58" s="7" t="s">
        <v>667</v>
      </c>
      <c r="B58" s="9" t="s">
        <v>668</v>
      </c>
      <c r="C58" s="9" t="s">
        <v>669</v>
      </c>
      <c r="D58" s="3"/>
      <c r="E58" s="10">
        <v>78490.0</v>
      </c>
      <c r="F58" s="10">
        <v>76390.0</v>
      </c>
      <c r="G58" s="3"/>
      <c r="H58" s="3"/>
      <c r="I58" s="3">
        <f t="shared" si="1"/>
        <v>76390</v>
      </c>
      <c r="J58" s="3">
        <f t="shared" si="2"/>
        <v>77440</v>
      </c>
      <c r="L58" s="2">
        <v>50000.0</v>
      </c>
    </row>
    <row r="59">
      <c r="A59" s="7" t="s">
        <v>259</v>
      </c>
      <c r="B59" s="9" t="s">
        <v>676</v>
      </c>
      <c r="C59" s="12" t="s">
        <v>681</v>
      </c>
      <c r="D59" s="3"/>
      <c r="E59" s="10">
        <v>78490.0</v>
      </c>
      <c r="F59" s="10">
        <v>76390.0</v>
      </c>
      <c r="G59" s="3"/>
      <c r="H59" s="3"/>
      <c r="I59" s="3">
        <f t="shared" si="1"/>
        <v>76390</v>
      </c>
      <c r="J59" s="3">
        <f t="shared" si="2"/>
        <v>77440</v>
      </c>
      <c r="L59" s="2">
        <v>50000.0</v>
      </c>
    </row>
    <row r="60">
      <c r="A60" s="7" t="s">
        <v>268</v>
      </c>
      <c r="B60" s="9" t="s">
        <v>694</v>
      </c>
      <c r="C60" s="9" t="s">
        <v>699</v>
      </c>
      <c r="D60" s="3"/>
      <c r="E60" s="10">
        <v>78990.0</v>
      </c>
      <c r="F60" s="10">
        <v>76390.0</v>
      </c>
      <c r="G60" s="3"/>
      <c r="H60" s="3"/>
      <c r="I60" s="3">
        <f t="shared" si="1"/>
        <v>76390</v>
      </c>
      <c r="J60" s="3">
        <f t="shared" si="2"/>
        <v>77690</v>
      </c>
      <c r="L60" s="2">
        <v>50000.0</v>
      </c>
    </row>
    <row r="61">
      <c r="A61" s="7" t="s">
        <v>700</v>
      </c>
      <c r="B61" s="3"/>
      <c r="C61" s="9" t="s">
        <v>702</v>
      </c>
      <c r="D61" s="1" t="s">
        <v>704</v>
      </c>
      <c r="E61" s="3"/>
      <c r="F61" s="10">
        <v>97390.0</v>
      </c>
      <c r="G61" s="10">
        <v>98990.0</v>
      </c>
      <c r="H61" s="3"/>
      <c r="I61" s="3">
        <f t="shared" si="1"/>
        <v>97390</v>
      </c>
      <c r="J61" s="3">
        <f t="shared" si="2"/>
        <v>98190</v>
      </c>
      <c r="L61" s="2">
        <v>50000.0</v>
      </c>
    </row>
    <row r="62">
      <c r="A62" s="7" t="s">
        <v>263</v>
      </c>
      <c r="B62" s="3"/>
      <c r="C62" s="9" t="s">
        <v>705</v>
      </c>
      <c r="D62" s="1" t="s">
        <v>708</v>
      </c>
      <c r="E62" s="3"/>
      <c r="F62" s="10">
        <v>91890.0</v>
      </c>
      <c r="G62" s="10">
        <v>94990.0</v>
      </c>
      <c r="H62" s="3"/>
      <c r="I62" s="3">
        <f t="shared" si="1"/>
        <v>91890</v>
      </c>
      <c r="J62" s="3">
        <f t="shared" si="2"/>
        <v>93440</v>
      </c>
      <c r="L62" s="2">
        <v>50000.0</v>
      </c>
    </row>
    <row r="63">
      <c r="A63" s="7" t="s">
        <v>709</v>
      </c>
      <c r="B63" s="3"/>
      <c r="C63" s="9" t="s">
        <v>710</v>
      </c>
      <c r="D63" s="1" t="s">
        <v>711</v>
      </c>
      <c r="E63" s="3"/>
      <c r="F63" s="10">
        <v>93890.0</v>
      </c>
      <c r="G63" s="10">
        <v>97490.0</v>
      </c>
      <c r="H63" s="3"/>
      <c r="I63" s="3">
        <f t="shared" si="1"/>
        <v>93890</v>
      </c>
      <c r="J63" s="3">
        <f t="shared" si="2"/>
        <v>95690</v>
      </c>
      <c r="L63" s="2">
        <v>50000.0</v>
      </c>
    </row>
    <row r="64">
      <c r="A64" s="7" t="s">
        <v>253</v>
      </c>
      <c r="B64" s="3"/>
      <c r="C64" s="9" t="s">
        <v>713</v>
      </c>
      <c r="D64" s="1" t="s">
        <v>714</v>
      </c>
      <c r="E64" s="3"/>
      <c r="F64" s="10">
        <v>95390.0</v>
      </c>
      <c r="G64" s="10">
        <v>96990.0</v>
      </c>
      <c r="H64" s="3"/>
      <c r="I64" s="3">
        <f t="shared" si="1"/>
        <v>95390</v>
      </c>
      <c r="J64" s="3">
        <f t="shared" si="2"/>
        <v>96190</v>
      </c>
      <c r="L64" s="2">
        <v>50000.0</v>
      </c>
    </row>
    <row r="65">
      <c r="A65" s="7" t="s">
        <v>715</v>
      </c>
      <c r="B65" s="3"/>
      <c r="C65" s="9" t="s">
        <v>716</v>
      </c>
      <c r="D65" s="1" t="s">
        <v>724</v>
      </c>
      <c r="E65" s="3"/>
      <c r="F65" s="10">
        <v>97890.0</v>
      </c>
      <c r="G65" s="10">
        <v>97990.0</v>
      </c>
      <c r="H65" s="3"/>
      <c r="I65" s="3">
        <f t="shared" si="1"/>
        <v>97890</v>
      </c>
      <c r="J65" s="3">
        <f t="shared" si="2"/>
        <v>97940</v>
      </c>
      <c r="L65" s="2">
        <v>50000.0</v>
      </c>
    </row>
    <row r="66">
      <c r="A66" s="7" t="s">
        <v>228</v>
      </c>
      <c r="B66" s="3"/>
      <c r="C66" s="9" t="s">
        <v>726</v>
      </c>
      <c r="D66" s="3"/>
      <c r="E66" s="3"/>
      <c r="F66" s="10">
        <v>96890.0</v>
      </c>
      <c r="G66" s="3"/>
      <c r="H66" s="3"/>
      <c r="I66" s="3">
        <f t="shared" si="1"/>
        <v>96890</v>
      </c>
      <c r="J66" s="3">
        <f t="shared" si="2"/>
        <v>96890</v>
      </c>
      <c r="L66" s="2">
        <v>50000.0</v>
      </c>
    </row>
    <row r="67">
      <c r="A67" s="7" t="s">
        <v>237</v>
      </c>
      <c r="B67" s="3"/>
      <c r="C67" s="9" t="s">
        <v>734</v>
      </c>
      <c r="D67" s="3"/>
      <c r="E67" s="3"/>
      <c r="F67" s="10">
        <v>91390.0</v>
      </c>
      <c r="G67" s="3"/>
      <c r="H67" s="3"/>
      <c r="I67" s="3">
        <f t="shared" si="1"/>
        <v>91390</v>
      </c>
      <c r="J67" s="3">
        <f t="shared" si="2"/>
        <v>91390</v>
      </c>
      <c r="L67" s="2">
        <v>50000.0</v>
      </c>
    </row>
    <row r="68">
      <c r="A68" s="7" t="s">
        <v>745</v>
      </c>
      <c r="B68" s="3"/>
      <c r="C68" s="9" t="s">
        <v>746</v>
      </c>
      <c r="D68" s="3"/>
      <c r="E68" s="3"/>
      <c r="F68" s="10">
        <v>93890.0</v>
      </c>
      <c r="G68" s="3"/>
      <c r="H68" s="3"/>
      <c r="I68" s="3">
        <f t="shared" si="1"/>
        <v>93890</v>
      </c>
      <c r="J68" s="3">
        <f t="shared" si="2"/>
        <v>93890</v>
      </c>
      <c r="L68" s="2">
        <v>50000.0</v>
      </c>
    </row>
    <row r="69">
      <c r="A69" s="7" t="s">
        <v>755</v>
      </c>
      <c r="B69" s="3"/>
      <c r="C69" s="9" t="s">
        <v>756</v>
      </c>
      <c r="D69" s="3"/>
      <c r="E69" s="3"/>
      <c r="F69" s="10">
        <v>93390.0</v>
      </c>
      <c r="G69" s="3"/>
      <c r="H69" s="3"/>
      <c r="I69" s="3">
        <f t="shared" si="1"/>
        <v>93390</v>
      </c>
      <c r="J69" s="3">
        <f t="shared" si="2"/>
        <v>93390</v>
      </c>
      <c r="L69" s="2">
        <v>50000.0</v>
      </c>
    </row>
    <row r="70">
      <c r="A70" s="7" t="s">
        <v>277</v>
      </c>
      <c r="B70" s="3"/>
      <c r="C70" s="9" t="s">
        <v>763</v>
      </c>
      <c r="D70" s="3"/>
      <c r="E70" s="3"/>
      <c r="F70" s="10">
        <v>97890.0</v>
      </c>
      <c r="G70" s="3"/>
      <c r="H70" s="3"/>
      <c r="I70" s="3">
        <f t="shared" si="1"/>
        <v>97890</v>
      </c>
      <c r="J70" s="3">
        <f t="shared" si="2"/>
        <v>97890</v>
      </c>
      <c r="L70" s="2">
        <v>50000.0</v>
      </c>
    </row>
    <row r="71">
      <c r="A71" s="5" t="s">
        <v>765</v>
      </c>
      <c r="B71" s="9" t="s">
        <v>766</v>
      </c>
      <c r="C71" s="9" t="s">
        <v>773</v>
      </c>
      <c r="D71" s="1" t="s">
        <v>795</v>
      </c>
      <c r="E71" s="10">
        <v>77990.0</v>
      </c>
      <c r="F71" s="10">
        <v>75390.0</v>
      </c>
      <c r="G71" s="10">
        <v>77990.0</v>
      </c>
      <c r="H71" s="3"/>
      <c r="I71" s="3">
        <f t="shared" si="1"/>
        <v>75390</v>
      </c>
      <c r="J71" s="3">
        <f t="shared" si="2"/>
        <v>77123.33333</v>
      </c>
      <c r="L71" s="2">
        <v>50000.0</v>
      </c>
    </row>
    <row r="72">
      <c r="A72" s="5" t="s">
        <v>804</v>
      </c>
      <c r="B72" s="9" t="s">
        <v>805</v>
      </c>
      <c r="C72" s="9" t="s">
        <v>832</v>
      </c>
      <c r="D72" s="1" t="s">
        <v>795</v>
      </c>
      <c r="E72" s="10">
        <v>77990.0</v>
      </c>
      <c r="F72" s="10">
        <v>76390.0</v>
      </c>
      <c r="G72" s="10">
        <v>77990.0</v>
      </c>
      <c r="H72" s="3"/>
      <c r="I72" s="3">
        <f t="shared" si="1"/>
        <v>76390</v>
      </c>
      <c r="J72" s="3">
        <f t="shared" si="2"/>
        <v>77456.66667</v>
      </c>
      <c r="L72" s="2">
        <v>50000.0</v>
      </c>
    </row>
    <row r="73">
      <c r="A73" s="5" t="s">
        <v>855</v>
      </c>
      <c r="B73" s="9" t="s">
        <v>885</v>
      </c>
      <c r="C73" s="9" t="s">
        <v>912</v>
      </c>
      <c r="D73" s="1" t="s">
        <v>944</v>
      </c>
      <c r="E73" s="10">
        <v>77990.0</v>
      </c>
      <c r="F73" s="10">
        <v>74390.0</v>
      </c>
      <c r="G73" s="10">
        <v>77990.0</v>
      </c>
      <c r="H73" s="3"/>
      <c r="I73" s="3">
        <f t="shared" si="1"/>
        <v>74390</v>
      </c>
      <c r="J73" s="3">
        <f t="shared" si="2"/>
        <v>76790</v>
      </c>
      <c r="L73" s="2">
        <v>50000.0</v>
      </c>
    </row>
    <row r="74">
      <c r="A74" s="5" t="s">
        <v>857</v>
      </c>
      <c r="B74" s="3"/>
      <c r="C74" s="9" t="s">
        <v>950</v>
      </c>
      <c r="D74" s="1" t="s">
        <v>959</v>
      </c>
      <c r="E74" s="3"/>
      <c r="F74" s="10">
        <v>76390.0</v>
      </c>
      <c r="G74" s="10">
        <v>78990.0</v>
      </c>
      <c r="H74" s="3"/>
      <c r="I74" s="3">
        <f t="shared" si="1"/>
        <v>76390</v>
      </c>
      <c r="J74" s="3">
        <f t="shared" si="2"/>
        <v>77690</v>
      </c>
      <c r="L74" s="2">
        <v>50000.0</v>
      </c>
    </row>
    <row r="75">
      <c r="A75" s="5" t="s">
        <v>858</v>
      </c>
      <c r="B75" s="3"/>
      <c r="C75" s="9" t="s">
        <v>962</v>
      </c>
      <c r="D75" s="1" t="s">
        <v>973</v>
      </c>
      <c r="E75" s="3"/>
      <c r="F75" s="10">
        <v>83890.0</v>
      </c>
      <c r="G75" s="10">
        <v>84490.0</v>
      </c>
      <c r="H75" s="3"/>
      <c r="I75" s="3">
        <f t="shared" si="1"/>
        <v>83890</v>
      </c>
      <c r="J75" s="3">
        <f t="shared" si="2"/>
        <v>84190</v>
      </c>
      <c r="L75" s="2">
        <v>50000.0</v>
      </c>
    </row>
    <row r="76">
      <c r="A76" s="5" t="s">
        <v>860</v>
      </c>
      <c r="B76" s="3"/>
      <c r="C76" s="9" t="s">
        <v>978</v>
      </c>
      <c r="D76" s="1" t="s">
        <v>996</v>
      </c>
      <c r="E76" s="3"/>
      <c r="F76" s="10">
        <v>83890.0</v>
      </c>
      <c r="G76" s="10">
        <v>84990.0</v>
      </c>
      <c r="H76" s="3"/>
      <c r="I76" s="3">
        <f t="shared" si="1"/>
        <v>83890</v>
      </c>
      <c r="J76" s="3">
        <f t="shared" si="2"/>
        <v>84440</v>
      </c>
      <c r="L76" s="2">
        <v>50000.0</v>
      </c>
    </row>
    <row r="77">
      <c r="A77" s="5" t="s">
        <v>861</v>
      </c>
      <c r="B77" s="3"/>
      <c r="C77" s="9" t="s">
        <v>1000</v>
      </c>
      <c r="D77" s="1" t="s">
        <v>1014</v>
      </c>
      <c r="E77" s="3"/>
      <c r="F77" s="10">
        <v>83890.0</v>
      </c>
      <c r="G77" s="10">
        <v>84490.0</v>
      </c>
      <c r="H77" s="3"/>
      <c r="I77" s="3">
        <f t="shared" si="1"/>
        <v>83890</v>
      </c>
      <c r="J77" s="3">
        <f t="shared" si="2"/>
        <v>84190</v>
      </c>
      <c r="L77" s="2">
        <v>50000.0</v>
      </c>
    </row>
    <row r="78">
      <c r="A78" s="5" t="s">
        <v>863</v>
      </c>
      <c r="B78" s="3"/>
      <c r="C78" s="9" t="s">
        <v>1018</v>
      </c>
      <c r="D78" s="1" t="s">
        <v>1038</v>
      </c>
      <c r="E78" s="3"/>
      <c r="F78" s="10">
        <v>86390.0</v>
      </c>
      <c r="G78" s="10">
        <v>90490.0</v>
      </c>
      <c r="H78" s="3"/>
      <c r="I78" s="3">
        <f t="shared" si="1"/>
        <v>86390</v>
      </c>
      <c r="J78" s="3">
        <f t="shared" si="2"/>
        <v>88440</v>
      </c>
      <c r="L78" s="2">
        <v>50000.0</v>
      </c>
    </row>
    <row r="79">
      <c r="A79" s="5" t="s">
        <v>864</v>
      </c>
      <c r="B79" s="3"/>
      <c r="C79" s="9" t="s">
        <v>1041</v>
      </c>
      <c r="D79" s="3"/>
      <c r="E79" s="3"/>
      <c r="F79" s="10">
        <v>91890.0</v>
      </c>
      <c r="G79" s="3"/>
      <c r="H79" s="3"/>
      <c r="I79" s="3">
        <f t="shared" si="1"/>
        <v>91890</v>
      </c>
      <c r="J79" s="3">
        <f t="shared" si="2"/>
        <v>91890</v>
      </c>
      <c r="L79" s="2">
        <v>50000.0</v>
      </c>
    </row>
    <row r="80">
      <c r="A80" s="5" t="s">
        <v>866</v>
      </c>
      <c r="B80" s="3"/>
      <c r="C80" s="9" t="s">
        <v>1059</v>
      </c>
      <c r="D80" s="3"/>
      <c r="E80" s="3"/>
      <c r="F80" s="10">
        <v>92890.0</v>
      </c>
      <c r="G80" s="3"/>
      <c r="H80" s="3"/>
      <c r="I80" s="3">
        <f t="shared" si="1"/>
        <v>92890</v>
      </c>
      <c r="J80" s="3">
        <f t="shared" si="2"/>
        <v>92890</v>
      </c>
      <c r="L80" s="2">
        <v>50000.0</v>
      </c>
    </row>
    <row r="81">
      <c r="A81" s="5" t="s">
        <v>867</v>
      </c>
      <c r="B81" s="3"/>
      <c r="C81" s="9" t="s">
        <v>1072</v>
      </c>
      <c r="D81" s="3"/>
      <c r="E81" s="3"/>
      <c r="F81" s="10">
        <v>92890.0</v>
      </c>
      <c r="G81" s="3"/>
      <c r="H81" s="3"/>
      <c r="I81" s="3">
        <f t="shared" si="1"/>
        <v>92890</v>
      </c>
      <c r="J81" s="3">
        <f t="shared" si="2"/>
        <v>92890</v>
      </c>
      <c r="L81" s="2">
        <v>50000.0</v>
      </c>
    </row>
    <row r="82">
      <c r="A82" s="5" t="s">
        <v>870</v>
      </c>
      <c r="B82" s="3"/>
      <c r="C82" s="9" t="s">
        <v>1095</v>
      </c>
      <c r="D82" s="3"/>
      <c r="E82" s="3"/>
      <c r="F82" s="10">
        <v>96890.0</v>
      </c>
      <c r="G82" s="3"/>
      <c r="H82" s="3"/>
      <c r="I82" s="3">
        <f t="shared" si="1"/>
        <v>96890</v>
      </c>
      <c r="J82" s="3">
        <f t="shared" si="2"/>
        <v>96890</v>
      </c>
      <c r="L82" s="2">
        <v>50000.0</v>
      </c>
    </row>
    <row r="83">
      <c r="A83" s="7" t="s">
        <v>319</v>
      </c>
      <c r="B83" s="9" t="s">
        <v>1119</v>
      </c>
      <c r="C83" s="9" t="s">
        <v>1134</v>
      </c>
      <c r="D83" s="1" t="s">
        <v>1155</v>
      </c>
      <c r="E83" s="10">
        <v>98490.0</v>
      </c>
      <c r="F83" s="10">
        <v>97890.0</v>
      </c>
      <c r="G83" s="10">
        <v>99490.0</v>
      </c>
      <c r="H83" s="3"/>
      <c r="I83" s="3">
        <f t="shared" si="1"/>
        <v>97890</v>
      </c>
      <c r="J83" s="3">
        <f t="shared" si="2"/>
        <v>98623.33333</v>
      </c>
      <c r="L83" s="2">
        <v>50000.0</v>
      </c>
    </row>
    <row r="84">
      <c r="A84" s="7" t="s">
        <v>338</v>
      </c>
      <c r="B84" s="9" t="s">
        <v>1161</v>
      </c>
      <c r="C84" s="9" t="s">
        <v>1169</v>
      </c>
      <c r="D84" s="1" t="s">
        <v>1174</v>
      </c>
      <c r="E84" s="10">
        <v>99490.0</v>
      </c>
      <c r="F84" s="10">
        <v>97890.0</v>
      </c>
      <c r="G84" s="10">
        <v>99990.0</v>
      </c>
      <c r="H84" s="3"/>
      <c r="I84" s="3">
        <f t="shared" si="1"/>
        <v>97890</v>
      </c>
      <c r="J84" s="3">
        <f t="shared" si="2"/>
        <v>99123.33333</v>
      </c>
      <c r="L84" s="2">
        <v>50000.0</v>
      </c>
    </row>
    <row r="85">
      <c r="A85" s="7" t="s">
        <v>351</v>
      </c>
      <c r="B85" s="9" t="s">
        <v>1178</v>
      </c>
      <c r="C85" s="9" t="s">
        <v>1182</v>
      </c>
      <c r="D85" s="1" t="s">
        <v>1187</v>
      </c>
      <c r="E85" s="10">
        <v>101990.0</v>
      </c>
      <c r="F85" s="10">
        <v>99890.0</v>
      </c>
      <c r="G85" s="10">
        <v>100990.0</v>
      </c>
      <c r="H85" s="3"/>
      <c r="I85" s="3">
        <f t="shared" si="1"/>
        <v>99890</v>
      </c>
      <c r="J85" s="3">
        <f t="shared" si="2"/>
        <v>100956.6667</v>
      </c>
      <c r="L85" s="2">
        <v>50000.0</v>
      </c>
    </row>
    <row r="86">
      <c r="A86" s="7" t="s">
        <v>288</v>
      </c>
      <c r="B86" s="9" t="s">
        <v>1188</v>
      </c>
      <c r="C86" s="9" t="s">
        <v>1194</v>
      </c>
      <c r="D86" s="1" t="s">
        <v>1198</v>
      </c>
      <c r="E86" s="10">
        <v>103990.0</v>
      </c>
      <c r="F86" s="10">
        <v>101390.0</v>
      </c>
      <c r="G86" s="10">
        <v>103990.0</v>
      </c>
      <c r="H86" s="3"/>
      <c r="I86" s="3">
        <f t="shared" si="1"/>
        <v>101390</v>
      </c>
      <c r="J86" s="3">
        <f t="shared" si="2"/>
        <v>103123.3333</v>
      </c>
      <c r="L86" s="2">
        <v>50000.0</v>
      </c>
    </row>
    <row r="87">
      <c r="A87" s="7" t="s">
        <v>390</v>
      </c>
      <c r="B87" s="9" t="s">
        <v>1200</v>
      </c>
      <c r="C87" s="9" t="s">
        <v>1206</v>
      </c>
      <c r="D87" s="1" t="s">
        <v>1214</v>
      </c>
      <c r="E87" s="10">
        <v>105990.0</v>
      </c>
      <c r="F87" s="10">
        <v>104890.0</v>
      </c>
      <c r="G87" s="10">
        <v>105990.0</v>
      </c>
      <c r="H87" s="3"/>
      <c r="I87" s="3">
        <f t="shared" si="1"/>
        <v>104890</v>
      </c>
      <c r="J87" s="3">
        <f t="shared" si="2"/>
        <v>105623.3333</v>
      </c>
      <c r="L87" s="2">
        <v>50000.0</v>
      </c>
    </row>
    <row r="88">
      <c r="A88" s="7" t="s">
        <v>339</v>
      </c>
      <c r="B88" s="9" t="s">
        <v>1216</v>
      </c>
      <c r="C88" s="9" t="s">
        <v>1220</v>
      </c>
      <c r="D88" s="1" t="s">
        <v>1224</v>
      </c>
      <c r="E88" s="10">
        <v>108990.0</v>
      </c>
      <c r="F88" s="10">
        <v>105390.0</v>
      </c>
      <c r="G88" s="10">
        <v>107490.0</v>
      </c>
      <c r="H88" s="3"/>
      <c r="I88" s="3">
        <f t="shared" si="1"/>
        <v>105390</v>
      </c>
      <c r="J88" s="3">
        <f t="shared" si="2"/>
        <v>107290</v>
      </c>
      <c r="L88" s="2">
        <v>50000.0</v>
      </c>
    </row>
    <row r="89">
      <c r="A89" s="7" t="s">
        <v>381</v>
      </c>
      <c r="B89" s="9" t="s">
        <v>1227</v>
      </c>
      <c r="C89" s="9" t="s">
        <v>1232</v>
      </c>
      <c r="D89" s="1" t="s">
        <v>1239</v>
      </c>
      <c r="E89" s="10">
        <v>113990.0</v>
      </c>
      <c r="F89" s="10">
        <v>112890.0</v>
      </c>
      <c r="G89" s="10">
        <v>114390.0</v>
      </c>
      <c r="H89" s="3"/>
      <c r="I89" s="3">
        <f t="shared" si="1"/>
        <v>112890</v>
      </c>
      <c r="J89" s="3">
        <f t="shared" si="2"/>
        <v>113756.6667</v>
      </c>
      <c r="L89" s="2">
        <v>50000.0</v>
      </c>
    </row>
    <row r="90">
      <c r="A90" s="5" t="s">
        <v>319</v>
      </c>
      <c r="B90" s="9" t="s">
        <v>1245</v>
      </c>
      <c r="C90" s="9" t="s">
        <v>1259</v>
      </c>
      <c r="D90" s="1" t="s">
        <v>1270</v>
      </c>
      <c r="E90" s="10">
        <v>117990.0</v>
      </c>
      <c r="F90" s="10">
        <v>115890.0</v>
      </c>
      <c r="G90" s="10">
        <v>118990.0</v>
      </c>
      <c r="H90" s="3"/>
      <c r="I90" s="3">
        <f t="shared" si="1"/>
        <v>115890</v>
      </c>
      <c r="J90" s="3">
        <f t="shared" si="2"/>
        <v>117623.3333</v>
      </c>
      <c r="L90" s="2">
        <v>50000.0</v>
      </c>
    </row>
    <row r="91">
      <c r="A91" s="7" t="s">
        <v>415</v>
      </c>
      <c r="B91" s="9" t="s">
        <v>1271</v>
      </c>
      <c r="C91" s="9" t="s">
        <v>1276</v>
      </c>
      <c r="D91" s="1" t="s">
        <v>1285</v>
      </c>
      <c r="E91" s="10">
        <v>116990.0</v>
      </c>
      <c r="F91" s="10">
        <v>114890.0</v>
      </c>
      <c r="G91" s="10">
        <v>118990.0</v>
      </c>
      <c r="H91" s="3"/>
      <c r="I91" s="3">
        <f t="shared" si="1"/>
        <v>114890</v>
      </c>
      <c r="J91" s="3">
        <f t="shared" si="2"/>
        <v>116956.6667</v>
      </c>
      <c r="L91" s="2">
        <v>50000.0</v>
      </c>
    </row>
    <row r="92">
      <c r="A92" s="7" t="s">
        <v>388</v>
      </c>
      <c r="B92" s="9" t="s">
        <v>1289</v>
      </c>
      <c r="C92" s="9" t="s">
        <v>1290</v>
      </c>
      <c r="D92" s="1" t="s">
        <v>1294</v>
      </c>
      <c r="E92" s="10">
        <v>121490.0</v>
      </c>
      <c r="F92" s="10">
        <v>119890.0</v>
      </c>
      <c r="G92" s="10">
        <v>121990.0</v>
      </c>
      <c r="H92" s="3"/>
      <c r="I92" s="3">
        <f t="shared" si="1"/>
        <v>119890</v>
      </c>
      <c r="J92" s="3">
        <f t="shared" si="2"/>
        <v>121123.3333</v>
      </c>
      <c r="L92" s="2">
        <v>50000.0</v>
      </c>
    </row>
    <row r="93">
      <c r="A93" s="7" t="s">
        <v>291</v>
      </c>
      <c r="B93" s="3"/>
      <c r="C93" s="9" t="s">
        <v>1296</v>
      </c>
      <c r="D93" s="1" t="s">
        <v>1300</v>
      </c>
      <c r="E93" s="3"/>
      <c r="F93" s="10">
        <v>124890.0</v>
      </c>
      <c r="G93" s="10">
        <v>127490.0</v>
      </c>
      <c r="H93" s="3"/>
      <c r="I93" s="3">
        <f t="shared" si="1"/>
        <v>124890</v>
      </c>
      <c r="J93" s="3">
        <f t="shared" si="2"/>
        <v>126190</v>
      </c>
      <c r="L93" s="2">
        <v>50000.0</v>
      </c>
    </row>
    <row r="94">
      <c r="A94" s="7" t="s">
        <v>335</v>
      </c>
      <c r="B94" s="9" t="s">
        <v>1302</v>
      </c>
      <c r="C94" s="9" t="s">
        <v>1306</v>
      </c>
      <c r="D94" s="1" t="s">
        <v>1311</v>
      </c>
      <c r="E94" s="10">
        <v>131990.0</v>
      </c>
      <c r="F94" s="10">
        <v>123890.0</v>
      </c>
      <c r="G94" s="10">
        <v>126790.0</v>
      </c>
      <c r="H94" s="3"/>
      <c r="I94" s="3">
        <f t="shared" si="1"/>
        <v>123890</v>
      </c>
      <c r="J94" s="3">
        <f t="shared" si="2"/>
        <v>127556.6667</v>
      </c>
      <c r="L94" s="2">
        <v>50000.0</v>
      </c>
    </row>
    <row r="95">
      <c r="A95" s="7" t="s">
        <v>298</v>
      </c>
      <c r="B95" s="3"/>
      <c r="C95" s="9" t="s">
        <v>1313</v>
      </c>
      <c r="D95" s="1" t="s">
        <v>1317</v>
      </c>
      <c r="E95" s="3"/>
      <c r="F95" s="10">
        <v>123390.0</v>
      </c>
      <c r="G95" s="10">
        <v>124990.0</v>
      </c>
      <c r="H95" s="3"/>
      <c r="I95" s="3">
        <f t="shared" si="1"/>
        <v>123390</v>
      </c>
      <c r="J95" s="3">
        <f t="shared" si="2"/>
        <v>124190</v>
      </c>
      <c r="L95" s="2">
        <v>50000.0</v>
      </c>
    </row>
    <row r="96">
      <c r="A96" s="7" t="s">
        <v>364</v>
      </c>
      <c r="B96" s="3"/>
      <c r="C96" s="9" t="s">
        <v>1318</v>
      </c>
      <c r="D96" s="1" t="s">
        <v>1323</v>
      </c>
      <c r="E96" s="3"/>
      <c r="F96" s="10">
        <v>126390.0</v>
      </c>
      <c r="G96" s="10">
        <v>128490.0</v>
      </c>
      <c r="H96" s="3"/>
      <c r="I96" s="3">
        <f t="shared" si="1"/>
        <v>126390</v>
      </c>
      <c r="J96" s="3">
        <f t="shared" si="2"/>
        <v>127440</v>
      </c>
      <c r="L96" s="2">
        <v>50000.0</v>
      </c>
    </row>
    <row r="97">
      <c r="A97" s="7" t="s">
        <v>333</v>
      </c>
      <c r="B97" s="9" t="s">
        <v>1324</v>
      </c>
      <c r="C97" s="9" t="s">
        <v>1326</v>
      </c>
      <c r="D97" s="1" t="s">
        <v>1337</v>
      </c>
      <c r="E97" s="10">
        <v>135490.0</v>
      </c>
      <c r="F97" s="10">
        <v>138390.0</v>
      </c>
      <c r="G97" s="10">
        <v>138490.0</v>
      </c>
      <c r="H97" s="3"/>
      <c r="I97" s="3">
        <f t="shared" si="1"/>
        <v>135490</v>
      </c>
      <c r="J97" s="3">
        <f t="shared" si="2"/>
        <v>137456.6667</v>
      </c>
      <c r="L97" s="2">
        <v>50000.0</v>
      </c>
    </row>
    <row r="98">
      <c r="A98" s="7" t="s">
        <v>295</v>
      </c>
      <c r="B98" s="3"/>
      <c r="C98" s="9" t="s">
        <v>1341</v>
      </c>
      <c r="D98" s="1" t="s">
        <v>1352</v>
      </c>
      <c r="E98" s="3"/>
      <c r="F98" s="10">
        <v>136390.0</v>
      </c>
      <c r="G98" s="10">
        <v>138490.0</v>
      </c>
      <c r="H98" s="3"/>
      <c r="I98" s="3">
        <f t="shared" si="1"/>
        <v>136390</v>
      </c>
      <c r="J98" s="3">
        <f t="shared" si="2"/>
        <v>137440</v>
      </c>
      <c r="L98" s="2">
        <v>50000.0</v>
      </c>
    </row>
    <row r="99">
      <c r="A99" s="7" t="s">
        <v>385</v>
      </c>
      <c r="B99" s="3"/>
      <c r="C99" s="9" t="s">
        <v>1355</v>
      </c>
      <c r="D99" s="1" t="s">
        <v>1366</v>
      </c>
      <c r="E99" s="3"/>
      <c r="F99" s="10">
        <v>1.0</v>
      </c>
      <c r="G99" s="10">
        <v>145490.0</v>
      </c>
      <c r="H99" s="3"/>
      <c r="I99" s="3">
        <f t="shared" si="1"/>
        <v>1</v>
      </c>
      <c r="J99" s="3">
        <f t="shared" si="2"/>
        <v>72745.5</v>
      </c>
      <c r="L99" s="2">
        <v>50000.0</v>
      </c>
    </row>
    <row r="100">
      <c r="A100" s="7" t="s">
        <v>1371</v>
      </c>
      <c r="B100" s="3"/>
      <c r="C100" s="9" t="s">
        <v>1372</v>
      </c>
      <c r="D100" s="1" t="s">
        <v>1381</v>
      </c>
      <c r="E100" s="3"/>
      <c r="F100" s="10">
        <v>147390.0</v>
      </c>
      <c r="G100" s="10">
        <v>150990.0</v>
      </c>
      <c r="H100" s="3"/>
      <c r="I100" s="3">
        <f t="shared" si="1"/>
        <v>147390</v>
      </c>
      <c r="J100" s="3">
        <f t="shared" si="2"/>
        <v>149190</v>
      </c>
      <c r="L100" s="2">
        <v>50000.0</v>
      </c>
    </row>
    <row r="101">
      <c r="A101" s="7" t="s">
        <v>329</v>
      </c>
      <c r="B101" s="9" t="s">
        <v>1385</v>
      </c>
      <c r="C101" s="9" t="s">
        <v>1394</v>
      </c>
      <c r="D101" s="1" t="s">
        <v>1404</v>
      </c>
      <c r="E101" s="10">
        <v>106490.0</v>
      </c>
      <c r="F101" s="10">
        <v>1.0</v>
      </c>
      <c r="G101" s="10">
        <v>106990.0</v>
      </c>
      <c r="H101" s="3"/>
      <c r="I101" s="3">
        <f t="shared" si="1"/>
        <v>1</v>
      </c>
      <c r="J101" s="3">
        <f t="shared" si="2"/>
        <v>71160.33333</v>
      </c>
      <c r="L101" s="2">
        <v>50000.0</v>
      </c>
    </row>
    <row r="102">
      <c r="A102" s="7" t="s">
        <v>366</v>
      </c>
      <c r="B102" s="9" t="s">
        <v>1408</v>
      </c>
      <c r="C102" s="9" t="s">
        <v>1419</v>
      </c>
      <c r="D102" s="1" t="s">
        <v>1430</v>
      </c>
      <c r="E102" s="10">
        <v>106490.0</v>
      </c>
      <c r="F102" s="10">
        <v>105890.0</v>
      </c>
      <c r="G102" s="10">
        <v>107490.0</v>
      </c>
      <c r="H102" s="3"/>
      <c r="I102" s="3">
        <f t="shared" si="1"/>
        <v>105890</v>
      </c>
      <c r="J102" s="3">
        <f t="shared" si="2"/>
        <v>106623.3333</v>
      </c>
      <c r="L102" s="2">
        <v>50000.0</v>
      </c>
    </row>
    <row r="103">
      <c r="A103" s="7" t="s">
        <v>419</v>
      </c>
      <c r="B103" s="9" t="s">
        <v>1434</v>
      </c>
      <c r="C103" s="9" t="s">
        <v>1444</v>
      </c>
      <c r="D103" s="1" t="s">
        <v>1455</v>
      </c>
      <c r="E103" s="10">
        <v>109990.0</v>
      </c>
      <c r="F103" s="10">
        <v>106890.0</v>
      </c>
      <c r="G103" s="10">
        <v>109490.0</v>
      </c>
      <c r="H103" s="3"/>
      <c r="I103" s="3">
        <f t="shared" si="1"/>
        <v>106890</v>
      </c>
      <c r="J103" s="3">
        <f t="shared" si="2"/>
        <v>108790</v>
      </c>
      <c r="L103" s="2">
        <v>50000.0</v>
      </c>
    </row>
    <row r="104">
      <c r="A104" s="7" t="s">
        <v>1458</v>
      </c>
      <c r="B104" s="12" t="s">
        <v>1460</v>
      </c>
      <c r="C104" s="9" t="s">
        <v>1471</v>
      </c>
      <c r="D104" s="1" t="s">
        <v>1475</v>
      </c>
      <c r="E104" s="10">
        <v>112990.0</v>
      </c>
      <c r="F104" s="10">
        <v>110390.0</v>
      </c>
      <c r="G104" s="10">
        <v>113490.0</v>
      </c>
      <c r="H104" s="3"/>
      <c r="I104" s="3">
        <f t="shared" si="1"/>
        <v>110390</v>
      </c>
      <c r="J104" s="3">
        <f t="shared" si="2"/>
        <v>112290</v>
      </c>
      <c r="L104" s="2">
        <v>50000.0</v>
      </c>
    </row>
    <row r="105">
      <c r="A105" s="7" t="s">
        <v>328</v>
      </c>
      <c r="B105" s="9" t="s">
        <v>1476</v>
      </c>
      <c r="C105" s="9" t="s">
        <v>1480</v>
      </c>
      <c r="D105" s="1" t="s">
        <v>1485</v>
      </c>
      <c r="E105" s="10">
        <v>113990.0</v>
      </c>
      <c r="F105" s="10">
        <v>111890.0</v>
      </c>
      <c r="G105" s="10">
        <v>114490.0</v>
      </c>
      <c r="H105" s="3"/>
      <c r="I105" s="3">
        <f t="shared" si="1"/>
        <v>111890</v>
      </c>
      <c r="J105" s="3">
        <f t="shared" si="2"/>
        <v>113456.6667</v>
      </c>
      <c r="L105" s="2">
        <v>50000.0</v>
      </c>
    </row>
    <row r="106">
      <c r="A106" s="7" t="s">
        <v>347</v>
      </c>
      <c r="B106" s="9" t="s">
        <v>1486</v>
      </c>
      <c r="C106" s="9" t="s">
        <v>1495</v>
      </c>
      <c r="D106" s="1" t="s">
        <v>1505</v>
      </c>
      <c r="E106" s="10">
        <v>116990.0</v>
      </c>
      <c r="F106" s="10">
        <v>114890.0</v>
      </c>
      <c r="G106" s="10">
        <v>116990.0</v>
      </c>
      <c r="H106" s="3"/>
      <c r="I106" s="3">
        <f t="shared" si="1"/>
        <v>114890</v>
      </c>
      <c r="J106" s="3">
        <f t="shared" si="2"/>
        <v>116290</v>
      </c>
      <c r="L106" s="2">
        <v>50000.0</v>
      </c>
    </row>
    <row r="107">
      <c r="A107" s="7" t="s">
        <v>355</v>
      </c>
      <c r="B107" s="9" t="s">
        <v>1509</v>
      </c>
      <c r="C107" s="9" t="s">
        <v>1517</v>
      </c>
      <c r="D107" s="1" t="s">
        <v>1526</v>
      </c>
      <c r="E107" s="10">
        <v>123490.0</v>
      </c>
      <c r="F107" s="10">
        <v>119890.0</v>
      </c>
      <c r="G107" s="10">
        <v>122490.0</v>
      </c>
      <c r="H107" s="3"/>
      <c r="I107" s="3">
        <f t="shared" si="1"/>
        <v>119890</v>
      </c>
      <c r="J107" s="3">
        <f t="shared" si="2"/>
        <v>121956.6667</v>
      </c>
      <c r="L107" s="2">
        <v>50000.0</v>
      </c>
    </row>
    <row r="108">
      <c r="A108" s="7" t="s">
        <v>312</v>
      </c>
      <c r="B108" s="3"/>
      <c r="C108" s="9" t="s">
        <v>1529</v>
      </c>
      <c r="D108" s="1" t="s">
        <v>1530</v>
      </c>
      <c r="E108" s="3"/>
      <c r="F108" s="10">
        <v>120890.0</v>
      </c>
      <c r="G108" s="10">
        <v>123990.0</v>
      </c>
      <c r="H108" s="3"/>
      <c r="I108" s="3">
        <f t="shared" si="1"/>
        <v>120890</v>
      </c>
      <c r="J108" s="3">
        <f t="shared" si="2"/>
        <v>122440</v>
      </c>
      <c r="L108" s="2">
        <v>50000.0</v>
      </c>
    </row>
    <row r="109">
      <c r="A109" s="7" t="s">
        <v>346</v>
      </c>
      <c r="B109" s="9" t="s">
        <v>1532</v>
      </c>
      <c r="C109" s="9" t="s">
        <v>1535</v>
      </c>
      <c r="D109" s="1" t="s">
        <v>1537</v>
      </c>
      <c r="E109" s="10">
        <v>127990.0</v>
      </c>
      <c r="F109" s="1">
        <v>124890.0</v>
      </c>
      <c r="G109" s="10">
        <v>128490.0</v>
      </c>
      <c r="H109" s="3"/>
      <c r="I109" s="3">
        <f t="shared" si="1"/>
        <v>124890</v>
      </c>
      <c r="J109" s="3">
        <f t="shared" si="2"/>
        <v>127123.3333</v>
      </c>
      <c r="L109" s="2">
        <v>50000.0</v>
      </c>
    </row>
    <row r="110">
      <c r="A110" s="7" t="s">
        <v>358</v>
      </c>
      <c r="B110" s="9" t="s">
        <v>1540</v>
      </c>
      <c r="C110" s="9" t="s">
        <v>1541</v>
      </c>
      <c r="D110" s="1" t="s">
        <v>1544</v>
      </c>
      <c r="E110" s="10">
        <v>1.0</v>
      </c>
      <c r="F110" s="10">
        <v>129890.0</v>
      </c>
      <c r="G110" s="10">
        <v>132490.0</v>
      </c>
      <c r="H110" s="3"/>
      <c r="I110" s="3">
        <f t="shared" si="1"/>
        <v>1</v>
      </c>
      <c r="J110" s="3">
        <f t="shared" si="2"/>
        <v>87460.33333</v>
      </c>
      <c r="L110" s="2">
        <v>50000.0</v>
      </c>
    </row>
    <row r="111">
      <c r="A111" s="7" t="s">
        <v>1546</v>
      </c>
      <c r="B111" s="9" t="s">
        <v>1547</v>
      </c>
      <c r="C111" s="9" t="s">
        <v>1548</v>
      </c>
      <c r="D111" s="1" t="s">
        <v>1552</v>
      </c>
      <c r="E111" s="10">
        <v>1.0</v>
      </c>
      <c r="F111" s="10">
        <v>131890.0</v>
      </c>
      <c r="G111" s="10">
        <v>134490.0</v>
      </c>
      <c r="H111" s="3"/>
      <c r="I111" s="3">
        <f t="shared" si="1"/>
        <v>1</v>
      </c>
      <c r="J111" s="3">
        <f t="shared" si="2"/>
        <v>88793.66667</v>
      </c>
      <c r="L111" s="2">
        <v>50000.0</v>
      </c>
    </row>
    <row r="112">
      <c r="A112" s="7" t="s">
        <v>317</v>
      </c>
      <c r="B112" s="3"/>
      <c r="C112" s="9" t="s">
        <v>1553</v>
      </c>
      <c r="D112" s="1" t="s">
        <v>1557</v>
      </c>
      <c r="E112" s="3"/>
      <c r="F112" s="10">
        <v>136390.0</v>
      </c>
      <c r="G112" s="10">
        <v>139990.0</v>
      </c>
      <c r="H112" s="3"/>
      <c r="I112" s="3">
        <f t="shared" si="1"/>
        <v>136390</v>
      </c>
      <c r="J112" s="3">
        <f t="shared" si="2"/>
        <v>138190</v>
      </c>
      <c r="L112" s="2">
        <v>50000.0</v>
      </c>
    </row>
    <row r="113">
      <c r="A113" s="7" t="s">
        <v>343</v>
      </c>
      <c r="B113" s="3"/>
      <c r="C113" s="9" t="s">
        <v>1559</v>
      </c>
      <c r="D113" s="1" t="s">
        <v>1561</v>
      </c>
      <c r="E113" s="3"/>
      <c r="F113" s="10">
        <v>136890.0</v>
      </c>
      <c r="G113" s="10">
        <v>138490.0</v>
      </c>
      <c r="H113" s="3"/>
      <c r="I113" s="3">
        <f t="shared" si="1"/>
        <v>136890</v>
      </c>
      <c r="J113" s="3">
        <f t="shared" si="2"/>
        <v>137690</v>
      </c>
      <c r="L113" s="2">
        <v>50000.0</v>
      </c>
    </row>
    <row r="114">
      <c r="A114" s="5" t="s">
        <v>383</v>
      </c>
      <c r="B114" s="9" t="s">
        <v>1566</v>
      </c>
      <c r="C114" s="9" t="s">
        <v>1569</v>
      </c>
      <c r="D114" s="1" t="s">
        <v>1572</v>
      </c>
      <c r="E114" s="10">
        <v>1.0</v>
      </c>
      <c r="F114" s="10">
        <v>136890.0</v>
      </c>
      <c r="G114" s="10">
        <v>138490.0</v>
      </c>
      <c r="H114" s="3"/>
      <c r="I114" s="3">
        <f t="shared" si="1"/>
        <v>1</v>
      </c>
      <c r="J114" s="3">
        <f t="shared" si="2"/>
        <v>91793.66667</v>
      </c>
      <c r="L114" s="2">
        <v>50000.0</v>
      </c>
    </row>
    <row r="115">
      <c r="A115" s="5" t="s">
        <v>308</v>
      </c>
      <c r="B115" s="9" t="s">
        <v>1573</v>
      </c>
      <c r="C115" s="9" t="s">
        <v>1575</v>
      </c>
      <c r="D115" s="1" t="s">
        <v>1577</v>
      </c>
      <c r="E115" s="10">
        <v>148990.0</v>
      </c>
      <c r="F115" s="10">
        <v>148390.0</v>
      </c>
      <c r="G115" s="10">
        <v>148490.0</v>
      </c>
      <c r="H115" s="3"/>
      <c r="I115" s="3">
        <f t="shared" si="1"/>
        <v>148390</v>
      </c>
      <c r="J115" s="3">
        <f t="shared" si="2"/>
        <v>148623.3333</v>
      </c>
      <c r="L115" s="2">
        <v>50000.0</v>
      </c>
    </row>
    <row r="116">
      <c r="A116" s="5" t="s">
        <v>324</v>
      </c>
      <c r="B116" s="3"/>
      <c r="C116" s="9" t="s">
        <v>1579</v>
      </c>
      <c r="D116" s="1" t="s">
        <v>1582</v>
      </c>
      <c r="E116" s="3"/>
      <c r="F116" s="10">
        <v>161890.0</v>
      </c>
      <c r="G116" s="10">
        <v>162990.0</v>
      </c>
      <c r="H116" s="3"/>
      <c r="I116" s="3">
        <f t="shared" si="1"/>
        <v>161890</v>
      </c>
      <c r="J116" s="3">
        <f t="shared" si="2"/>
        <v>162440</v>
      </c>
      <c r="L116" s="2">
        <v>50000.0</v>
      </c>
    </row>
    <row r="117">
      <c r="A117" s="5" t="s">
        <v>322</v>
      </c>
      <c r="B117" s="3"/>
      <c r="C117" s="9" t="s">
        <v>1584</v>
      </c>
      <c r="D117" s="1" t="s">
        <v>1588</v>
      </c>
      <c r="E117" s="3"/>
      <c r="F117" s="10">
        <v>161890.0</v>
      </c>
      <c r="G117" s="10">
        <v>163990.0</v>
      </c>
      <c r="H117" s="3"/>
      <c r="I117" s="3">
        <f t="shared" si="1"/>
        <v>161890</v>
      </c>
      <c r="J117" s="3">
        <f t="shared" si="2"/>
        <v>162940</v>
      </c>
      <c r="L117" s="2">
        <v>50000.0</v>
      </c>
    </row>
    <row r="118">
      <c r="A118" s="5" t="s">
        <v>315</v>
      </c>
      <c r="B118" s="3"/>
      <c r="C118" s="9" t="s">
        <v>1589</v>
      </c>
      <c r="D118" s="1" t="s">
        <v>1592</v>
      </c>
      <c r="E118" s="3"/>
      <c r="F118" s="10">
        <v>168890.0</v>
      </c>
      <c r="G118" s="10">
        <v>174490.0</v>
      </c>
      <c r="H118" s="3"/>
      <c r="I118" s="3">
        <f t="shared" si="1"/>
        <v>168890</v>
      </c>
      <c r="J118" s="3">
        <f t="shared" si="2"/>
        <v>171690</v>
      </c>
      <c r="L118" s="2">
        <v>50000.0</v>
      </c>
    </row>
    <row r="119">
      <c r="A119" s="5" t="s">
        <v>393</v>
      </c>
      <c r="B119" s="3"/>
      <c r="C119" s="9" t="s">
        <v>1594</v>
      </c>
      <c r="D119" s="1" t="s">
        <v>1596</v>
      </c>
      <c r="E119" s="3"/>
      <c r="F119" s="10">
        <v>150890.0</v>
      </c>
      <c r="G119" s="10">
        <v>154990.0</v>
      </c>
      <c r="H119" s="3"/>
      <c r="I119" s="3">
        <f t="shared" si="1"/>
        <v>150890</v>
      </c>
      <c r="J119" s="3">
        <f t="shared" si="2"/>
        <v>152940</v>
      </c>
      <c r="L119" s="2">
        <v>50000.0</v>
      </c>
    </row>
    <row r="120">
      <c r="A120" s="5" t="s">
        <v>377</v>
      </c>
      <c r="B120" s="3"/>
      <c r="C120" s="9" t="s">
        <v>1598</v>
      </c>
      <c r="D120" s="1" t="s">
        <v>1600</v>
      </c>
      <c r="E120" s="3"/>
      <c r="F120" s="10">
        <v>149890.0</v>
      </c>
      <c r="G120" s="10">
        <v>155990.0</v>
      </c>
      <c r="H120" s="3"/>
      <c r="I120" s="3">
        <f t="shared" si="1"/>
        <v>149890</v>
      </c>
      <c r="J120" s="3">
        <f t="shared" si="2"/>
        <v>152940</v>
      </c>
      <c r="L120" s="2">
        <v>50000.0</v>
      </c>
    </row>
    <row r="121">
      <c r="A121" s="5" t="s">
        <v>360</v>
      </c>
      <c r="B121" s="3"/>
      <c r="C121" s="9" t="s">
        <v>1602</v>
      </c>
      <c r="D121" s="1" t="s">
        <v>1603</v>
      </c>
      <c r="E121" s="3"/>
      <c r="F121" s="10">
        <v>164890.0</v>
      </c>
      <c r="G121" s="10">
        <v>166990.0</v>
      </c>
      <c r="H121" s="3"/>
      <c r="I121" s="3">
        <f t="shared" si="1"/>
        <v>164890</v>
      </c>
      <c r="J121" s="3">
        <f t="shared" si="2"/>
        <v>165940</v>
      </c>
      <c r="L121" s="2">
        <v>50000.0</v>
      </c>
    </row>
    <row r="122">
      <c r="A122" s="5" t="s">
        <v>285</v>
      </c>
      <c r="B122" s="3"/>
      <c r="C122" s="9" t="s">
        <v>1605</v>
      </c>
      <c r="D122" s="1" t="s">
        <v>1606</v>
      </c>
      <c r="E122" s="3"/>
      <c r="F122" s="10">
        <v>173390.0</v>
      </c>
      <c r="G122" s="10">
        <v>176490.0</v>
      </c>
      <c r="H122" s="3"/>
      <c r="I122" s="3">
        <f t="shared" si="1"/>
        <v>173390</v>
      </c>
      <c r="J122" s="3">
        <f t="shared" si="2"/>
        <v>174940</v>
      </c>
      <c r="L122" s="2">
        <v>50000.0</v>
      </c>
    </row>
    <row r="123">
      <c r="A123" s="5" t="s">
        <v>375</v>
      </c>
      <c r="B123" s="3"/>
      <c r="C123" s="9" t="s">
        <v>1607</v>
      </c>
      <c r="D123" s="1" t="s">
        <v>1610</v>
      </c>
      <c r="E123" s="3"/>
      <c r="F123" s="10">
        <v>175390.0</v>
      </c>
      <c r="G123" s="10">
        <v>179990.0</v>
      </c>
      <c r="H123" s="3"/>
      <c r="I123" s="3">
        <f t="shared" si="1"/>
        <v>175390</v>
      </c>
      <c r="J123" s="3">
        <f t="shared" si="2"/>
        <v>177690</v>
      </c>
      <c r="L123" s="2">
        <v>50000.0</v>
      </c>
    </row>
    <row r="124">
      <c r="A124" s="5" t="s">
        <v>354</v>
      </c>
      <c r="B124" s="3"/>
      <c r="C124" s="9" t="s">
        <v>1611</v>
      </c>
      <c r="D124" s="1" t="s">
        <v>1614</v>
      </c>
      <c r="E124" s="3"/>
      <c r="F124" s="10">
        <v>174890.0</v>
      </c>
      <c r="G124" s="10">
        <v>180990.0</v>
      </c>
      <c r="H124" s="3"/>
      <c r="I124" s="3">
        <f t="shared" si="1"/>
        <v>174890</v>
      </c>
      <c r="J124" s="3">
        <f t="shared" si="2"/>
        <v>177940</v>
      </c>
      <c r="L124" s="2">
        <v>50000.0</v>
      </c>
    </row>
    <row r="125">
      <c r="A125" s="5" t="s">
        <v>948</v>
      </c>
      <c r="L125" s="2">
        <v>50000.0</v>
      </c>
    </row>
    <row r="126">
      <c r="A126" s="5" t="s">
        <v>34</v>
      </c>
      <c r="L126" s="2">
        <v>50000.0</v>
      </c>
    </row>
    <row r="127">
      <c r="A127" s="5" t="s">
        <v>953</v>
      </c>
      <c r="L127" s="2">
        <v>50000.0</v>
      </c>
    </row>
    <row r="128">
      <c r="A128" s="5" t="s">
        <v>954</v>
      </c>
      <c r="L128" s="2">
        <v>50000.0</v>
      </c>
    </row>
    <row r="129">
      <c r="A129" s="5" t="s">
        <v>91</v>
      </c>
      <c r="L129" s="2">
        <v>50000.0</v>
      </c>
    </row>
    <row r="130">
      <c r="A130" s="5" t="s">
        <v>957</v>
      </c>
      <c r="L130" s="2">
        <v>50000.0</v>
      </c>
    </row>
    <row r="131">
      <c r="A131" s="5" t="s">
        <v>960</v>
      </c>
      <c r="L131" s="2">
        <v>50000.0</v>
      </c>
    </row>
    <row r="132">
      <c r="A132" s="5" t="s">
        <v>961</v>
      </c>
      <c r="L132" s="2">
        <v>50000.0</v>
      </c>
    </row>
    <row r="133">
      <c r="A133" s="5" t="s">
        <v>966</v>
      </c>
      <c r="L133" s="2">
        <v>50000.0</v>
      </c>
    </row>
    <row r="134">
      <c r="A134" s="5" t="s">
        <v>969</v>
      </c>
      <c r="L134" s="2">
        <v>50000.0</v>
      </c>
    </row>
    <row r="135">
      <c r="A135" s="5" t="s">
        <v>974</v>
      </c>
      <c r="L135" s="2">
        <v>50000.0</v>
      </c>
    </row>
    <row r="136">
      <c r="A136" s="5" t="s">
        <v>979</v>
      </c>
      <c r="L136" s="2">
        <v>50000.0</v>
      </c>
    </row>
    <row r="137">
      <c r="A137" s="5" t="s">
        <v>981</v>
      </c>
      <c r="L137" s="2">
        <v>50000.0</v>
      </c>
    </row>
    <row r="138">
      <c r="A138" s="5" t="s">
        <v>987</v>
      </c>
      <c r="L138" s="2">
        <v>50000.0</v>
      </c>
    </row>
    <row r="139">
      <c r="A139" s="5" t="s">
        <v>991</v>
      </c>
      <c r="L139" s="2">
        <v>50000.0</v>
      </c>
    </row>
    <row r="140">
      <c r="A140" s="5" t="s">
        <v>995</v>
      </c>
      <c r="L140" s="2">
        <v>50000.0</v>
      </c>
    </row>
    <row r="141">
      <c r="A141" s="5" t="s">
        <v>997</v>
      </c>
      <c r="C141" s="17" t="s">
        <v>986</v>
      </c>
      <c r="F141" s="4">
        <v>180890.0</v>
      </c>
      <c r="L141" s="2">
        <v>50000.0</v>
      </c>
    </row>
    <row r="142">
      <c r="A142" s="5" t="s">
        <v>998</v>
      </c>
      <c r="C142" s="17" t="s">
        <v>1011</v>
      </c>
      <c r="F142" s="4">
        <v>180890.0</v>
      </c>
      <c r="L142" s="2">
        <v>50000.0</v>
      </c>
    </row>
    <row r="143">
      <c r="A143" s="5" t="s">
        <v>1003</v>
      </c>
      <c r="C143" s="17" t="s">
        <v>1002</v>
      </c>
      <c r="F143" s="4">
        <v>180890.0</v>
      </c>
      <c r="L143" s="2">
        <v>50000.0</v>
      </c>
    </row>
    <row r="144">
      <c r="A144" s="5" t="s">
        <v>1005</v>
      </c>
      <c r="C144" s="17" t="s">
        <v>1023</v>
      </c>
      <c r="F144" s="4">
        <v>180890.0</v>
      </c>
      <c r="L144" s="2">
        <v>50000.0</v>
      </c>
    </row>
    <row r="145">
      <c r="A145" s="5" t="s">
        <v>1006</v>
      </c>
      <c r="C145" s="17" t="s">
        <v>1062</v>
      </c>
      <c r="F145" s="4">
        <v>190890.0</v>
      </c>
      <c r="L145" s="2">
        <v>50000.0</v>
      </c>
    </row>
    <row r="146">
      <c r="A146" s="5" t="s">
        <v>1008</v>
      </c>
      <c r="C146" s="17" t="s">
        <v>1068</v>
      </c>
      <c r="F146" s="4">
        <v>190890.0</v>
      </c>
      <c r="L146" s="2">
        <v>50000.0</v>
      </c>
    </row>
    <row r="147">
      <c r="A147" s="5" t="s">
        <v>1013</v>
      </c>
      <c r="C147" s="17" t="s">
        <v>1048</v>
      </c>
      <c r="F147" s="4">
        <v>190890.0</v>
      </c>
      <c r="L147" s="2">
        <v>50000.0</v>
      </c>
    </row>
    <row r="148">
      <c r="A148" s="5" t="s">
        <v>1015</v>
      </c>
      <c r="C148" s="14" t="s">
        <v>1037</v>
      </c>
      <c r="F148" s="4">
        <v>190890.0</v>
      </c>
      <c r="L148" s="2">
        <v>50000.0</v>
      </c>
    </row>
    <row r="149">
      <c r="A149" s="5" t="s">
        <v>1020</v>
      </c>
      <c r="C149" s="17" t="s">
        <v>1115</v>
      </c>
      <c r="F149" s="4">
        <v>245890.0</v>
      </c>
      <c r="L149" s="2">
        <v>50000.0</v>
      </c>
    </row>
    <row r="150">
      <c r="A150" s="5" t="s">
        <v>1026</v>
      </c>
      <c r="C150" s="17" t="s">
        <v>1128</v>
      </c>
      <c r="F150" s="4">
        <v>245890.0</v>
      </c>
      <c r="L150" s="2">
        <v>50000.0</v>
      </c>
    </row>
    <row r="151">
      <c r="A151" s="5" t="s">
        <v>1029</v>
      </c>
      <c r="C151" s="17" t="s">
        <v>1082</v>
      </c>
      <c r="F151" s="4">
        <v>245890.0</v>
      </c>
      <c r="L151" s="2">
        <v>50000.0</v>
      </c>
    </row>
    <row r="152">
      <c r="A152" s="5" t="s">
        <v>1033</v>
      </c>
      <c r="C152" s="17" t="s">
        <v>1101</v>
      </c>
      <c r="F152" s="4">
        <v>245890.0</v>
      </c>
      <c r="L152" s="2">
        <v>50000.0</v>
      </c>
    </row>
    <row r="153">
      <c r="A153" s="5" t="s">
        <v>1039</v>
      </c>
      <c r="C153" s="17" t="s">
        <v>1167</v>
      </c>
      <c r="F153" s="4">
        <v>300890.0</v>
      </c>
      <c r="L153" s="2">
        <v>50000.0</v>
      </c>
    </row>
    <row r="154">
      <c r="A154" s="5" t="s">
        <v>1043</v>
      </c>
      <c r="C154" s="14" t="s">
        <v>1172</v>
      </c>
      <c r="F154" s="4">
        <v>300890.0</v>
      </c>
      <c r="L154" s="2">
        <v>50000.0</v>
      </c>
    </row>
    <row r="155">
      <c r="A155" s="5" t="s">
        <v>1049</v>
      </c>
      <c r="C155" s="17" t="s">
        <v>1156</v>
      </c>
      <c r="F155" s="4">
        <v>300890.0</v>
      </c>
      <c r="L155" s="2">
        <v>50000.0</v>
      </c>
    </row>
    <row r="156">
      <c r="A156" s="5" t="s">
        <v>1054</v>
      </c>
      <c r="C156" s="17" t="s">
        <v>1142</v>
      </c>
      <c r="F156" s="4">
        <v>300890.0</v>
      </c>
      <c r="L156" s="2">
        <v>50000.0</v>
      </c>
    </row>
    <row r="157">
      <c r="A157" s="5" t="s">
        <v>74</v>
      </c>
      <c r="C157" s="17" t="s">
        <v>743</v>
      </c>
      <c r="F157" s="4">
        <v>168890.0</v>
      </c>
      <c r="L157" s="2">
        <v>50000.0</v>
      </c>
    </row>
    <row r="158">
      <c r="A158" s="5" t="s">
        <v>66</v>
      </c>
      <c r="C158" s="17" t="s">
        <v>1659</v>
      </c>
      <c r="F158" s="4">
        <v>1.0</v>
      </c>
      <c r="L158" s="2">
        <v>50000.0</v>
      </c>
    </row>
    <row r="159">
      <c r="A159" s="5" t="s">
        <v>1063</v>
      </c>
      <c r="C159" s="17" t="s">
        <v>735</v>
      </c>
      <c r="F159" s="4">
        <v>180890.0</v>
      </c>
      <c r="L159" s="2">
        <v>50000.0</v>
      </c>
    </row>
    <row r="160">
      <c r="A160" s="5" t="s">
        <v>1064</v>
      </c>
      <c r="C160" s="17" t="s">
        <v>722</v>
      </c>
      <c r="F160" s="4">
        <v>180890.0</v>
      </c>
      <c r="L160" s="2">
        <v>50000.0</v>
      </c>
    </row>
    <row r="161">
      <c r="A161" s="5" t="s">
        <v>69</v>
      </c>
      <c r="C161" s="17" t="s">
        <v>1673</v>
      </c>
      <c r="F161" s="4">
        <v>192000.0</v>
      </c>
      <c r="L161" s="2">
        <v>50000.0</v>
      </c>
    </row>
    <row r="162">
      <c r="A162" s="5" t="s">
        <v>64</v>
      </c>
      <c r="C162" s="17" t="s">
        <v>1678</v>
      </c>
      <c r="F162" s="4">
        <v>177000.0</v>
      </c>
      <c r="L162" s="2">
        <v>50000.0</v>
      </c>
    </row>
    <row r="163">
      <c r="A163" s="5" t="s">
        <v>1070</v>
      </c>
      <c r="C163" s="17" t="s">
        <v>1682</v>
      </c>
      <c r="F163" s="4">
        <v>177000.0</v>
      </c>
      <c r="L163" s="2">
        <v>50000.0</v>
      </c>
    </row>
    <row r="164">
      <c r="A164" s="5" t="s">
        <v>1074</v>
      </c>
      <c r="C164" s="17" t="s">
        <v>1686</v>
      </c>
      <c r="F164" s="4">
        <v>1.0</v>
      </c>
      <c r="L164" s="2">
        <v>50000.0</v>
      </c>
    </row>
    <row r="165">
      <c r="A165" s="5" t="s">
        <v>1078</v>
      </c>
      <c r="C165" s="17" t="s">
        <v>1692</v>
      </c>
      <c r="F165" s="4">
        <v>222000.0</v>
      </c>
      <c r="L165" s="2">
        <v>50000.0</v>
      </c>
    </row>
    <row r="166">
      <c r="A166" s="5" t="s">
        <v>1084</v>
      </c>
      <c r="C166" s="17" t="s">
        <v>1704</v>
      </c>
      <c r="F166" s="4">
        <v>222000.0</v>
      </c>
      <c r="L166" s="2">
        <v>50000.0</v>
      </c>
    </row>
    <row r="167">
      <c r="A167" s="5" t="s">
        <v>1088</v>
      </c>
      <c r="C167" s="17" t="s">
        <v>1715</v>
      </c>
      <c r="F167" s="4">
        <v>1.0</v>
      </c>
      <c r="L167" s="2">
        <v>50000.0</v>
      </c>
    </row>
    <row r="168">
      <c r="A168" s="5" t="s">
        <v>1092</v>
      </c>
      <c r="C168" s="17" t="s">
        <v>1692</v>
      </c>
      <c r="F168" s="4">
        <v>222000.0</v>
      </c>
      <c r="L168" s="2">
        <v>50000.0</v>
      </c>
    </row>
    <row r="169">
      <c r="A169" s="5" t="s">
        <v>1096</v>
      </c>
      <c r="C169" s="17" t="s">
        <v>1722</v>
      </c>
      <c r="F169" s="4">
        <v>292000.0</v>
      </c>
      <c r="L169" s="2">
        <v>1.0</v>
      </c>
    </row>
    <row r="170">
      <c r="A170" s="5" t="s">
        <v>1102</v>
      </c>
      <c r="C170" s="17" t="s">
        <v>1723</v>
      </c>
      <c r="F170" s="4">
        <v>290000.0</v>
      </c>
      <c r="L170" s="2">
        <v>50000.0</v>
      </c>
    </row>
    <row r="171">
      <c r="A171" s="5" t="s">
        <v>1106</v>
      </c>
      <c r="C171" s="17" t="s">
        <v>1724</v>
      </c>
      <c r="F171" s="4">
        <v>292000.0</v>
      </c>
      <c r="L171" s="2">
        <v>50000.0</v>
      </c>
    </row>
    <row r="172">
      <c r="A172" s="5" t="s">
        <v>1110</v>
      </c>
      <c r="C172" s="17" t="s">
        <v>1727</v>
      </c>
      <c r="F172" s="4">
        <v>291000.0</v>
      </c>
      <c r="L172" s="2">
        <v>50000.0</v>
      </c>
    </row>
    <row r="173">
      <c r="A173" s="5" t="s">
        <v>1111</v>
      </c>
      <c r="C173" s="14" t="s">
        <v>753</v>
      </c>
      <c r="F173" s="4">
        <v>174890.0</v>
      </c>
      <c r="L173" s="2">
        <v>50000.0</v>
      </c>
    </row>
    <row r="174">
      <c r="A174" s="5" t="s">
        <v>1113</v>
      </c>
      <c r="C174" s="14" t="s">
        <v>768</v>
      </c>
      <c r="F174" s="4">
        <v>175890.0</v>
      </c>
      <c r="L174" s="2">
        <v>50000.0</v>
      </c>
    </row>
    <row r="175">
      <c r="A175" s="5" t="s">
        <v>1117</v>
      </c>
      <c r="C175" s="14" t="s">
        <v>762</v>
      </c>
      <c r="F175" s="4">
        <v>174890.0</v>
      </c>
      <c r="L175" s="2">
        <v>50000.0</v>
      </c>
    </row>
    <row r="176">
      <c r="A176" s="5" t="s">
        <v>1121</v>
      </c>
      <c r="C176" s="14" t="s">
        <v>772</v>
      </c>
      <c r="F176" s="4">
        <v>175890.0</v>
      </c>
      <c r="L176" s="2">
        <v>50000.0</v>
      </c>
    </row>
    <row r="177">
      <c r="A177" s="5" t="s">
        <v>1123</v>
      </c>
      <c r="C177" s="14" t="s">
        <v>808</v>
      </c>
      <c r="F177" s="4">
        <v>190890.0</v>
      </c>
      <c r="L177" s="2">
        <v>50000.0</v>
      </c>
    </row>
    <row r="178">
      <c r="A178" s="5" t="s">
        <v>1125</v>
      </c>
      <c r="C178" s="14" t="s">
        <v>794</v>
      </c>
      <c r="F178" s="4">
        <v>190890.0</v>
      </c>
      <c r="L178" s="2">
        <v>50000.0</v>
      </c>
    </row>
    <row r="179">
      <c r="A179" s="5" t="s">
        <v>1129</v>
      </c>
      <c r="C179" s="14" t="s">
        <v>785</v>
      </c>
      <c r="F179" s="4">
        <v>190890.0</v>
      </c>
      <c r="L179" s="2">
        <v>50000.0</v>
      </c>
    </row>
    <row r="180">
      <c r="A180" s="5" t="s">
        <v>1132</v>
      </c>
      <c r="C180" s="17" t="s">
        <v>834</v>
      </c>
      <c r="F180" s="4">
        <v>190890.0</v>
      </c>
      <c r="L180" s="2">
        <v>50000.0</v>
      </c>
    </row>
    <row r="181">
      <c r="A181" s="5" t="s">
        <v>1138</v>
      </c>
      <c r="C181" s="17" t="s">
        <v>932</v>
      </c>
      <c r="F181" s="4">
        <v>245890.0</v>
      </c>
      <c r="L181" s="2">
        <v>50000.0</v>
      </c>
    </row>
    <row r="182">
      <c r="A182" s="5" t="s">
        <v>1145</v>
      </c>
      <c r="C182" s="17" t="s">
        <v>851</v>
      </c>
      <c r="F182" s="4">
        <v>245890.0</v>
      </c>
      <c r="L182" s="2">
        <v>50000.0</v>
      </c>
    </row>
    <row r="183">
      <c r="A183" s="5" t="s">
        <v>1149</v>
      </c>
      <c r="C183" s="17" t="s">
        <v>903</v>
      </c>
      <c r="F183" s="4">
        <v>245890.0</v>
      </c>
      <c r="L183" s="2">
        <v>50000.0</v>
      </c>
    </row>
    <row r="184">
      <c r="A184" s="5" t="s">
        <v>1152</v>
      </c>
      <c r="C184" s="17" t="s">
        <v>871</v>
      </c>
      <c r="F184" s="4">
        <v>245890.0</v>
      </c>
      <c r="L184" s="2">
        <v>50000.0</v>
      </c>
    </row>
    <row r="185">
      <c r="A185" s="5" t="s">
        <v>1157</v>
      </c>
      <c r="C185" s="17" t="s">
        <v>972</v>
      </c>
      <c r="F185" s="4">
        <v>310890.0</v>
      </c>
      <c r="L185" s="2">
        <v>50000.0</v>
      </c>
    </row>
    <row r="186">
      <c r="A186" s="5" t="s">
        <v>1159</v>
      </c>
      <c r="C186" s="17" t="s">
        <v>952</v>
      </c>
      <c r="F186" s="4">
        <v>310890.0</v>
      </c>
      <c r="L186" s="2">
        <v>50000.0</v>
      </c>
    </row>
    <row r="187">
      <c r="A187" s="5" t="s">
        <v>1163</v>
      </c>
      <c r="C187" s="17" t="s">
        <v>964</v>
      </c>
      <c r="F187" s="4">
        <v>310890.0</v>
      </c>
      <c r="L187" s="2">
        <v>50000.0</v>
      </c>
    </row>
    <row r="188">
      <c r="A188" s="5" t="s">
        <v>1165</v>
      </c>
      <c r="C188" s="17" t="s">
        <v>956</v>
      </c>
      <c r="F188" s="4">
        <v>310890.0</v>
      </c>
      <c r="L188" s="2">
        <v>50000.0</v>
      </c>
    </row>
    <row r="189">
      <c r="A189" s="5" t="s">
        <v>1749</v>
      </c>
      <c r="C189" s="14" t="s">
        <v>1177</v>
      </c>
      <c r="F189" s="4">
        <v>265890.0</v>
      </c>
      <c r="L189" s="2">
        <v>50000.0</v>
      </c>
    </row>
    <row r="190">
      <c r="A190" s="5" t="s">
        <v>1752</v>
      </c>
      <c r="C190" s="14" t="s">
        <v>1181</v>
      </c>
      <c r="F190" s="4">
        <v>265890.0</v>
      </c>
      <c r="L190" s="2">
        <v>50000.0</v>
      </c>
    </row>
    <row r="191">
      <c r="A191" s="5" t="s">
        <v>1755</v>
      </c>
      <c r="C191" s="14" t="s">
        <v>1185</v>
      </c>
      <c r="F191" s="4">
        <v>285890.0</v>
      </c>
      <c r="L191" s="2">
        <v>50000.0</v>
      </c>
    </row>
    <row r="192">
      <c r="A192" s="5" t="s">
        <v>1758</v>
      </c>
      <c r="C192" s="14" t="s">
        <v>1190</v>
      </c>
      <c r="F192" s="4">
        <v>285890.0</v>
      </c>
      <c r="L192" s="2">
        <v>50000.0</v>
      </c>
    </row>
    <row r="193">
      <c r="A193" s="5" t="s">
        <v>1760</v>
      </c>
      <c r="C193" s="14" t="s">
        <v>1197</v>
      </c>
      <c r="F193" s="4">
        <v>345890.0</v>
      </c>
      <c r="L193" s="2">
        <v>50000.0</v>
      </c>
    </row>
    <row r="194">
      <c r="A194" s="5" t="s">
        <v>1762</v>
      </c>
      <c r="C194" s="14" t="s">
        <v>1193</v>
      </c>
      <c r="F194" s="4">
        <v>345890.0</v>
      </c>
      <c r="L194" s="2">
        <v>50000.0</v>
      </c>
    </row>
    <row r="195">
      <c r="A195" s="5" t="s">
        <v>1764</v>
      </c>
      <c r="C195" s="14" t="s">
        <v>1202</v>
      </c>
      <c r="F195" s="4">
        <v>485890.0</v>
      </c>
      <c r="L195" s="2">
        <v>50000.0</v>
      </c>
    </row>
    <row r="196">
      <c r="A196" s="5" t="s">
        <v>1766</v>
      </c>
      <c r="C196" s="14" t="s">
        <v>1207</v>
      </c>
      <c r="F196" s="4">
        <v>485890.0</v>
      </c>
      <c r="L196" s="2">
        <v>50000.0</v>
      </c>
    </row>
    <row r="197">
      <c r="A197" s="2" t="s">
        <v>1769</v>
      </c>
    </row>
    <row r="198">
      <c r="A198" s="2" t="s">
        <v>1770</v>
      </c>
      <c r="C198" s="17" t="s">
        <v>1771</v>
      </c>
      <c r="F198" s="4">
        <v>31390.0</v>
      </c>
      <c r="L198" s="8">
        <f t="shared" ref="L198:L1102" si="3">F198</f>
        <v>31390</v>
      </c>
    </row>
    <row r="199">
      <c r="A199" s="2" t="s">
        <v>1776</v>
      </c>
      <c r="C199" s="14" t="s">
        <v>1777</v>
      </c>
      <c r="F199" s="4">
        <v>29390.0</v>
      </c>
      <c r="L199" s="8">
        <f t="shared" si="3"/>
        <v>29390</v>
      </c>
    </row>
    <row r="200">
      <c r="A200" s="2" t="s">
        <v>1780</v>
      </c>
      <c r="C200" s="14" t="s">
        <v>1781</v>
      </c>
      <c r="F200" s="4">
        <v>32390.0</v>
      </c>
      <c r="L200" s="8">
        <f t="shared" si="3"/>
        <v>32390</v>
      </c>
    </row>
    <row r="201">
      <c r="A201" s="2" t="s">
        <v>1782</v>
      </c>
      <c r="C201" s="14" t="s">
        <v>1783</v>
      </c>
      <c r="F201" s="4">
        <v>34390.0</v>
      </c>
      <c r="L201" s="8">
        <f t="shared" si="3"/>
        <v>34390</v>
      </c>
    </row>
    <row r="202">
      <c r="A202" s="2" t="s">
        <v>1784</v>
      </c>
      <c r="C202" s="14" t="s">
        <v>1785</v>
      </c>
      <c r="F202" s="4">
        <v>33890.0</v>
      </c>
      <c r="L202" s="8">
        <f t="shared" si="3"/>
        <v>33890</v>
      </c>
    </row>
    <row r="203">
      <c r="A203" s="2" t="s">
        <v>1788</v>
      </c>
      <c r="C203" s="14" t="s">
        <v>1789</v>
      </c>
      <c r="F203" s="4">
        <v>33890.0</v>
      </c>
      <c r="L203" s="8">
        <f t="shared" si="3"/>
        <v>33890</v>
      </c>
    </row>
    <row r="204">
      <c r="A204" s="2" t="s">
        <v>1790</v>
      </c>
      <c r="C204" s="14" t="s">
        <v>1791</v>
      </c>
      <c r="F204" s="4">
        <v>34390.0</v>
      </c>
      <c r="L204" s="8">
        <f t="shared" si="3"/>
        <v>34390</v>
      </c>
    </row>
    <row r="205">
      <c r="A205" s="2" t="s">
        <v>1794</v>
      </c>
      <c r="C205" s="14" t="s">
        <v>1795</v>
      </c>
      <c r="F205" s="4">
        <v>38390.0</v>
      </c>
      <c r="L205" s="8">
        <f t="shared" si="3"/>
        <v>38390</v>
      </c>
    </row>
    <row r="206">
      <c r="A206" s="2" t="s">
        <v>1798</v>
      </c>
      <c r="C206" s="14" t="s">
        <v>1799</v>
      </c>
      <c r="F206" s="4">
        <v>1.0</v>
      </c>
      <c r="L206" s="8">
        <f t="shared" si="3"/>
        <v>1</v>
      </c>
    </row>
    <row r="207">
      <c r="A207" s="2" t="s">
        <v>1800</v>
      </c>
      <c r="C207" s="14" t="s">
        <v>1801</v>
      </c>
      <c r="F207" s="4">
        <v>38890.0</v>
      </c>
      <c r="L207" s="8">
        <f t="shared" si="3"/>
        <v>38890</v>
      </c>
    </row>
    <row r="208">
      <c r="A208" s="2" t="s">
        <v>1804</v>
      </c>
      <c r="C208" s="14" t="s">
        <v>1805</v>
      </c>
      <c r="F208" s="4">
        <v>15390.0</v>
      </c>
      <c r="L208" s="8">
        <f t="shared" si="3"/>
        <v>15390</v>
      </c>
    </row>
    <row r="209">
      <c r="A209" s="2" t="s">
        <v>1806</v>
      </c>
      <c r="C209" s="14" t="s">
        <v>1807</v>
      </c>
      <c r="F209" s="4">
        <v>16390.0</v>
      </c>
      <c r="L209" s="8">
        <f t="shared" si="3"/>
        <v>16390</v>
      </c>
    </row>
    <row r="210">
      <c r="A210" s="2" t="s">
        <v>1810</v>
      </c>
      <c r="C210" s="14" t="s">
        <v>1811</v>
      </c>
      <c r="F210" s="4">
        <v>16390.0</v>
      </c>
      <c r="L210" s="8">
        <f t="shared" si="3"/>
        <v>16390</v>
      </c>
    </row>
    <row r="211">
      <c r="A211" s="2" t="s">
        <v>1813</v>
      </c>
      <c r="C211" s="14" t="s">
        <v>1814</v>
      </c>
      <c r="F211" s="4">
        <v>16390.0</v>
      </c>
      <c r="L211" s="8">
        <f t="shared" si="3"/>
        <v>16390</v>
      </c>
    </row>
    <row r="212">
      <c r="A212" s="2" t="s">
        <v>1816</v>
      </c>
      <c r="C212" s="14" t="s">
        <v>1817</v>
      </c>
      <c r="F212" s="4">
        <v>16390.0</v>
      </c>
      <c r="L212" s="8">
        <f t="shared" si="3"/>
        <v>16390</v>
      </c>
    </row>
    <row r="213">
      <c r="A213" s="2" t="s">
        <v>1818</v>
      </c>
      <c r="C213" s="14" t="s">
        <v>1819</v>
      </c>
      <c r="F213" s="4">
        <v>16390.0</v>
      </c>
      <c r="L213" s="8">
        <f t="shared" si="3"/>
        <v>16390</v>
      </c>
    </row>
    <row r="214">
      <c r="A214" s="2" t="s">
        <v>1821</v>
      </c>
      <c r="C214" s="14" t="s">
        <v>1822</v>
      </c>
      <c r="F214" s="4">
        <v>19890.0</v>
      </c>
      <c r="L214" s="8">
        <f t="shared" si="3"/>
        <v>19890</v>
      </c>
    </row>
    <row r="215">
      <c r="A215" s="2" t="s">
        <v>1824</v>
      </c>
      <c r="C215" s="14" t="s">
        <v>1825</v>
      </c>
      <c r="F215" s="4">
        <v>19890.0</v>
      </c>
      <c r="L215" s="8">
        <f t="shared" si="3"/>
        <v>19890</v>
      </c>
    </row>
    <row r="216">
      <c r="A216" s="2" t="s">
        <v>1826</v>
      </c>
      <c r="C216" s="14" t="s">
        <v>1827</v>
      </c>
      <c r="F216" s="4">
        <v>19890.0</v>
      </c>
      <c r="L216" s="8">
        <f t="shared" si="3"/>
        <v>19890</v>
      </c>
    </row>
    <row r="217">
      <c r="A217" s="2" t="s">
        <v>1829</v>
      </c>
      <c r="C217" s="14" t="s">
        <v>1830</v>
      </c>
      <c r="F217" s="4">
        <v>19890.0</v>
      </c>
      <c r="L217" s="8">
        <f t="shared" si="3"/>
        <v>19890</v>
      </c>
    </row>
    <row r="218">
      <c r="A218" s="2" t="s">
        <v>1832</v>
      </c>
      <c r="C218" s="14" t="s">
        <v>1833</v>
      </c>
      <c r="F218" s="4">
        <v>19890.0</v>
      </c>
      <c r="L218" s="8">
        <f t="shared" si="3"/>
        <v>19890</v>
      </c>
    </row>
    <row r="219">
      <c r="A219" s="2" t="s">
        <v>1835</v>
      </c>
      <c r="C219" s="14" t="s">
        <v>1836</v>
      </c>
      <c r="F219" s="4">
        <v>19890.0</v>
      </c>
      <c r="L219" s="8">
        <f t="shared" si="3"/>
        <v>19890</v>
      </c>
    </row>
    <row r="220">
      <c r="A220" s="2" t="s">
        <v>1837</v>
      </c>
      <c r="C220" s="14" t="s">
        <v>1838</v>
      </c>
      <c r="F220" s="4">
        <v>19890.0</v>
      </c>
      <c r="L220" s="8">
        <f t="shared" si="3"/>
        <v>19890</v>
      </c>
    </row>
    <row r="221">
      <c r="A221" s="2" t="s">
        <v>1840</v>
      </c>
      <c r="C221" s="14" t="s">
        <v>1841</v>
      </c>
      <c r="F221" s="4">
        <v>19890.0</v>
      </c>
      <c r="L221" s="8">
        <f t="shared" si="3"/>
        <v>19890</v>
      </c>
    </row>
    <row r="222">
      <c r="A222" s="2" t="s">
        <v>1843</v>
      </c>
      <c r="C222" s="14" t="s">
        <v>1844</v>
      </c>
      <c r="F222" s="4">
        <v>20390.0</v>
      </c>
      <c r="L222" s="8">
        <f t="shared" si="3"/>
        <v>20390</v>
      </c>
    </row>
    <row r="223">
      <c r="A223" s="2" t="s">
        <v>1846</v>
      </c>
      <c r="C223" s="14" t="s">
        <v>1847</v>
      </c>
      <c r="F223" s="4">
        <v>21890.0</v>
      </c>
      <c r="L223" s="8">
        <f t="shared" si="3"/>
        <v>21890</v>
      </c>
    </row>
    <row r="224">
      <c r="A224" s="2" t="s">
        <v>1849</v>
      </c>
      <c r="C224" s="14" t="s">
        <v>1850</v>
      </c>
      <c r="F224" s="4">
        <v>21890.0</v>
      </c>
      <c r="L224" s="8">
        <f t="shared" si="3"/>
        <v>21890</v>
      </c>
    </row>
    <row r="225">
      <c r="A225" s="2" t="s">
        <v>1853</v>
      </c>
      <c r="C225" s="14" t="s">
        <v>1854</v>
      </c>
      <c r="F225" s="4">
        <v>22390.0</v>
      </c>
      <c r="L225" s="8">
        <f t="shared" si="3"/>
        <v>22390</v>
      </c>
    </row>
    <row r="226">
      <c r="A226" s="2" t="s">
        <v>1857</v>
      </c>
      <c r="C226" s="14" t="s">
        <v>1858</v>
      </c>
      <c r="F226" s="4">
        <v>22390.0</v>
      </c>
      <c r="L226" s="8">
        <f t="shared" si="3"/>
        <v>22390</v>
      </c>
    </row>
    <row r="227">
      <c r="A227" s="2" t="s">
        <v>1860</v>
      </c>
      <c r="C227" s="14" t="s">
        <v>1861</v>
      </c>
      <c r="F227" s="4">
        <v>22390.0</v>
      </c>
      <c r="L227" s="8">
        <f t="shared" si="3"/>
        <v>22390</v>
      </c>
    </row>
    <row r="228">
      <c r="A228" s="2" t="s">
        <v>1864</v>
      </c>
      <c r="C228" s="14" t="s">
        <v>1865</v>
      </c>
      <c r="F228" s="4">
        <v>22390.0</v>
      </c>
      <c r="L228" s="8">
        <f t="shared" si="3"/>
        <v>22390</v>
      </c>
    </row>
    <row r="229">
      <c r="A229" s="2" t="s">
        <v>1868</v>
      </c>
      <c r="C229" s="14" t="s">
        <v>1869</v>
      </c>
      <c r="F229" s="4">
        <v>22890.0</v>
      </c>
      <c r="L229" s="8">
        <f t="shared" si="3"/>
        <v>22890</v>
      </c>
    </row>
    <row r="230">
      <c r="A230" s="2" t="s">
        <v>1871</v>
      </c>
      <c r="C230" s="14" t="s">
        <v>1873</v>
      </c>
      <c r="F230" s="4">
        <v>22890.0</v>
      </c>
      <c r="L230" s="8">
        <f t="shared" si="3"/>
        <v>22890</v>
      </c>
    </row>
    <row r="231">
      <c r="A231" s="2" t="s">
        <v>1875</v>
      </c>
      <c r="C231" s="14" t="s">
        <v>1876</v>
      </c>
      <c r="F231" s="4">
        <v>22890.0</v>
      </c>
      <c r="L231" s="8">
        <f t="shared" si="3"/>
        <v>22890</v>
      </c>
    </row>
    <row r="232">
      <c r="A232" s="2" t="s">
        <v>1879</v>
      </c>
      <c r="C232" s="14" t="s">
        <v>1880</v>
      </c>
      <c r="F232" s="4">
        <v>21890.0</v>
      </c>
      <c r="L232" s="8">
        <f t="shared" si="3"/>
        <v>21890</v>
      </c>
    </row>
    <row r="233">
      <c r="A233" s="2" t="s">
        <v>1885</v>
      </c>
      <c r="C233" s="14" t="s">
        <v>1886</v>
      </c>
      <c r="F233" s="4">
        <v>24390.0</v>
      </c>
      <c r="L233" s="8">
        <f t="shared" si="3"/>
        <v>24390</v>
      </c>
    </row>
    <row r="234">
      <c r="A234" s="2" t="s">
        <v>1892</v>
      </c>
      <c r="C234" s="14" t="s">
        <v>1893</v>
      </c>
      <c r="F234" s="4">
        <v>24390.0</v>
      </c>
      <c r="L234" s="8">
        <f t="shared" si="3"/>
        <v>24390</v>
      </c>
    </row>
    <row r="235">
      <c r="A235" s="2" t="s">
        <v>1896</v>
      </c>
      <c r="C235" s="14" t="s">
        <v>1897</v>
      </c>
      <c r="F235" s="4">
        <v>24390.0</v>
      </c>
      <c r="L235" s="8">
        <f t="shared" si="3"/>
        <v>24390</v>
      </c>
    </row>
    <row r="236">
      <c r="A236" s="2" t="s">
        <v>1900</v>
      </c>
      <c r="C236" s="14" t="s">
        <v>1901</v>
      </c>
      <c r="F236" s="4">
        <v>24390.0</v>
      </c>
      <c r="L236" s="8">
        <f t="shared" si="3"/>
        <v>24390</v>
      </c>
    </row>
    <row r="237">
      <c r="A237" s="2" t="s">
        <v>1903</v>
      </c>
      <c r="C237" s="14" t="s">
        <v>1904</v>
      </c>
      <c r="F237" s="4">
        <v>25390.0</v>
      </c>
      <c r="L237" s="8">
        <f t="shared" si="3"/>
        <v>25390</v>
      </c>
    </row>
    <row r="238">
      <c r="A238" s="2" t="s">
        <v>1907</v>
      </c>
      <c r="C238" s="14" t="s">
        <v>1908</v>
      </c>
      <c r="F238" s="4">
        <v>26390.0</v>
      </c>
      <c r="L238" s="8">
        <f t="shared" si="3"/>
        <v>26390</v>
      </c>
    </row>
    <row r="239">
      <c r="A239" s="2" t="s">
        <v>1910</v>
      </c>
      <c r="C239" s="14" t="s">
        <v>1911</v>
      </c>
      <c r="F239" s="4">
        <v>24890.0</v>
      </c>
      <c r="L239" s="8">
        <f t="shared" si="3"/>
        <v>24890</v>
      </c>
    </row>
    <row r="240">
      <c r="A240" s="2" t="s">
        <v>1915</v>
      </c>
      <c r="C240" s="14" t="s">
        <v>1916</v>
      </c>
      <c r="F240" s="4">
        <v>25390.0</v>
      </c>
      <c r="L240" s="8">
        <f t="shared" si="3"/>
        <v>25390</v>
      </c>
    </row>
    <row r="241">
      <c r="A241" s="2" t="s">
        <v>1923</v>
      </c>
      <c r="C241" s="14" t="s">
        <v>1924</v>
      </c>
      <c r="F241" s="4">
        <v>26390.0</v>
      </c>
      <c r="L241" s="8">
        <f t="shared" si="3"/>
        <v>26390</v>
      </c>
    </row>
    <row r="242">
      <c r="A242" s="2" t="s">
        <v>1933</v>
      </c>
      <c r="C242" s="14" t="s">
        <v>1935</v>
      </c>
      <c r="F242" s="4">
        <v>24890.0</v>
      </c>
      <c r="L242" s="8">
        <f t="shared" si="3"/>
        <v>24890</v>
      </c>
    </row>
    <row r="243">
      <c r="A243" s="2" t="s">
        <v>1941</v>
      </c>
      <c r="C243" s="14" t="s">
        <v>1942</v>
      </c>
      <c r="F243" s="4">
        <v>26390.0</v>
      </c>
      <c r="L243" s="8">
        <f t="shared" si="3"/>
        <v>26390</v>
      </c>
    </row>
    <row r="244">
      <c r="A244" s="2" t="s">
        <v>1949</v>
      </c>
      <c r="C244" s="14" t="s">
        <v>1950</v>
      </c>
      <c r="F244" s="4">
        <v>26390.0</v>
      </c>
      <c r="L244" s="8">
        <f t="shared" si="3"/>
        <v>26390</v>
      </c>
    </row>
    <row r="245">
      <c r="A245" s="2" t="s">
        <v>1958</v>
      </c>
      <c r="C245" s="14" t="s">
        <v>1960</v>
      </c>
      <c r="F245" s="4">
        <v>27890.0</v>
      </c>
      <c r="L245" s="8">
        <f t="shared" si="3"/>
        <v>27890</v>
      </c>
    </row>
    <row r="246">
      <c r="A246" s="2" t="s">
        <v>1968</v>
      </c>
      <c r="C246" s="14" t="s">
        <v>1969</v>
      </c>
      <c r="F246" s="4">
        <v>29390.0</v>
      </c>
      <c r="L246" s="8">
        <f t="shared" si="3"/>
        <v>29390</v>
      </c>
    </row>
    <row r="247">
      <c r="A247" s="2" t="s">
        <v>1978</v>
      </c>
      <c r="C247" s="14" t="s">
        <v>1979</v>
      </c>
      <c r="F247" s="4">
        <v>28890.0</v>
      </c>
      <c r="L247" s="8">
        <f t="shared" si="3"/>
        <v>28890</v>
      </c>
    </row>
    <row r="248">
      <c r="A248" s="2" t="s">
        <v>1986</v>
      </c>
      <c r="C248" s="14" t="s">
        <v>1988</v>
      </c>
      <c r="F248" s="4">
        <v>27890.0</v>
      </c>
      <c r="L248" s="8">
        <f t="shared" si="3"/>
        <v>27890</v>
      </c>
    </row>
    <row r="249">
      <c r="A249" s="2" t="s">
        <v>1997</v>
      </c>
      <c r="C249" s="14" t="s">
        <v>1998</v>
      </c>
      <c r="F249" s="4">
        <v>28890.0</v>
      </c>
      <c r="L249" s="8">
        <f t="shared" si="3"/>
        <v>28890</v>
      </c>
    </row>
    <row r="250">
      <c r="A250" s="2" t="s">
        <v>2001</v>
      </c>
      <c r="C250" s="14" t="s">
        <v>2002</v>
      </c>
      <c r="F250" s="4">
        <v>29390.0</v>
      </c>
      <c r="L250" s="8">
        <f t="shared" si="3"/>
        <v>29390</v>
      </c>
    </row>
    <row r="251">
      <c r="A251" s="2" t="s">
        <v>2005</v>
      </c>
      <c r="C251" s="14" t="s">
        <v>2006</v>
      </c>
      <c r="F251" s="4">
        <v>28890.0</v>
      </c>
      <c r="L251" s="8">
        <f t="shared" si="3"/>
        <v>28890</v>
      </c>
    </row>
    <row r="252">
      <c r="A252" s="2" t="s">
        <v>2011</v>
      </c>
      <c r="C252" s="14" t="s">
        <v>2012</v>
      </c>
      <c r="F252" s="4">
        <v>29390.0</v>
      </c>
      <c r="L252" s="8">
        <f t="shared" si="3"/>
        <v>29390</v>
      </c>
    </row>
    <row r="253">
      <c r="A253" s="2" t="s">
        <v>2014</v>
      </c>
      <c r="C253" s="14" t="s">
        <v>2015</v>
      </c>
      <c r="F253" s="4">
        <v>30390.0</v>
      </c>
      <c r="L253" s="8">
        <f t="shared" si="3"/>
        <v>30390</v>
      </c>
    </row>
    <row r="254">
      <c r="A254" s="2" t="s">
        <v>2020</v>
      </c>
      <c r="C254" s="14" t="s">
        <v>2021</v>
      </c>
      <c r="F254" s="4">
        <v>31390.0</v>
      </c>
      <c r="L254" s="8">
        <f t="shared" si="3"/>
        <v>31390</v>
      </c>
    </row>
    <row r="255">
      <c r="A255" s="2" t="s">
        <v>2023</v>
      </c>
      <c r="C255" s="14" t="s">
        <v>2024</v>
      </c>
      <c r="F255" s="4">
        <v>31890.0</v>
      </c>
      <c r="L255" s="8">
        <f t="shared" si="3"/>
        <v>31890</v>
      </c>
    </row>
    <row r="256">
      <c r="A256" s="2" t="s">
        <v>2028</v>
      </c>
      <c r="C256" s="14" t="s">
        <v>2029</v>
      </c>
      <c r="F256" s="4">
        <v>32390.0</v>
      </c>
      <c r="L256" s="8">
        <f t="shared" si="3"/>
        <v>32390</v>
      </c>
    </row>
    <row r="257">
      <c r="A257" s="2" t="s">
        <v>2033</v>
      </c>
      <c r="C257" s="14" t="s">
        <v>2034</v>
      </c>
      <c r="F257" s="4">
        <v>33890.0</v>
      </c>
      <c r="L257" s="8">
        <f t="shared" si="3"/>
        <v>33890</v>
      </c>
    </row>
    <row r="258">
      <c r="A258" s="2" t="s">
        <v>2038</v>
      </c>
      <c r="C258" s="14" t="s">
        <v>2039</v>
      </c>
      <c r="F258" s="4">
        <v>31890.0</v>
      </c>
      <c r="L258" s="8">
        <f t="shared" si="3"/>
        <v>31890</v>
      </c>
    </row>
    <row r="259">
      <c r="A259" s="2" t="s">
        <v>2041</v>
      </c>
      <c r="C259" s="14" t="s">
        <v>2042</v>
      </c>
      <c r="F259" s="4">
        <v>33890.0</v>
      </c>
      <c r="L259" s="8">
        <f t="shared" si="3"/>
        <v>33890</v>
      </c>
    </row>
    <row r="260">
      <c r="A260" s="2" t="s">
        <v>2045</v>
      </c>
      <c r="C260" s="14" t="s">
        <v>2046</v>
      </c>
      <c r="F260" s="4">
        <v>33890.0</v>
      </c>
      <c r="L260" s="8">
        <f t="shared" si="3"/>
        <v>33890</v>
      </c>
    </row>
    <row r="261">
      <c r="A261" s="2" t="s">
        <v>2048</v>
      </c>
      <c r="C261" s="14" t="s">
        <v>2049</v>
      </c>
      <c r="F261" s="4">
        <v>33890.0</v>
      </c>
      <c r="L261" s="8">
        <f t="shared" si="3"/>
        <v>33890</v>
      </c>
    </row>
    <row r="262">
      <c r="A262" s="2" t="s">
        <v>2052</v>
      </c>
      <c r="C262" s="14" t="s">
        <v>2053</v>
      </c>
      <c r="F262" s="4">
        <v>36390.0</v>
      </c>
      <c r="L262" s="8">
        <f t="shared" si="3"/>
        <v>36390</v>
      </c>
    </row>
    <row r="263">
      <c r="A263" s="2" t="s">
        <v>2056</v>
      </c>
      <c r="C263" s="14" t="s">
        <v>2057</v>
      </c>
      <c r="F263" s="4">
        <v>38890.0</v>
      </c>
      <c r="L263" s="8">
        <f t="shared" si="3"/>
        <v>38890</v>
      </c>
    </row>
    <row r="264">
      <c r="A264" s="2" t="s">
        <v>2061</v>
      </c>
      <c r="C264" s="14" t="s">
        <v>2063</v>
      </c>
      <c r="F264" s="4">
        <v>40890.0</v>
      </c>
      <c r="L264" s="8">
        <f t="shared" si="3"/>
        <v>40890</v>
      </c>
    </row>
    <row r="265">
      <c r="A265" s="2" t="s">
        <v>2067</v>
      </c>
      <c r="C265" s="14" t="s">
        <v>2069</v>
      </c>
      <c r="F265" s="4">
        <v>42390.0</v>
      </c>
      <c r="L265" s="8">
        <f t="shared" si="3"/>
        <v>42390</v>
      </c>
    </row>
    <row r="266">
      <c r="A266" s="2" t="s">
        <v>2073</v>
      </c>
      <c r="C266" s="14" t="s">
        <v>2074</v>
      </c>
      <c r="F266" s="2">
        <v>1.0</v>
      </c>
      <c r="L266" s="8">
        <f t="shared" si="3"/>
        <v>1</v>
      </c>
    </row>
    <row r="267">
      <c r="A267" s="2" t="s">
        <v>2078</v>
      </c>
      <c r="C267" s="14" t="s">
        <v>2079</v>
      </c>
      <c r="F267" s="2">
        <v>1.0</v>
      </c>
      <c r="L267" s="8">
        <f t="shared" si="3"/>
        <v>1</v>
      </c>
    </row>
    <row r="268">
      <c r="A268" s="2" t="s">
        <v>2083</v>
      </c>
      <c r="C268" s="14" t="s">
        <v>2084</v>
      </c>
      <c r="F268" s="2">
        <v>1.0</v>
      </c>
      <c r="L268" s="8">
        <f t="shared" si="3"/>
        <v>1</v>
      </c>
    </row>
    <row r="269">
      <c r="A269" s="2" t="s">
        <v>2086</v>
      </c>
      <c r="C269" s="14" t="s">
        <v>2087</v>
      </c>
      <c r="F269" s="4">
        <v>39390.0</v>
      </c>
      <c r="L269" s="8">
        <f t="shared" si="3"/>
        <v>39390</v>
      </c>
    </row>
    <row r="270">
      <c r="A270" s="2" t="s">
        <v>2089</v>
      </c>
      <c r="C270" s="14" t="s">
        <v>2090</v>
      </c>
      <c r="F270" s="4">
        <v>46890.0</v>
      </c>
      <c r="L270" s="8">
        <f t="shared" si="3"/>
        <v>46890</v>
      </c>
    </row>
    <row r="271">
      <c r="A271" s="2" t="s">
        <v>176</v>
      </c>
      <c r="C271" s="14" t="s">
        <v>2092</v>
      </c>
      <c r="F271" s="4">
        <v>46890.0</v>
      </c>
      <c r="L271" s="8">
        <f t="shared" si="3"/>
        <v>46890</v>
      </c>
    </row>
    <row r="272">
      <c r="A272" s="2" t="s">
        <v>2094</v>
      </c>
      <c r="C272" s="14" t="s">
        <v>2096</v>
      </c>
      <c r="F272" s="4">
        <v>46890.0</v>
      </c>
      <c r="L272" s="8">
        <f t="shared" si="3"/>
        <v>46890</v>
      </c>
    </row>
    <row r="273">
      <c r="A273" s="5" t="s">
        <v>1528</v>
      </c>
      <c r="C273" s="14" t="s">
        <v>2100</v>
      </c>
      <c r="F273" s="4">
        <v>51390.0</v>
      </c>
      <c r="L273" s="8">
        <f t="shared" si="3"/>
        <v>51390</v>
      </c>
    </row>
    <row r="274">
      <c r="A274" s="5" t="s">
        <v>1536</v>
      </c>
      <c r="C274" s="14" t="s">
        <v>2105</v>
      </c>
      <c r="F274" s="4">
        <v>51890.0</v>
      </c>
      <c r="L274" s="8">
        <f t="shared" si="3"/>
        <v>51890</v>
      </c>
    </row>
    <row r="275">
      <c r="A275" s="5" t="s">
        <v>1534</v>
      </c>
      <c r="C275" s="14" t="s">
        <v>2111</v>
      </c>
      <c r="F275" s="4">
        <v>54890.0</v>
      </c>
      <c r="L275" s="8">
        <f t="shared" si="3"/>
        <v>54890</v>
      </c>
    </row>
    <row r="276">
      <c r="A276" s="5" t="s">
        <v>2113</v>
      </c>
      <c r="C276" s="14" t="s">
        <v>2114</v>
      </c>
      <c r="F276" s="4">
        <v>62890.0</v>
      </c>
      <c r="L276" s="8">
        <f t="shared" si="3"/>
        <v>62890</v>
      </c>
    </row>
    <row r="277">
      <c r="A277" s="5" t="s">
        <v>2118</v>
      </c>
      <c r="C277" s="14" t="s">
        <v>2119</v>
      </c>
      <c r="F277" s="4">
        <v>63390.0</v>
      </c>
      <c r="L277" s="8">
        <f t="shared" si="3"/>
        <v>63390</v>
      </c>
    </row>
    <row r="278">
      <c r="A278" s="5" t="s">
        <v>2123</v>
      </c>
      <c r="C278" s="14" t="s">
        <v>2128</v>
      </c>
      <c r="F278" s="4">
        <v>66890.0</v>
      </c>
      <c r="L278" s="8">
        <f t="shared" si="3"/>
        <v>66890</v>
      </c>
    </row>
    <row r="279">
      <c r="A279" s="5" t="s">
        <v>2138</v>
      </c>
      <c r="C279" s="14" t="s">
        <v>2140</v>
      </c>
      <c r="F279" s="4">
        <v>74390.0</v>
      </c>
      <c r="L279" s="8">
        <f t="shared" si="3"/>
        <v>74390</v>
      </c>
    </row>
    <row r="280">
      <c r="A280" s="5" t="s">
        <v>2145</v>
      </c>
      <c r="C280" s="14" t="s">
        <v>2146</v>
      </c>
      <c r="F280" s="4">
        <v>75890.0</v>
      </c>
      <c r="L280" s="8">
        <f t="shared" si="3"/>
        <v>75890</v>
      </c>
    </row>
    <row r="281">
      <c r="A281" s="5" t="s">
        <v>2149</v>
      </c>
      <c r="C281" s="14" t="s">
        <v>2150</v>
      </c>
      <c r="F281" s="4">
        <v>78390.0</v>
      </c>
      <c r="L281" s="8">
        <f t="shared" si="3"/>
        <v>78390</v>
      </c>
    </row>
    <row r="282">
      <c r="A282" s="5" t="s">
        <v>2153</v>
      </c>
      <c r="C282" s="14" t="s">
        <v>2155</v>
      </c>
      <c r="F282" s="4">
        <v>92890.0</v>
      </c>
      <c r="L282" s="8">
        <f t="shared" si="3"/>
        <v>92890</v>
      </c>
    </row>
    <row r="283">
      <c r="A283" s="5" t="s">
        <v>2158</v>
      </c>
      <c r="C283" s="14" t="s">
        <v>2159</v>
      </c>
      <c r="F283" s="4">
        <v>93890.0</v>
      </c>
      <c r="L283" s="8">
        <f t="shared" si="3"/>
        <v>93890</v>
      </c>
    </row>
    <row r="284">
      <c r="A284" s="2" t="s">
        <v>2162</v>
      </c>
      <c r="C284" s="14" t="s">
        <v>2164</v>
      </c>
      <c r="F284" s="4">
        <v>40390.0</v>
      </c>
      <c r="L284" s="8">
        <f t="shared" si="3"/>
        <v>40390</v>
      </c>
    </row>
    <row r="285">
      <c r="A285" s="2" t="s">
        <v>2167</v>
      </c>
      <c r="C285" s="14" t="s">
        <v>2168</v>
      </c>
      <c r="F285" s="4">
        <v>41390.0</v>
      </c>
      <c r="L285" s="8">
        <f t="shared" si="3"/>
        <v>41390</v>
      </c>
    </row>
    <row r="286">
      <c r="A286" s="2" t="s">
        <v>2171</v>
      </c>
      <c r="C286" s="14" t="s">
        <v>2172</v>
      </c>
      <c r="F286" s="4">
        <v>39890.0</v>
      </c>
      <c r="L286" s="8">
        <f t="shared" si="3"/>
        <v>39890</v>
      </c>
    </row>
    <row r="287">
      <c r="A287" s="2" t="s">
        <v>2176</v>
      </c>
      <c r="C287" s="14" t="s">
        <v>2177</v>
      </c>
      <c r="F287" s="4">
        <v>49390.0</v>
      </c>
      <c r="L287" s="8">
        <f t="shared" si="3"/>
        <v>49390</v>
      </c>
    </row>
    <row r="288">
      <c r="A288" s="2" t="s">
        <v>2182</v>
      </c>
      <c r="C288" s="14" t="s">
        <v>2183</v>
      </c>
      <c r="F288" s="4">
        <v>47890.0</v>
      </c>
      <c r="L288" s="8">
        <f t="shared" si="3"/>
        <v>47890</v>
      </c>
    </row>
    <row r="289">
      <c r="A289" s="2" t="s">
        <v>2187</v>
      </c>
      <c r="C289" s="14" t="s">
        <v>2188</v>
      </c>
      <c r="F289" s="4">
        <v>48390.0</v>
      </c>
      <c r="L289" s="8">
        <f t="shared" si="3"/>
        <v>48390</v>
      </c>
    </row>
    <row r="290">
      <c r="A290" s="2" t="s">
        <v>2193</v>
      </c>
      <c r="C290" s="14" t="s">
        <v>2194</v>
      </c>
      <c r="F290" s="4">
        <v>48390.0</v>
      </c>
      <c r="L290" s="8">
        <f t="shared" si="3"/>
        <v>48390</v>
      </c>
    </row>
    <row r="291">
      <c r="A291" s="2" t="s">
        <v>2198</v>
      </c>
      <c r="C291" s="14" t="s">
        <v>2199</v>
      </c>
      <c r="F291" s="4">
        <v>48390.0</v>
      </c>
      <c r="L291" s="8">
        <f t="shared" si="3"/>
        <v>48390</v>
      </c>
    </row>
    <row r="292">
      <c r="A292" s="2" t="s">
        <v>2201</v>
      </c>
      <c r="C292" s="14" t="s">
        <v>2202</v>
      </c>
      <c r="F292" s="4">
        <v>48390.0</v>
      </c>
      <c r="L292" s="8">
        <f t="shared" si="3"/>
        <v>48390</v>
      </c>
    </row>
    <row r="293">
      <c r="A293" s="2" t="s">
        <v>2207</v>
      </c>
      <c r="C293" s="14" t="s">
        <v>2208</v>
      </c>
      <c r="F293" s="4">
        <v>48390.0</v>
      </c>
      <c r="L293" s="8">
        <f t="shared" si="3"/>
        <v>48390</v>
      </c>
    </row>
    <row r="294">
      <c r="A294" s="2" t="s">
        <v>2212</v>
      </c>
      <c r="C294" s="14" t="s">
        <v>2213</v>
      </c>
      <c r="F294" s="4">
        <v>48390.0</v>
      </c>
      <c r="L294" s="8">
        <f t="shared" si="3"/>
        <v>48390</v>
      </c>
    </row>
    <row r="295">
      <c r="A295" s="2" t="s">
        <v>2218</v>
      </c>
      <c r="C295" s="14" t="s">
        <v>2219</v>
      </c>
      <c r="F295" s="4">
        <v>48390.0</v>
      </c>
      <c r="L295" s="8">
        <f t="shared" si="3"/>
        <v>48390</v>
      </c>
    </row>
    <row r="296">
      <c r="A296" s="2" t="s">
        <v>2222</v>
      </c>
      <c r="C296" s="14" t="s">
        <v>2223</v>
      </c>
      <c r="F296" s="4">
        <v>47890.0</v>
      </c>
      <c r="L296" s="8">
        <f t="shared" si="3"/>
        <v>47890</v>
      </c>
    </row>
    <row r="297">
      <c r="A297" s="2" t="s">
        <v>2226</v>
      </c>
      <c r="C297" s="14" t="s">
        <v>2227</v>
      </c>
      <c r="F297" s="4">
        <v>48390.0</v>
      </c>
      <c r="L297" s="8">
        <f t="shared" si="3"/>
        <v>48390</v>
      </c>
    </row>
    <row r="298">
      <c r="A298" s="2" t="s">
        <v>2231</v>
      </c>
      <c r="C298" s="14" t="s">
        <v>2232</v>
      </c>
      <c r="F298" s="4">
        <v>48390.0</v>
      </c>
      <c r="L298" s="8">
        <f t="shared" si="3"/>
        <v>48390</v>
      </c>
    </row>
    <row r="299">
      <c r="A299" s="2" t="s">
        <v>2235</v>
      </c>
      <c r="C299" s="14" t="s">
        <v>2236</v>
      </c>
      <c r="F299" s="4">
        <v>49390.0</v>
      </c>
      <c r="L299" s="8">
        <f t="shared" si="3"/>
        <v>49390</v>
      </c>
    </row>
    <row r="300">
      <c r="A300" s="2" t="s">
        <v>2241</v>
      </c>
      <c r="C300" s="14" t="s">
        <v>2242</v>
      </c>
      <c r="F300" s="4">
        <v>49890.0</v>
      </c>
      <c r="L300" s="8">
        <f t="shared" si="3"/>
        <v>49890</v>
      </c>
    </row>
    <row r="301">
      <c r="A301" s="2" t="s">
        <v>2245</v>
      </c>
      <c r="C301" s="14" t="s">
        <v>2246</v>
      </c>
      <c r="F301" s="4">
        <v>50390.0</v>
      </c>
      <c r="L301" s="8">
        <f t="shared" si="3"/>
        <v>50390</v>
      </c>
    </row>
    <row r="302">
      <c r="A302" s="2" t="s">
        <v>135</v>
      </c>
      <c r="C302" s="14" t="s">
        <v>2251</v>
      </c>
      <c r="F302" s="4">
        <v>57890.0</v>
      </c>
      <c r="L302" s="8">
        <f t="shared" si="3"/>
        <v>57890</v>
      </c>
    </row>
    <row r="303">
      <c r="A303" s="2" t="s">
        <v>2257</v>
      </c>
      <c r="C303" s="14" t="s">
        <v>2258</v>
      </c>
      <c r="F303" s="4">
        <v>56390.0</v>
      </c>
      <c r="L303" s="8">
        <f t="shared" si="3"/>
        <v>56390</v>
      </c>
    </row>
    <row r="304">
      <c r="A304" s="2" t="s">
        <v>2263</v>
      </c>
      <c r="C304" s="14" t="s">
        <v>2264</v>
      </c>
      <c r="F304" s="4">
        <v>56890.0</v>
      </c>
      <c r="L304" s="8">
        <f t="shared" si="3"/>
        <v>56890</v>
      </c>
    </row>
    <row r="305">
      <c r="A305" s="2" t="s">
        <v>456</v>
      </c>
      <c r="C305" s="14" t="s">
        <v>2269</v>
      </c>
      <c r="F305" s="4">
        <v>56890.0</v>
      </c>
      <c r="L305" s="8">
        <f t="shared" si="3"/>
        <v>56890</v>
      </c>
    </row>
    <row r="306">
      <c r="A306" s="2" t="s">
        <v>2273</v>
      </c>
      <c r="C306" s="14" t="s">
        <v>2274</v>
      </c>
      <c r="F306" s="4">
        <v>54890.0</v>
      </c>
      <c r="L306" s="8">
        <f t="shared" si="3"/>
        <v>54890</v>
      </c>
    </row>
    <row r="307">
      <c r="A307" s="2" t="s">
        <v>2279</v>
      </c>
      <c r="C307" s="14" t="s">
        <v>2280</v>
      </c>
      <c r="F307" s="4">
        <v>54890.0</v>
      </c>
      <c r="L307" s="8">
        <f t="shared" si="3"/>
        <v>54890</v>
      </c>
    </row>
    <row r="308">
      <c r="A308" s="2" t="s">
        <v>2284</v>
      </c>
      <c r="C308" s="14" t="s">
        <v>2285</v>
      </c>
      <c r="F308" s="4">
        <v>54890.0</v>
      </c>
      <c r="L308" s="8">
        <f t="shared" si="3"/>
        <v>54890</v>
      </c>
    </row>
    <row r="309">
      <c r="A309" s="2" t="s">
        <v>2291</v>
      </c>
      <c r="C309" s="14" t="s">
        <v>2292</v>
      </c>
      <c r="F309" s="4">
        <v>61390.0</v>
      </c>
      <c r="L309" s="8">
        <f t="shared" si="3"/>
        <v>61390</v>
      </c>
    </row>
    <row r="310">
      <c r="A310" s="2" t="s">
        <v>172</v>
      </c>
      <c r="C310" s="14" t="s">
        <v>2303</v>
      </c>
      <c r="F310" s="4">
        <v>61390.0</v>
      </c>
      <c r="L310" s="8">
        <f t="shared" si="3"/>
        <v>61390</v>
      </c>
    </row>
    <row r="311">
      <c r="A311" s="2" t="s">
        <v>2314</v>
      </c>
      <c r="C311" s="14" t="s">
        <v>2316</v>
      </c>
      <c r="F311" s="4">
        <v>58890.0</v>
      </c>
      <c r="L311" s="8">
        <f t="shared" si="3"/>
        <v>58890</v>
      </c>
    </row>
    <row r="312">
      <c r="A312" s="2" t="s">
        <v>2319</v>
      </c>
      <c r="C312" s="14" t="s">
        <v>2320</v>
      </c>
      <c r="F312" s="4">
        <v>59390.0</v>
      </c>
      <c r="L312" s="8">
        <f t="shared" si="3"/>
        <v>59390</v>
      </c>
    </row>
    <row r="313">
      <c r="A313" s="2" t="s">
        <v>157</v>
      </c>
      <c r="C313" s="14" t="s">
        <v>2329</v>
      </c>
      <c r="F313" s="4">
        <v>59390.0</v>
      </c>
      <c r="L313" s="8">
        <f t="shared" si="3"/>
        <v>59390</v>
      </c>
    </row>
    <row r="314">
      <c r="A314" s="2" t="s">
        <v>2334</v>
      </c>
      <c r="C314" s="14" t="s">
        <v>2335</v>
      </c>
      <c r="F314" s="4">
        <v>60890.0</v>
      </c>
      <c r="L314" s="8">
        <f t="shared" si="3"/>
        <v>60890</v>
      </c>
    </row>
    <row r="315">
      <c r="A315" s="2" t="s">
        <v>2338</v>
      </c>
      <c r="C315" s="14" t="s">
        <v>2339</v>
      </c>
      <c r="F315" s="4">
        <v>60390.0</v>
      </c>
      <c r="L315" s="8">
        <f t="shared" si="3"/>
        <v>60390</v>
      </c>
    </row>
    <row r="316">
      <c r="A316" s="5" t="s">
        <v>428</v>
      </c>
      <c r="C316" s="14" t="s">
        <v>2343</v>
      </c>
      <c r="F316" s="4">
        <v>60390.0</v>
      </c>
      <c r="L316" s="8">
        <f t="shared" si="3"/>
        <v>60390</v>
      </c>
    </row>
    <row r="317">
      <c r="A317" s="5" t="s">
        <v>1539</v>
      </c>
      <c r="C317" s="14" t="s">
        <v>2347</v>
      </c>
      <c r="F317" s="4">
        <v>60390.0</v>
      </c>
      <c r="L317" s="8">
        <f t="shared" si="3"/>
        <v>60390</v>
      </c>
    </row>
    <row r="318">
      <c r="A318" s="2" t="s">
        <v>2351</v>
      </c>
      <c r="C318" s="14" t="s">
        <v>2353</v>
      </c>
      <c r="F318" s="4">
        <v>60390.0</v>
      </c>
      <c r="L318" s="8">
        <f t="shared" si="3"/>
        <v>60390</v>
      </c>
    </row>
    <row r="319">
      <c r="A319" s="5" t="s">
        <v>1542</v>
      </c>
      <c r="C319" s="14" t="s">
        <v>2357</v>
      </c>
      <c r="F319" s="4">
        <v>60890.0</v>
      </c>
      <c r="L319" s="8">
        <f t="shared" si="3"/>
        <v>60890</v>
      </c>
    </row>
    <row r="320">
      <c r="A320" s="5" t="s">
        <v>1538</v>
      </c>
      <c r="C320" s="14" t="s">
        <v>2359</v>
      </c>
      <c r="F320" s="4">
        <v>60390.0</v>
      </c>
      <c r="L320" s="8">
        <f t="shared" si="3"/>
        <v>60390</v>
      </c>
    </row>
    <row r="321">
      <c r="A321" s="2" t="s">
        <v>2363</v>
      </c>
      <c r="C321" s="14" t="s">
        <v>2364</v>
      </c>
      <c r="F321" s="4">
        <v>60890.0</v>
      </c>
      <c r="L321" s="8">
        <f t="shared" si="3"/>
        <v>60890</v>
      </c>
    </row>
    <row r="322">
      <c r="A322" s="2" t="s">
        <v>2367</v>
      </c>
      <c r="C322" s="14" t="s">
        <v>2368</v>
      </c>
      <c r="F322" s="4">
        <v>60890.0</v>
      </c>
      <c r="L322" s="8">
        <f t="shared" si="3"/>
        <v>60890</v>
      </c>
    </row>
    <row r="323">
      <c r="A323" s="2" t="s">
        <v>181</v>
      </c>
      <c r="C323" s="14" t="s">
        <v>2371</v>
      </c>
      <c r="F323" s="4">
        <v>60890.0</v>
      </c>
      <c r="L323" s="8">
        <f t="shared" si="3"/>
        <v>60890</v>
      </c>
    </row>
    <row r="324">
      <c r="A324" s="5" t="s">
        <v>2374</v>
      </c>
      <c r="C324" s="14" t="s">
        <v>2375</v>
      </c>
      <c r="F324" s="4">
        <v>1.0</v>
      </c>
      <c r="L324" s="8">
        <f t="shared" si="3"/>
        <v>1</v>
      </c>
    </row>
    <row r="325">
      <c r="A325" s="5" t="s">
        <v>109</v>
      </c>
      <c r="C325" s="14" t="s">
        <v>2379</v>
      </c>
      <c r="F325" s="4">
        <v>64890.0</v>
      </c>
      <c r="L325" s="8">
        <f t="shared" si="3"/>
        <v>64890</v>
      </c>
    </row>
    <row r="326">
      <c r="A326" s="2" t="s">
        <v>2382</v>
      </c>
      <c r="C326" s="14" t="s">
        <v>2383</v>
      </c>
      <c r="F326" s="4">
        <v>66890.0</v>
      </c>
      <c r="L326" s="8">
        <f t="shared" si="3"/>
        <v>66890</v>
      </c>
    </row>
    <row r="327">
      <c r="A327" s="2" t="s">
        <v>2387</v>
      </c>
      <c r="C327" s="14" t="s">
        <v>2388</v>
      </c>
      <c r="F327" s="4">
        <v>66890.0</v>
      </c>
      <c r="L327" s="8">
        <f t="shared" si="3"/>
        <v>66890</v>
      </c>
    </row>
    <row r="328">
      <c r="A328" s="2" t="s">
        <v>2392</v>
      </c>
      <c r="C328" s="14" t="s">
        <v>2393</v>
      </c>
      <c r="F328" s="4">
        <v>66890.0</v>
      </c>
      <c r="L328" s="8">
        <f t="shared" si="3"/>
        <v>66890</v>
      </c>
    </row>
    <row r="329">
      <c r="A329" s="2" t="s">
        <v>470</v>
      </c>
      <c r="C329" s="14" t="s">
        <v>2396</v>
      </c>
      <c r="F329" s="4">
        <v>71390.0</v>
      </c>
      <c r="L329" s="8">
        <f t="shared" si="3"/>
        <v>71390</v>
      </c>
    </row>
    <row r="330">
      <c r="A330" s="5" t="s">
        <v>2400</v>
      </c>
      <c r="C330" s="14" t="s">
        <v>2401</v>
      </c>
      <c r="F330" s="4">
        <v>68390.0</v>
      </c>
      <c r="L330" s="8">
        <f t="shared" si="3"/>
        <v>68390</v>
      </c>
    </row>
    <row r="331">
      <c r="A331" s="5" t="s">
        <v>2405</v>
      </c>
      <c r="C331" s="14" t="s">
        <v>2407</v>
      </c>
      <c r="F331" s="4">
        <v>71890.0</v>
      </c>
      <c r="L331" s="8">
        <f t="shared" si="3"/>
        <v>71890</v>
      </c>
    </row>
    <row r="332">
      <c r="A332" s="5" t="s">
        <v>2409</v>
      </c>
      <c r="C332" s="14" t="s">
        <v>2410</v>
      </c>
      <c r="F332" s="4">
        <v>70390.0</v>
      </c>
      <c r="L332" s="8">
        <f t="shared" si="3"/>
        <v>70390</v>
      </c>
    </row>
    <row r="333">
      <c r="A333" s="5" t="s">
        <v>2413</v>
      </c>
      <c r="C333" s="14" t="s">
        <v>2414</v>
      </c>
      <c r="F333" s="4">
        <v>73890.0</v>
      </c>
      <c r="L333" s="8">
        <f t="shared" si="3"/>
        <v>73890</v>
      </c>
    </row>
    <row r="334">
      <c r="A334" s="2" t="s">
        <v>2417</v>
      </c>
      <c r="C334" s="14" t="s">
        <v>2418</v>
      </c>
      <c r="F334" s="4">
        <v>71890.0</v>
      </c>
      <c r="L334" s="8">
        <f t="shared" si="3"/>
        <v>71890</v>
      </c>
    </row>
    <row r="335">
      <c r="A335" s="5" t="s">
        <v>123</v>
      </c>
      <c r="C335" s="14" t="s">
        <v>2421</v>
      </c>
      <c r="F335" s="4">
        <v>71890.0</v>
      </c>
      <c r="L335" s="8">
        <f t="shared" si="3"/>
        <v>71890</v>
      </c>
    </row>
    <row r="336">
      <c r="A336" s="5" t="s">
        <v>1543</v>
      </c>
      <c r="C336" s="14" t="s">
        <v>2423</v>
      </c>
      <c r="F336" s="4">
        <v>71890.0</v>
      </c>
      <c r="L336" s="8">
        <f t="shared" si="3"/>
        <v>71890</v>
      </c>
    </row>
    <row r="337">
      <c r="A337" s="2" t="s">
        <v>2425</v>
      </c>
      <c r="C337" s="14" t="s">
        <v>2426</v>
      </c>
      <c r="F337" s="4">
        <v>71890.0</v>
      </c>
      <c r="L337" s="8">
        <f t="shared" si="3"/>
        <v>71890</v>
      </c>
    </row>
    <row r="338">
      <c r="A338" s="5" t="s">
        <v>1549</v>
      </c>
      <c r="C338" s="14" t="s">
        <v>2429</v>
      </c>
      <c r="F338" s="4">
        <v>71890.0</v>
      </c>
      <c r="L338" s="8">
        <f t="shared" si="3"/>
        <v>71890</v>
      </c>
    </row>
    <row r="339">
      <c r="A339" s="2" t="s">
        <v>2432</v>
      </c>
      <c r="C339" s="14" t="s">
        <v>2433</v>
      </c>
      <c r="F339" s="4">
        <v>71890.0</v>
      </c>
      <c r="L339" s="8">
        <f t="shared" si="3"/>
        <v>71890</v>
      </c>
    </row>
    <row r="340">
      <c r="A340" s="5" t="s">
        <v>1551</v>
      </c>
      <c r="C340" s="14" t="s">
        <v>2437</v>
      </c>
      <c r="F340" s="4">
        <v>71890.0</v>
      </c>
      <c r="L340" s="8">
        <f t="shared" si="3"/>
        <v>71890</v>
      </c>
    </row>
    <row r="341">
      <c r="A341" s="5" t="s">
        <v>2442</v>
      </c>
      <c r="C341" s="14" t="s">
        <v>2443</v>
      </c>
      <c r="F341" s="4">
        <v>71390.0</v>
      </c>
      <c r="L341" s="8">
        <f t="shared" si="3"/>
        <v>71390</v>
      </c>
    </row>
    <row r="342">
      <c r="A342" s="5" t="s">
        <v>133</v>
      </c>
      <c r="C342" s="14" t="s">
        <v>2446</v>
      </c>
      <c r="F342" s="4">
        <v>71890.0</v>
      </c>
      <c r="L342" s="8">
        <f t="shared" si="3"/>
        <v>71890</v>
      </c>
    </row>
    <row r="343">
      <c r="A343" s="5" t="s">
        <v>2444</v>
      </c>
      <c r="C343" s="14" t="s">
        <v>2448</v>
      </c>
      <c r="F343" s="4">
        <v>75390.0</v>
      </c>
      <c r="L343" s="8">
        <f t="shared" si="3"/>
        <v>75390</v>
      </c>
    </row>
    <row r="344">
      <c r="A344" s="5" t="s">
        <v>2441</v>
      </c>
      <c r="C344" s="14" t="s">
        <v>2451</v>
      </c>
      <c r="F344" s="4">
        <v>75390.0</v>
      </c>
      <c r="L344" s="8">
        <f t="shared" si="3"/>
        <v>75390</v>
      </c>
    </row>
    <row r="345">
      <c r="A345" s="5" t="s">
        <v>2450</v>
      </c>
      <c r="C345" s="14" t="s">
        <v>2454</v>
      </c>
      <c r="F345" s="4">
        <v>72890.0</v>
      </c>
      <c r="L345" s="8">
        <f t="shared" si="3"/>
        <v>72890</v>
      </c>
    </row>
    <row r="346">
      <c r="A346" s="5" t="s">
        <v>2453</v>
      </c>
      <c r="C346" s="14" t="s">
        <v>2459</v>
      </c>
      <c r="F346" s="4">
        <v>75390.0</v>
      </c>
      <c r="L346" s="8">
        <f t="shared" si="3"/>
        <v>75390</v>
      </c>
    </row>
    <row r="347">
      <c r="A347" s="5" t="s">
        <v>2456</v>
      </c>
      <c r="C347" s="14" t="s">
        <v>2463</v>
      </c>
      <c r="F347" s="4">
        <v>75390.0</v>
      </c>
      <c r="L347" s="8">
        <f t="shared" si="3"/>
        <v>75390</v>
      </c>
    </row>
    <row r="348">
      <c r="A348" s="5" t="s">
        <v>1554</v>
      </c>
      <c r="C348" s="14" t="s">
        <v>2467</v>
      </c>
      <c r="F348" s="4">
        <v>73390.0</v>
      </c>
      <c r="L348" s="8">
        <f t="shared" si="3"/>
        <v>73390</v>
      </c>
    </row>
    <row r="349">
      <c r="A349" s="2" t="s">
        <v>2470</v>
      </c>
      <c r="C349" s="14" t="s">
        <v>2471</v>
      </c>
      <c r="F349" s="4">
        <v>74390.0</v>
      </c>
      <c r="L349" s="8">
        <f t="shared" si="3"/>
        <v>74390</v>
      </c>
    </row>
    <row r="350">
      <c r="A350" s="5" t="s">
        <v>206</v>
      </c>
      <c r="C350" s="14" t="s">
        <v>2474</v>
      </c>
      <c r="F350" s="4">
        <v>74390.0</v>
      </c>
      <c r="L350" s="8">
        <f t="shared" si="3"/>
        <v>74390</v>
      </c>
    </row>
    <row r="351">
      <c r="A351" s="2" t="s">
        <v>445</v>
      </c>
      <c r="C351" s="14" t="s">
        <v>2478</v>
      </c>
      <c r="F351" s="4">
        <v>74390.0</v>
      </c>
      <c r="L351" s="8">
        <f t="shared" si="3"/>
        <v>74390</v>
      </c>
    </row>
    <row r="352">
      <c r="A352" s="2" t="s">
        <v>2483</v>
      </c>
      <c r="C352" s="14" t="s">
        <v>2485</v>
      </c>
      <c r="F352" s="4">
        <v>80390.0</v>
      </c>
      <c r="L352" s="8">
        <f t="shared" si="3"/>
        <v>80390</v>
      </c>
    </row>
    <row r="353">
      <c r="A353" s="5" t="s">
        <v>2469</v>
      </c>
      <c r="C353" s="14" t="s">
        <v>2488</v>
      </c>
      <c r="F353" s="4">
        <v>87390.0</v>
      </c>
      <c r="L353" s="8">
        <f t="shared" si="3"/>
        <v>87390</v>
      </c>
    </row>
    <row r="354">
      <c r="A354" s="5" t="s">
        <v>200</v>
      </c>
      <c r="C354" s="14" t="s">
        <v>2489</v>
      </c>
      <c r="F354" s="4">
        <v>84390.0</v>
      </c>
      <c r="L354" s="8">
        <f t="shared" si="3"/>
        <v>84390</v>
      </c>
    </row>
    <row r="355">
      <c r="A355" s="5" t="s">
        <v>2460</v>
      </c>
      <c r="C355" s="14" t="s">
        <v>2492</v>
      </c>
      <c r="F355" s="4">
        <v>82390.0</v>
      </c>
      <c r="L355" s="8">
        <f t="shared" si="3"/>
        <v>82390</v>
      </c>
    </row>
    <row r="356">
      <c r="A356" s="5" t="s">
        <v>2462</v>
      </c>
      <c r="C356" s="14" t="s">
        <v>2495</v>
      </c>
      <c r="F356" s="4">
        <v>83390.0</v>
      </c>
      <c r="L356" s="8">
        <f t="shared" si="3"/>
        <v>83390</v>
      </c>
    </row>
    <row r="357">
      <c r="A357" s="2" t="s">
        <v>2498</v>
      </c>
      <c r="C357" s="14" t="s">
        <v>2499</v>
      </c>
      <c r="F357" s="4">
        <v>81890.0</v>
      </c>
      <c r="L357" s="8">
        <f t="shared" si="3"/>
        <v>81890</v>
      </c>
    </row>
    <row r="358">
      <c r="A358" s="5" t="s">
        <v>2404</v>
      </c>
      <c r="C358" s="14" t="s">
        <v>2502</v>
      </c>
      <c r="F358" s="4">
        <v>82890.0</v>
      </c>
      <c r="L358" s="8">
        <f t="shared" si="3"/>
        <v>82890</v>
      </c>
    </row>
    <row r="359">
      <c r="A359" s="5" t="s">
        <v>2466</v>
      </c>
      <c r="C359" s="14" t="s">
        <v>2504</v>
      </c>
      <c r="F359" s="4">
        <v>81390.0</v>
      </c>
      <c r="L359" s="8">
        <f t="shared" si="3"/>
        <v>81390</v>
      </c>
    </row>
    <row r="360">
      <c r="A360" s="2" t="s">
        <v>2505</v>
      </c>
      <c r="C360" s="14" t="s">
        <v>2506</v>
      </c>
      <c r="F360" s="4">
        <v>83890.0</v>
      </c>
      <c r="L360" s="8">
        <f t="shared" si="3"/>
        <v>83890</v>
      </c>
    </row>
    <row r="361">
      <c r="A361" s="5" t="s">
        <v>2411</v>
      </c>
      <c r="C361" s="14" t="s">
        <v>2507</v>
      </c>
      <c r="F361" s="4">
        <v>83890.0</v>
      </c>
      <c r="L361" s="8">
        <f t="shared" si="3"/>
        <v>83890</v>
      </c>
    </row>
    <row r="362">
      <c r="A362" s="5" t="s">
        <v>2491</v>
      </c>
      <c r="C362" s="14" t="s">
        <v>2508</v>
      </c>
      <c r="F362" s="4">
        <v>90890.0</v>
      </c>
      <c r="L362" s="8">
        <f t="shared" si="3"/>
        <v>90890</v>
      </c>
    </row>
    <row r="363">
      <c r="A363" s="5" t="s">
        <v>141</v>
      </c>
      <c r="C363" s="14" t="s">
        <v>2509</v>
      </c>
      <c r="F363" s="4">
        <v>97390.0</v>
      </c>
      <c r="L363" s="8">
        <f t="shared" si="3"/>
        <v>97390</v>
      </c>
    </row>
    <row r="364">
      <c r="A364" s="5" t="s">
        <v>2493</v>
      </c>
      <c r="C364" s="14" t="s">
        <v>2513</v>
      </c>
      <c r="F364" s="4">
        <v>117890.0</v>
      </c>
      <c r="L364" s="8">
        <f t="shared" si="3"/>
        <v>117890</v>
      </c>
    </row>
    <row r="365">
      <c r="A365" s="5" t="s">
        <v>2503</v>
      </c>
      <c r="C365" s="14" t="s">
        <v>2515</v>
      </c>
      <c r="F365" s="4">
        <v>123890.0</v>
      </c>
      <c r="L365" s="8">
        <f t="shared" si="3"/>
        <v>123890</v>
      </c>
    </row>
    <row r="366">
      <c r="A366" s="5" t="s">
        <v>2501</v>
      </c>
      <c r="C366" s="14" t="s">
        <v>2520</v>
      </c>
      <c r="F366" s="4">
        <v>123890.0</v>
      </c>
      <c r="L366" s="8">
        <f t="shared" si="3"/>
        <v>123890</v>
      </c>
    </row>
    <row r="367">
      <c r="A367" s="5" t="s">
        <v>2496</v>
      </c>
      <c r="C367" s="14" t="s">
        <v>2524</v>
      </c>
      <c r="F367" s="4">
        <v>124390.0</v>
      </c>
      <c r="L367" s="8">
        <f t="shared" si="3"/>
        <v>124390</v>
      </c>
    </row>
    <row r="368">
      <c r="A368" s="5" t="s">
        <v>164</v>
      </c>
      <c r="C368" s="14" t="s">
        <v>2527</v>
      </c>
      <c r="F368" s="4">
        <v>78390.0</v>
      </c>
      <c r="L368" s="8">
        <f t="shared" si="3"/>
        <v>78390</v>
      </c>
    </row>
    <row r="369">
      <c r="A369" s="5" t="s">
        <v>2352</v>
      </c>
      <c r="C369" s="14" t="s">
        <v>2530</v>
      </c>
      <c r="F369" s="4">
        <v>58890.0</v>
      </c>
      <c r="L369" s="8">
        <f t="shared" si="3"/>
        <v>58890</v>
      </c>
    </row>
    <row r="370">
      <c r="A370" s="5" t="s">
        <v>2356</v>
      </c>
      <c r="C370" s="14" t="s">
        <v>2533</v>
      </c>
      <c r="F370" s="4">
        <v>58890.0</v>
      </c>
      <c r="L370" s="8">
        <f t="shared" si="3"/>
        <v>58890</v>
      </c>
    </row>
    <row r="371">
      <c r="A371" s="5" t="s">
        <v>2358</v>
      </c>
      <c r="C371" s="14" t="s">
        <v>2538</v>
      </c>
      <c r="F371" s="4">
        <v>66890.0</v>
      </c>
      <c r="L371" s="8">
        <f t="shared" si="3"/>
        <v>66890</v>
      </c>
    </row>
    <row r="372">
      <c r="A372" s="5" t="s">
        <v>2360</v>
      </c>
      <c r="C372" s="14" t="s">
        <v>2541</v>
      </c>
      <c r="F372" s="4">
        <v>66890.0</v>
      </c>
      <c r="L372" s="8">
        <f t="shared" si="3"/>
        <v>66890</v>
      </c>
    </row>
    <row r="373">
      <c r="A373" s="2" t="s">
        <v>2544</v>
      </c>
      <c r="C373" s="14" t="s">
        <v>2546</v>
      </c>
      <c r="F373" s="4">
        <v>75390.0</v>
      </c>
      <c r="L373" s="8">
        <f t="shared" si="3"/>
        <v>75390</v>
      </c>
    </row>
    <row r="374">
      <c r="A374" s="2" t="s">
        <v>2549</v>
      </c>
      <c r="C374" s="14" t="s">
        <v>2550</v>
      </c>
      <c r="F374" s="4">
        <v>72890.0</v>
      </c>
      <c r="L374" s="8">
        <f t="shared" si="3"/>
        <v>72890</v>
      </c>
    </row>
    <row r="375">
      <c r="A375" s="5" t="s">
        <v>2340</v>
      </c>
      <c r="C375" s="14" t="s">
        <v>2553</v>
      </c>
      <c r="F375" s="4">
        <v>76890.0</v>
      </c>
      <c r="L375" s="8">
        <f t="shared" si="3"/>
        <v>76890</v>
      </c>
    </row>
    <row r="376">
      <c r="A376" s="5" t="s">
        <v>2337</v>
      </c>
      <c r="C376" s="14" t="s">
        <v>2556</v>
      </c>
      <c r="F376" s="4">
        <v>76890.0</v>
      </c>
      <c r="L376" s="8">
        <f t="shared" si="3"/>
        <v>76890</v>
      </c>
    </row>
    <row r="377">
      <c r="A377" s="5" t="s">
        <v>2333</v>
      </c>
      <c r="C377" s="14" t="s">
        <v>2560</v>
      </c>
      <c r="F377" s="4">
        <v>76890.0</v>
      </c>
      <c r="L377" s="8">
        <f t="shared" si="3"/>
        <v>76890</v>
      </c>
    </row>
    <row r="378">
      <c r="A378" s="2" t="s">
        <v>2562</v>
      </c>
      <c r="C378" s="14" t="s">
        <v>2563</v>
      </c>
      <c r="F378" s="4">
        <v>77890.0</v>
      </c>
      <c r="L378" s="8">
        <f t="shared" si="3"/>
        <v>77890</v>
      </c>
    </row>
    <row r="379">
      <c r="A379" s="5" t="s">
        <v>2350</v>
      </c>
      <c r="C379" s="14" t="s">
        <v>2566</v>
      </c>
      <c r="F379" s="4">
        <v>81390.0</v>
      </c>
      <c r="L379" s="8">
        <f t="shared" si="3"/>
        <v>81390</v>
      </c>
    </row>
    <row r="380">
      <c r="A380" s="5" t="s">
        <v>2346</v>
      </c>
      <c r="C380" s="14" t="s">
        <v>2569</v>
      </c>
      <c r="F380" s="4">
        <v>81390.0</v>
      </c>
      <c r="L380" s="8">
        <f t="shared" si="3"/>
        <v>81390</v>
      </c>
    </row>
    <row r="381">
      <c r="A381" s="5" t="s">
        <v>2342</v>
      </c>
      <c r="C381" s="14" t="s">
        <v>2571</v>
      </c>
      <c r="F381" s="4">
        <v>81390.0</v>
      </c>
      <c r="L381" s="8">
        <f t="shared" si="3"/>
        <v>81390</v>
      </c>
    </row>
    <row r="382">
      <c r="A382" s="2" t="s">
        <v>2575</v>
      </c>
      <c r="C382" s="14" t="s">
        <v>2577</v>
      </c>
      <c r="F382" s="4">
        <v>90390.0</v>
      </c>
      <c r="L382" s="8">
        <f t="shared" si="3"/>
        <v>90390</v>
      </c>
    </row>
    <row r="383">
      <c r="A383" s="2" t="s">
        <v>2581</v>
      </c>
      <c r="C383" s="14" t="s">
        <v>2582</v>
      </c>
      <c r="F383" s="4">
        <v>83890.0</v>
      </c>
      <c r="L383" s="8">
        <f t="shared" si="3"/>
        <v>83890</v>
      </c>
    </row>
    <row r="384">
      <c r="A384" s="2" t="s">
        <v>2587</v>
      </c>
      <c r="C384" s="14" t="s">
        <v>2588</v>
      </c>
      <c r="F384" s="4">
        <v>91890.0</v>
      </c>
      <c r="L384" s="8">
        <f t="shared" si="3"/>
        <v>91890</v>
      </c>
    </row>
    <row r="385">
      <c r="A385" s="5" t="s">
        <v>2370</v>
      </c>
      <c r="C385" s="14" t="s">
        <v>2592</v>
      </c>
      <c r="F385" s="4">
        <v>104890.0</v>
      </c>
      <c r="L385" s="8">
        <f t="shared" si="3"/>
        <v>104890</v>
      </c>
    </row>
    <row r="386">
      <c r="A386" s="5" t="s">
        <v>2369</v>
      </c>
      <c r="C386" s="14" t="s">
        <v>2596</v>
      </c>
      <c r="F386" s="4">
        <v>104890.0</v>
      </c>
      <c r="L386" s="8">
        <f t="shared" si="3"/>
        <v>104890</v>
      </c>
    </row>
    <row r="387">
      <c r="A387" s="5" t="s">
        <v>2366</v>
      </c>
      <c r="C387" s="14" t="s">
        <v>2600</v>
      </c>
      <c r="F387" s="4">
        <v>104890.0</v>
      </c>
      <c r="L387" s="8">
        <f t="shared" si="3"/>
        <v>104890</v>
      </c>
    </row>
    <row r="388">
      <c r="A388" s="2" t="s">
        <v>2604</v>
      </c>
      <c r="C388" s="14" t="s">
        <v>2605</v>
      </c>
      <c r="F388" s="4">
        <v>111390.0</v>
      </c>
      <c r="L388" s="8">
        <f t="shared" si="3"/>
        <v>111390</v>
      </c>
    </row>
    <row r="389">
      <c r="A389" s="2" t="s">
        <v>2609</v>
      </c>
      <c r="C389" s="14" t="s">
        <v>2610</v>
      </c>
      <c r="F389" s="4">
        <v>120390.0</v>
      </c>
      <c r="L389" s="8">
        <f t="shared" si="3"/>
        <v>120390</v>
      </c>
    </row>
    <row r="390">
      <c r="A390" s="2" t="s">
        <v>2612</v>
      </c>
      <c r="C390" s="14" t="s">
        <v>2613</v>
      </c>
      <c r="F390" s="4">
        <v>121890.0</v>
      </c>
      <c r="L390" s="8">
        <f t="shared" si="3"/>
        <v>121890</v>
      </c>
    </row>
    <row r="391">
      <c r="A391" s="2" t="s">
        <v>2617</v>
      </c>
      <c r="C391" s="14" t="s">
        <v>2618</v>
      </c>
      <c r="F391" s="4">
        <v>122890.0</v>
      </c>
      <c r="L391" s="8">
        <f t="shared" si="3"/>
        <v>122890</v>
      </c>
    </row>
    <row r="392">
      <c r="A392" s="5" t="s">
        <v>2373</v>
      </c>
      <c r="C392" s="14" t="s">
        <v>2621</v>
      </c>
      <c r="F392" s="4">
        <v>124390.0</v>
      </c>
      <c r="L392" s="8">
        <f t="shared" si="3"/>
        <v>124390</v>
      </c>
    </row>
    <row r="393">
      <c r="A393" s="5" t="s">
        <v>2377</v>
      </c>
      <c r="C393" s="14" t="s">
        <v>2625</v>
      </c>
      <c r="F393" s="4">
        <v>124390.0</v>
      </c>
      <c r="L393" s="8">
        <f t="shared" si="3"/>
        <v>124390</v>
      </c>
    </row>
    <row r="394">
      <c r="A394" s="2" t="s">
        <v>2628</v>
      </c>
      <c r="C394" s="14" t="s">
        <v>2629</v>
      </c>
      <c r="F394" s="4">
        <v>124390.0</v>
      </c>
      <c r="L394" s="8">
        <f t="shared" si="3"/>
        <v>124390</v>
      </c>
    </row>
    <row r="395">
      <c r="A395" s="5" t="s">
        <v>2378</v>
      </c>
      <c r="C395" s="14" t="s">
        <v>2636</v>
      </c>
      <c r="F395" s="4">
        <v>124890.0</v>
      </c>
      <c r="L395" s="8">
        <f t="shared" si="3"/>
        <v>124890</v>
      </c>
    </row>
    <row r="396">
      <c r="A396" s="2" t="s">
        <v>2640</v>
      </c>
      <c r="C396" s="14" t="s">
        <v>2642</v>
      </c>
      <c r="F396" s="4">
        <v>132390.0</v>
      </c>
      <c r="L396" s="8">
        <f t="shared" si="3"/>
        <v>132390</v>
      </c>
    </row>
    <row r="397">
      <c r="A397" s="2" t="s">
        <v>2644</v>
      </c>
      <c r="C397" s="14" t="s">
        <v>2645</v>
      </c>
      <c r="F397" s="4">
        <v>129890.0</v>
      </c>
      <c r="L397" s="8">
        <f t="shared" si="3"/>
        <v>129890</v>
      </c>
    </row>
    <row r="398">
      <c r="A398" s="2" t="s">
        <v>2648</v>
      </c>
      <c r="C398" s="14" t="s">
        <v>2649</v>
      </c>
      <c r="F398" s="4">
        <v>129890.0</v>
      </c>
      <c r="L398" s="8">
        <f t="shared" si="3"/>
        <v>129890</v>
      </c>
    </row>
    <row r="399">
      <c r="A399" s="2" t="s">
        <v>2653</v>
      </c>
      <c r="C399" s="14" t="s">
        <v>2654</v>
      </c>
      <c r="F399" s="4">
        <v>131390.0</v>
      </c>
      <c r="L399" s="8">
        <f t="shared" si="3"/>
        <v>131390</v>
      </c>
    </row>
    <row r="400">
      <c r="A400" s="2" t="s">
        <v>2657</v>
      </c>
      <c r="C400" s="14" t="s">
        <v>2658</v>
      </c>
      <c r="F400" s="4">
        <v>129390.0</v>
      </c>
      <c r="L400" s="8">
        <f t="shared" si="3"/>
        <v>129390</v>
      </c>
    </row>
    <row r="401">
      <c r="A401" s="2" t="s">
        <v>2661</v>
      </c>
      <c r="C401" s="14" t="s">
        <v>2662</v>
      </c>
      <c r="F401" s="4">
        <v>130390.0</v>
      </c>
      <c r="L401" s="8">
        <f t="shared" si="3"/>
        <v>130390</v>
      </c>
    </row>
    <row r="402">
      <c r="A402" s="2" t="s">
        <v>2666</v>
      </c>
      <c r="C402" s="14" t="s">
        <v>2667</v>
      </c>
      <c r="F402" s="4">
        <v>139390.0</v>
      </c>
      <c r="L402" s="8">
        <f t="shared" si="3"/>
        <v>139390</v>
      </c>
    </row>
    <row r="403">
      <c r="A403" s="2" t="s">
        <v>2672</v>
      </c>
      <c r="C403" s="14" t="s">
        <v>2674</v>
      </c>
      <c r="F403" s="4">
        <v>142390.0</v>
      </c>
      <c r="L403" s="8">
        <f t="shared" si="3"/>
        <v>142390</v>
      </c>
    </row>
    <row r="404">
      <c r="A404" s="2" t="s">
        <v>2678</v>
      </c>
      <c r="C404" s="14" t="s">
        <v>2679</v>
      </c>
      <c r="F404" s="4">
        <v>139890.0</v>
      </c>
      <c r="L404" s="8">
        <f t="shared" si="3"/>
        <v>139890</v>
      </c>
    </row>
    <row r="405">
      <c r="A405" s="5" t="s">
        <v>2389</v>
      </c>
      <c r="C405" s="14" t="s">
        <v>2683</v>
      </c>
      <c r="F405" s="4">
        <v>159390.0</v>
      </c>
      <c r="L405" s="8">
        <f t="shared" si="3"/>
        <v>159390</v>
      </c>
    </row>
    <row r="406">
      <c r="A406" s="5" t="s">
        <v>2386</v>
      </c>
      <c r="C406" s="14" t="s">
        <v>2688</v>
      </c>
      <c r="F406" s="4">
        <v>159390.0</v>
      </c>
      <c r="L406" s="8">
        <f t="shared" si="3"/>
        <v>159390</v>
      </c>
    </row>
    <row r="407">
      <c r="A407" s="2" t="s">
        <v>2693</v>
      </c>
      <c r="C407" s="14" t="s">
        <v>2694</v>
      </c>
      <c r="F407" s="4">
        <v>159390.0</v>
      </c>
      <c r="L407" s="8">
        <f t="shared" si="3"/>
        <v>159390</v>
      </c>
    </row>
    <row r="408">
      <c r="A408" s="5" t="s">
        <v>2381</v>
      </c>
      <c r="C408" s="14" t="s">
        <v>2697</v>
      </c>
      <c r="F408" s="4">
        <v>159390.0</v>
      </c>
      <c r="L408" s="8">
        <f t="shared" si="3"/>
        <v>159390</v>
      </c>
    </row>
    <row r="409">
      <c r="A409" s="2" t="s">
        <v>2701</v>
      </c>
      <c r="C409" s="14" t="s">
        <v>2702</v>
      </c>
      <c r="F409" s="4">
        <v>175390.0</v>
      </c>
      <c r="L409" s="8">
        <f t="shared" si="3"/>
        <v>175390</v>
      </c>
    </row>
    <row r="410">
      <c r="A410" s="2" t="s">
        <v>2708</v>
      </c>
      <c r="C410" s="14" t="s">
        <v>2709</v>
      </c>
      <c r="F410" s="4">
        <v>171890.0</v>
      </c>
      <c r="L410" s="8">
        <f t="shared" si="3"/>
        <v>171890</v>
      </c>
    </row>
    <row r="411">
      <c r="A411" s="2" t="s">
        <v>2711</v>
      </c>
      <c r="C411" s="14" t="s">
        <v>2712</v>
      </c>
      <c r="F411" s="4">
        <v>185390.0</v>
      </c>
      <c r="L411" s="8">
        <f t="shared" si="3"/>
        <v>185390</v>
      </c>
    </row>
    <row r="412">
      <c r="A412" s="2" t="s">
        <v>2717</v>
      </c>
      <c r="C412" s="14" t="s">
        <v>2718</v>
      </c>
      <c r="F412" s="4">
        <v>192890.0</v>
      </c>
      <c r="L412" s="8">
        <f t="shared" si="3"/>
        <v>192890</v>
      </c>
    </row>
    <row r="413">
      <c r="A413" s="2" t="s">
        <v>2722</v>
      </c>
      <c r="C413" s="14" t="s">
        <v>2723</v>
      </c>
      <c r="F413" s="4">
        <v>198390.0</v>
      </c>
      <c r="L413" s="8">
        <f t="shared" si="3"/>
        <v>198390</v>
      </c>
    </row>
    <row r="414">
      <c r="A414" s="2" t="s">
        <v>2727</v>
      </c>
      <c r="C414" s="14" t="s">
        <v>2728</v>
      </c>
      <c r="F414" s="4">
        <v>198390.0</v>
      </c>
      <c r="L414" s="8">
        <f t="shared" si="3"/>
        <v>198390</v>
      </c>
    </row>
    <row r="415">
      <c r="A415" s="2" t="s">
        <v>2732</v>
      </c>
      <c r="L415" s="8" t="str">
        <f t="shared" si="3"/>
        <v/>
      </c>
    </row>
    <row r="416">
      <c r="A416" s="2" t="s">
        <v>2733</v>
      </c>
      <c r="C416" s="14" t="s">
        <v>2734</v>
      </c>
      <c r="F416" s="4">
        <v>25390.0</v>
      </c>
      <c r="L416" s="8">
        <f t="shared" si="3"/>
        <v>25390</v>
      </c>
    </row>
    <row r="417">
      <c r="A417" s="2" t="s">
        <v>2738</v>
      </c>
      <c r="C417" s="14" t="s">
        <v>2740</v>
      </c>
      <c r="F417" s="4">
        <v>25390.0</v>
      </c>
      <c r="L417" s="8">
        <f t="shared" si="3"/>
        <v>25390</v>
      </c>
    </row>
    <row r="418">
      <c r="A418" s="2" t="s">
        <v>2745</v>
      </c>
      <c r="C418" s="14" t="s">
        <v>2746</v>
      </c>
      <c r="F418" s="4">
        <v>30390.0</v>
      </c>
      <c r="L418" s="8">
        <f t="shared" si="3"/>
        <v>30390</v>
      </c>
    </row>
    <row r="419">
      <c r="A419" s="2" t="s">
        <v>2750</v>
      </c>
      <c r="C419" s="14" t="s">
        <v>2752</v>
      </c>
      <c r="F419" s="4">
        <v>30390.0</v>
      </c>
      <c r="L419" s="8">
        <f t="shared" si="3"/>
        <v>30390</v>
      </c>
    </row>
    <row r="420">
      <c r="A420" s="2" t="s">
        <v>2757</v>
      </c>
      <c r="C420" s="14" t="s">
        <v>2759</v>
      </c>
      <c r="F420" s="4">
        <v>30390.0</v>
      </c>
      <c r="L420" s="8">
        <f t="shared" si="3"/>
        <v>30390</v>
      </c>
    </row>
    <row r="421">
      <c r="A421" s="2" t="s">
        <v>2762</v>
      </c>
      <c r="C421" s="14" t="s">
        <v>2763</v>
      </c>
      <c r="F421" s="4">
        <v>34890.0</v>
      </c>
      <c r="L421" s="8">
        <f t="shared" si="3"/>
        <v>34890</v>
      </c>
    </row>
    <row r="422">
      <c r="A422" s="2" t="s">
        <v>2765</v>
      </c>
      <c r="C422" s="14" t="s">
        <v>2766</v>
      </c>
      <c r="F422" s="4">
        <v>34890.0</v>
      </c>
      <c r="L422" s="8">
        <f t="shared" si="3"/>
        <v>34890</v>
      </c>
    </row>
    <row r="423">
      <c r="A423" s="2" t="s">
        <v>2769</v>
      </c>
      <c r="L423" s="8" t="str">
        <f t="shared" si="3"/>
        <v/>
      </c>
    </row>
    <row r="424">
      <c r="A424" s="2" t="s">
        <v>2770</v>
      </c>
      <c r="C424" s="14" t="s">
        <v>2771</v>
      </c>
      <c r="F424" s="4">
        <v>6890.0</v>
      </c>
      <c r="L424" s="8">
        <f t="shared" si="3"/>
        <v>6890</v>
      </c>
    </row>
    <row r="425">
      <c r="A425" s="5" t="s">
        <v>504</v>
      </c>
      <c r="C425" s="14" t="s">
        <v>2773</v>
      </c>
      <c r="F425" s="4">
        <v>6890.0</v>
      </c>
      <c r="L425" s="8">
        <f t="shared" si="3"/>
        <v>6890</v>
      </c>
    </row>
    <row r="426">
      <c r="A426" s="5" t="s">
        <v>501</v>
      </c>
      <c r="C426" s="14" t="s">
        <v>2775</v>
      </c>
      <c r="F426" s="4">
        <v>71390.0</v>
      </c>
      <c r="L426" s="8">
        <f t="shared" si="3"/>
        <v>71390</v>
      </c>
    </row>
    <row r="427">
      <c r="A427" s="2" t="s">
        <v>2777</v>
      </c>
      <c r="C427" s="14" t="s">
        <v>2778</v>
      </c>
      <c r="F427" s="4">
        <v>3890.0</v>
      </c>
      <c r="L427" s="8">
        <f t="shared" si="3"/>
        <v>3890</v>
      </c>
    </row>
    <row r="428">
      <c r="A428" s="2" t="s">
        <v>2780</v>
      </c>
      <c r="C428" s="14" t="s">
        <v>2781</v>
      </c>
      <c r="F428" s="4">
        <v>8390.0</v>
      </c>
      <c r="L428" s="8">
        <f t="shared" si="3"/>
        <v>8390</v>
      </c>
    </row>
    <row r="429">
      <c r="A429" s="2" t="s">
        <v>2783</v>
      </c>
      <c r="C429" s="14" t="s">
        <v>2784</v>
      </c>
      <c r="F429" s="4">
        <v>8390.0</v>
      </c>
      <c r="L429" s="8">
        <f t="shared" si="3"/>
        <v>8390</v>
      </c>
    </row>
    <row r="430">
      <c r="A430" s="2" t="s">
        <v>2787</v>
      </c>
      <c r="C430" s="14" t="s">
        <v>2789</v>
      </c>
      <c r="F430" s="4">
        <v>8390.0</v>
      </c>
      <c r="L430" s="8">
        <f t="shared" si="3"/>
        <v>8390</v>
      </c>
    </row>
    <row r="431">
      <c r="A431" s="5" t="s">
        <v>1269</v>
      </c>
      <c r="C431" s="14" t="s">
        <v>2793</v>
      </c>
      <c r="F431" s="4">
        <v>11390.0</v>
      </c>
      <c r="L431" s="8">
        <f t="shared" si="3"/>
        <v>11390</v>
      </c>
    </row>
    <row r="432">
      <c r="A432" s="2" t="s">
        <v>2796</v>
      </c>
      <c r="C432" s="14" t="s">
        <v>2797</v>
      </c>
      <c r="F432" s="4">
        <v>23890.0</v>
      </c>
      <c r="L432" s="8">
        <f t="shared" si="3"/>
        <v>23890</v>
      </c>
    </row>
    <row r="433">
      <c r="A433" s="2" t="s">
        <v>2800</v>
      </c>
      <c r="C433" s="14" t="s">
        <v>2801</v>
      </c>
      <c r="F433" s="4">
        <v>23890.0</v>
      </c>
      <c r="L433" s="8">
        <f t="shared" si="3"/>
        <v>23890</v>
      </c>
    </row>
    <row r="434">
      <c r="A434" s="5" t="s">
        <v>958</v>
      </c>
      <c r="C434" s="14" t="s">
        <v>2804</v>
      </c>
      <c r="F434" s="4">
        <v>64890.0</v>
      </c>
      <c r="L434" s="8">
        <f t="shared" si="3"/>
        <v>64890</v>
      </c>
    </row>
    <row r="435">
      <c r="A435" s="2" t="s">
        <v>2806</v>
      </c>
      <c r="C435" s="14" t="s">
        <v>2807</v>
      </c>
      <c r="F435" s="4">
        <v>64890.0</v>
      </c>
      <c r="L435" s="8">
        <f t="shared" si="3"/>
        <v>64890</v>
      </c>
    </row>
    <row r="436">
      <c r="A436" s="2" t="s">
        <v>2809</v>
      </c>
      <c r="C436" s="14" t="s">
        <v>2810</v>
      </c>
      <c r="F436" s="4">
        <v>70890.0</v>
      </c>
      <c r="L436" s="8">
        <f t="shared" si="3"/>
        <v>70890</v>
      </c>
    </row>
    <row r="437">
      <c r="A437" s="5" t="s">
        <v>1272</v>
      </c>
      <c r="C437" s="14" t="s">
        <v>2812</v>
      </c>
      <c r="F437" s="4">
        <v>116890.0</v>
      </c>
      <c r="L437" s="8">
        <f t="shared" si="3"/>
        <v>116890</v>
      </c>
    </row>
    <row r="438">
      <c r="A438" s="2" t="s">
        <v>2814</v>
      </c>
      <c r="L438" s="8" t="str">
        <f t="shared" si="3"/>
        <v/>
      </c>
    </row>
    <row r="439">
      <c r="A439" s="2" t="s">
        <v>2815</v>
      </c>
      <c r="C439" s="14" t="s">
        <v>2816</v>
      </c>
      <c r="F439" s="4">
        <v>20890.0</v>
      </c>
      <c r="L439" s="8">
        <f t="shared" si="3"/>
        <v>20890</v>
      </c>
    </row>
    <row r="440">
      <c r="A440" s="2" t="s">
        <v>2819</v>
      </c>
      <c r="C440" s="14" t="s">
        <v>2820</v>
      </c>
      <c r="F440" s="4">
        <v>33890.0</v>
      </c>
      <c r="L440" s="8">
        <f t="shared" si="3"/>
        <v>33890</v>
      </c>
    </row>
    <row r="441">
      <c r="A441" s="2" t="s">
        <v>2821</v>
      </c>
      <c r="C441" s="14" t="s">
        <v>2822</v>
      </c>
      <c r="F441" s="4">
        <v>20890.0</v>
      </c>
      <c r="L441" s="8">
        <f t="shared" si="3"/>
        <v>20890</v>
      </c>
    </row>
    <row r="442">
      <c r="A442" s="2" t="s">
        <v>2824</v>
      </c>
      <c r="C442" s="14" t="s">
        <v>2825</v>
      </c>
      <c r="F442" s="4">
        <v>20890.0</v>
      </c>
      <c r="L442" s="8">
        <f t="shared" si="3"/>
        <v>20890</v>
      </c>
    </row>
    <row r="443">
      <c r="A443" s="2" t="s">
        <v>2827</v>
      </c>
      <c r="C443" s="14" t="s">
        <v>2828</v>
      </c>
      <c r="F443" s="4">
        <v>20890.0</v>
      </c>
      <c r="L443" s="8">
        <f t="shared" si="3"/>
        <v>20890</v>
      </c>
    </row>
    <row r="444">
      <c r="A444" s="2" t="s">
        <v>2829</v>
      </c>
      <c r="C444" s="14" t="s">
        <v>2830</v>
      </c>
      <c r="F444" s="4">
        <v>33890.0</v>
      </c>
      <c r="L444" s="8">
        <f t="shared" si="3"/>
        <v>33890</v>
      </c>
    </row>
    <row r="445">
      <c r="A445" s="2" t="s">
        <v>2832</v>
      </c>
      <c r="C445" s="14" t="s">
        <v>2833</v>
      </c>
      <c r="F445" s="4">
        <v>33890.0</v>
      </c>
      <c r="L445" s="8">
        <f t="shared" si="3"/>
        <v>33890</v>
      </c>
    </row>
    <row r="446">
      <c r="A446" s="2" t="s">
        <v>2836</v>
      </c>
      <c r="C446" s="14" t="s">
        <v>2837</v>
      </c>
      <c r="F446" s="4">
        <v>33890.0</v>
      </c>
      <c r="L446" s="8">
        <f t="shared" si="3"/>
        <v>33890</v>
      </c>
    </row>
    <row r="447">
      <c r="A447" s="2" t="s">
        <v>2839</v>
      </c>
      <c r="C447" s="14" t="s">
        <v>2840</v>
      </c>
      <c r="F447" s="4">
        <v>33890.0</v>
      </c>
      <c r="L447" s="8">
        <f t="shared" si="3"/>
        <v>33890</v>
      </c>
    </row>
    <row r="448">
      <c r="A448" s="2" t="s">
        <v>2843</v>
      </c>
      <c r="L448" s="8" t="str">
        <f t="shared" si="3"/>
        <v/>
      </c>
    </row>
    <row r="449">
      <c r="A449" s="2" t="s">
        <v>2844</v>
      </c>
      <c r="C449" s="14" t="s">
        <v>2845</v>
      </c>
      <c r="F449" s="4">
        <v>82390.0</v>
      </c>
      <c r="L449" s="8">
        <f t="shared" si="3"/>
        <v>82390</v>
      </c>
    </row>
    <row r="450">
      <c r="A450" s="2" t="s">
        <v>2846</v>
      </c>
      <c r="C450" s="14" t="s">
        <v>2847</v>
      </c>
      <c r="F450" s="4">
        <v>93390.0</v>
      </c>
      <c r="L450" s="8">
        <f t="shared" si="3"/>
        <v>93390</v>
      </c>
    </row>
    <row r="451">
      <c r="A451" s="2" t="s">
        <v>2848</v>
      </c>
      <c r="L451" s="8" t="str">
        <f t="shared" si="3"/>
        <v/>
      </c>
    </row>
    <row r="452">
      <c r="A452" s="2" t="s">
        <v>2849</v>
      </c>
      <c r="C452" s="14" t="s">
        <v>2850</v>
      </c>
      <c r="F452" s="4">
        <v>7390.0</v>
      </c>
      <c r="L452" s="8">
        <f t="shared" si="3"/>
        <v>7390</v>
      </c>
    </row>
    <row r="453">
      <c r="A453" s="2" t="s">
        <v>2851</v>
      </c>
      <c r="C453" s="14" t="s">
        <v>2852</v>
      </c>
      <c r="F453" s="4">
        <v>7390.0</v>
      </c>
      <c r="L453" s="8">
        <f t="shared" si="3"/>
        <v>7390</v>
      </c>
    </row>
    <row r="454">
      <c r="A454" s="2" t="s">
        <v>2853</v>
      </c>
      <c r="C454" s="14" t="s">
        <v>2854</v>
      </c>
      <c r="F454" s="4">
        <v>7390.0</v>
      </c>
      <c r="L454" s="8">
        <f t="shared" si="3"/>
        <v>7390</v>
      </c>
    </row>
    <row r="455">
      <c r="A455" s="2" t="s">
        <v>2855</v>
      </c>
      <c r="C455" s="14" t="s">
        <v>2856</v>
      </c>
      <c r="F455" s="2">
        <v>7390.0</v>
      </c>
      <c r="L455" s="8">
        <f t="shared" si="3"/>
        <v>7390</v>
      </c>
    </row>
    <row r="456">
      <c r="A456" s="2" t="s">
        <v>2857</v>
      </c>
      <c r="L456" s="8" t="str">
        <f t="shared" si="3"/>
        <v/>
      </c>
    </row>
    <row r="457">
      <c r="A457" s="2" t="s">
        <v>2858</v>
      </c>
      <c r="C457" s="14" t="s">
        <v>2859</v>
      </c>
      <c r="F457" s="4">
        <v>56390.0</v>
      </c>
      <c r="L457" s="8">
        <f t="shared" si="3"/>
        <v>56390</v>
      </c>
    </row>
    <row r="458">
      <c r="A458" s="2" t="s">
        <v>2860</v>
      </c>
      <c r="C458" s="14" t="s">
        <v>2861</v>
      </c>
      <c r="F458" s="4">
        <v>56390.0</v>
      </c>
      <c r="L458" s="8">
        <f t="shared" si="3"/>
        <v>56390</v>
      </c>
    </row>
    <row r="459">
      <c r="A459" s="2" t="s">
        <v>2862</v>
      </c>
      <c r="C459" s="14" t="s">
        <v>2863</v>
      </c>
      <c r="F459" s="4">
        <v>56390.0</v>
      </c>
      <c r="L459" s="8">
        <f t="shared" si="3"/>
        <v>56390</v>
      </c>
    </row>
    <row r="460">
      <c r="A460" s="2" t="s">
        <v>2864</v>
      </c>
      <c r="C460" s="14" t="s">
        <v>2865</v>
      </c>
      <c r="F460" s="4">
        <v>56390.0</v>
      </c>
      <c r="L460" s="8">
        <f t="shared" si="3"/>
        <v>56390</v>
      </c>
    </row>
    <row r="461">
      <c r="A461" s="2" t="s">
        <v>2866</v>
      </c>
      <c r="C461" s="14" t="s">
        <v>2867</v>
      </c>
      <c r="F461" s="4">
        <v>56390.0</v>
      </c>
      <c r="L461" s="8">
        <f t="shared" si="3"/>
        <v>56390</v>
      </c>
    </row>
    <row r="462">
      <c r="A462" s="2" t="s">
        <v>2868</v>
      </c>
      <c r="C462" s="14" t="s">
        <v>2869</v>
      </c>
      <c r="F462" s="4">
        <v>63390.0</v>
      </c>
      <c r="L462" s="8">
        <f t="shared" si="3"/>
        <v>63390</v>
      </c>
    </row>
    <row r="463">
      <c r="A463" s="2" t="s">
        <v>2870</v>
      </c>
      <c r="C463" s="14" t="s">
        <v>2871</v>
      </c>
      <c r="F463" s="4">
        <v>65390.0</v>
      </c>
      <c r="L463" s="8">
        <f t="shared" si="3"/>
        <v>65390</v>
      </c>
    </row>
    <row r="464">
      <c r="A464" s="2" t="s">
        <v>2872</v>
      </c>
      <c r="C464" s="14" t="s">
        <v>2873</v>
      </c>
      <c r="F464" s="4">
        <v>65390.0</v>
      </c>
      <c r="L464" s="8">
        <f t="shared" si="3"/>
        <v>65390</v>
      </c>
    </row>
    <row r="465">
      <c r="A465" s="2" t="s">
        <v>2874</v>
      </c>
      <c r="C465" s="14" t="s">
        <v>2875</v>
      </c>
      <c r="F465" s="4">
        <v>65390.0</v>
      </c>
      <c r="L465" s="8">
        <f t="shared" si="3"/>
        <v>65390</v>
      </c>
    </row>
    <row r="466">
      <c r="A466" s="2" t="s">
        <v>2876</v>
      </c>
      <c r="C466" s="14" t="s">
        <v>2877</v>
      </c>
      <c r="F466" s="4">
        <v>65390.0</v>
      </c>
      <c r="L466" s="8">
        <f t="shared" si="3"/>
        <v>65390</v>
      </c>
    </row>
    <row r="467">
      <c r="A467" s="2" t="s">
        <v>2878</v>
      </c>
      <c r="C467" s="14" t="s">
        <v>2879</v>
      </c>
      <c r="F467" s="4">
        <v>1.0</v>
      </c>
      <c r="L467" s="8">
        <f t="shared" si="3"/>
        <v>1</v>
      </c>
    </row>
    <row r="468">
      <c r="A468" s="2" t="s">
        <v>2880</v>
      </c>
      <c r="C468" s="14" t="s">
        <v>2881</v>
      </c>
      <c r="F468" s="4">
        <v>85890.0</v>
      </c>
      <c r="L468" s="8">
        <f t="shared" si="3"/>
        <v>85890</v>
      </c>
    </row>
    <row r="469">
      <c r="A469" s="2" t="s">
        <v>2882</v>
      </c>
      <c r="C469" s="14" t="s">
        <v>2883</v>
      </c>
      <c r="F469" s="4">
        <v>85890.0</v>
      </c>
      <c r="L469" s="8">
        <f t="shared" si="3"/>
        <v>85890</v>
      </c>
    </row>
    <row r="470">
      <c r="A470" s="2" t="s">
        <v>2884</v>
      </c>
      <c r="C470" s="14" t="s">
        <v>2885</v>
      </c>
      <c r="F470" s="4">
        <v>85890.0</v>
      </c>
      <c r="L470" s="8">
        <f t="shared" si="3"/>
        <v>85890</v>
      </c>
    </row>
    <row r="471">
      <c r="A471" s="2" t="s">
        <v>2888</v>
      </c>
      <c r="C471" s="14" t="s">
        <v>2889</v>
      </c>
      <c r="F471" s="4">
        <v>91390.0</v>
      </c>
      <c r="L471" s="8">
        <f t="shared" si="3"/>
        <v>91390</v>
      </c>
    </row>
    <row r="472">
      <c r="A472" s="2" t="s">
        <v>2892</v>
      </c>
      <c r="C472" s="14" t="s">
        <v>2893</v>
      </c>
      <c r="F472" s="4">
        <v>91390.0</v>
      </c>
      <c r="L472" s="8">
        <f t="shared" si="3"/>
        <v>91390</v>
      </c>
    </row>
    <row r="473">
      <c r="A473" s="2" t="s">
        <v>2896</v>
      </c>
      <c r="C473" s="14" t="s">
        <v>2897</v>
      </c>
      <c r="F473" s="4">
        <v>91390.0</v>
      </c>
      <c r="L473" s="8">
        <f t="shared" si="3"/>
        <v>91390</v>
      </c>
    </row>
    <row r="474">
      <c r="A474" s="2" t="s">
        <v>2900</v>
      </c>
      <c r="C474" s="14" t="s">
        <v>2901</v>
      </c>
      <c r="F474" s="4">
        <v>91390.0</v>
      </c>
      <c r="L474" s="8">
        <f t="shared" si="3"/>
        <v>91390</v>
      </c>
    </row>
    <row r="475">
      <c r="A475" s="2" t="s">
        <v>2903</v>
      </c>
      <c r="C475" s="14" t="s">
        <v>2904</v>
      </c>
      <c r="F475" s="4">
        <v>95390.0</v>
      </c>
      <c r="L475" s="8">
        <f t="shared" si="3"/>
        <v>95390</v>
      </c>
    </row>
    <row r="476">
      <c r="A476" s="2" t="s">
        <v>2907</v>
      </c>
      <c r="C476" s="14" t="s">
        <v>2908</v>
      </c>
      <c r="F476" s="4">
        <v>95390.0</v>
      </c>
      <c r="L476" s="8">
        <f t="shared" si="3"/>
        <v>95390</v>
      </c>
    </row>
    <row r="477">
      <c r="A477" s="2" t="s">
        <v>2911</v>
      </c>
      <c r="C477" s="14" t="s">
        <v>2912</v>
      </c>
      <c r="F477" s="4">
        <v>95390.0</v>
      </c>
      <c r="L477" s="8">
        <f t="shared" si="3"/>
        <v>95390</v>
      </c>
    </row>
    <row r="478">
      <c r="A478" s="2" t="s">
        <v>2915</v>
      </c>
      <c r="C478" s="14" t="s">
        <v>2916</v>
      </c>
      <c r="F478" s="4">
        <v>95390.0</v>
      </c>
      <c r="L478" s="8">
        <f t="shared" si="3"/>
        <v>95390</v>
      </c>
    </row>
    <row r="479">
      <c r="A479" s="2" t="s">
        <v>2919</v>
      </c>
      <c r="C479" s="14" t="s">
        <v>2920</v>
      </c>
      <c r="F479" s="4">
        <v>101890.0</v>
      </c>
      <c r="L479" s="8">
        <f t="shared" si="3"/>
        <v>101890</v>
      </c>
    </row>
    <row r="480">
      <c r="A480" s="2" t="s">
        <v>2922</v>
      </c>
      <c r="C480" s="14" t="s">
        <v>2923</v>
      </c>
      <c r="F480" s="4">
        <v>101890.0</v>
      </c>
      <c r="L480" s="8">
        <f t="shared" si="3"/>
        <v>101890</v>
      </c>
    </row>
    <row r="481">
      <c r="A481" s="2" t="s">
        <v>2926</v>
      </c>
      <c r="C481" s="14" t="s">
        <v>2927</v>
      </c>
      <c r="F481" s="4">
        <v>101890.0</v>
      </c>
      <c r="L481" s="8">
        <f t="shared" si="3"/>
        <v>101890</v>
      </c>
    </row>
    <row r="482">
      <c r="A482" s="2" t="s">
        <v>2930</v>
      </c>
      <c r="C482" s="14" t="s">
        <v>2931</v>
      </c>
      <c r="F482" s="4">
        <v>101890.0</v>
      </c>
      <c r="L482" s="8">
        <f t="shared" si="3"/>
        <v>101890</v>
      </c>
    </row>
    <row r="483">
      <c r="A483" s="2" t="s">
        <v>2934</v>
      </c>
      <c r="C483" s="14" t="s">
        <v>2935</v>
      </c>
      <c r="F483" s="2">
        <v>104390.0</v>
      </c>
      <c r="L483" s="8">
        <f t="shared" si="3"/>
        <v>104390</v>
      </c>
    </row>
    <row r="484">
      <c r="A484" s="2" t="s">
        <v>2936</v>
      </c>
      <c r="C484" s="14" t="s">
        <v>2937</v>
      </c>
      <c r="F484" s="4">
        <v>104390.0</v>
      </c>
      <c r="L484" s="8">
        <f t="shared" si="3"/>
        <v>104390</v>
      </c>
    </row>
    <row r="485">
      <c r="A485" s="2" t="s">
        <v>2938</v>
      </c>
      <c r="C485" s="14" t="s">
        <v>2939</v>
      </c>
      <c r="F485" s="4">
        <v>117390.0</v>
      </c>
      <c r="L485" s="8">
        <f t="shared" si="3"/>
        <v>117390</v>
      </c>
    </row>
    <row r="486">
      <c r="A486" s="2" t="s">
        <v>2940</v>
      </c>
      <c r="C486" s="14" t="s">
        <v>2941</v>
      </c>
      <c r="F486" s="4">
        <v>117390.0</v>
      </c>
      <c r="L486" s="8">
        <f t="shared" si="3"/>
        <v>117390</v>
      </c>
    </row>
    <row r="487">
      <c r="A487" s="2" t="s">
        <v>2942</v>
      </c>
      <c r="C487" s="14" t="s">
        <v>2943</v>
      </c>
      <c r="F487" s="4">
        <v>131390.0</v>
      </c>
      <c r="L487" s="8">
        <f t="shared" si="3"/>
        <v>131390</v>
      </c>
    </row>
    <row r="488">
      <c r="A488" s="2" t="s">
        <v>2944</v>
      </c>
      <c r="C488" s="14" t="s">
        <v>2945</v>
      </c>
      <c r="F488" s="4">
        <v>131390.0</v>
      </c>
      <c r="L488" s="8">
        <f t="shared" si="3"/>
        <v>131390</v>
      </c>
    </row>
    <row r="489">
      <c r="A489" s="2" t="s">
        <v>2946</v>
      </c>
      <c r="C489" s="14" t="s">
        <v>2947</v>
      </c>
      <c r="F489" s="4">
        <v>82390.0</v>
      </c>
      <c r="L489" s="8">
        <f t="shared" si="3"/>
        <v>82390</v>
      </c>
    </row>
    <row r="490">
      <c r="A490" s="2" t="s">
        <v>2948</v>
      </c>
      <c r="C490" s="14" t="s">
        <v>2949</v>
      </c>
      <c r="F490" s="4">
        <v>82390.0</v>
      </c>
      <c r="L490" s="8">
        <f t="shared" si="3"/>
        <v>82390</v>
      </c>
    </row>
    <row r="491">
      <c r="A491" s="2" t="s">
        <v>2950</v>
      </c>
      <c r="C491" s="14" t="s">
        <v>2951</v>
      </c>
      <c r="F491" s="4">
        <v>82390.0</v>
      </c>
      <c r="L491" s="8">
        <f t="shared" si="3"/>
        <v>82390</v>
      </c>
    </row>
    <row r="492">
      <c r="A492" s="2" t="s">
        <v>2952</v>
      </c>
      <c r="C492" s="14" t="s">
        <v>2953</v>
      </c>
      <c r="F492" s="4">
        <v>82390.0</v>
      </c>
      <c r="L492" s="8">
        <f t="shared" si="3"/>
        <v>82390</v>
      </c>
    </row>
    <row r="493">
      <c r="A493" s="2" t="s">
        <v>2954</v>
      </c>
      <c r="C493" s="14" t="s">
        <v>2955</v>
      </c>
      <c r="F493" s="4">
        <v>101890.0</v>
      </c>
      <c r="L493" s="8">
        <f t="shared" si="3"/>
        <v>101890</v>
      </c>
    </row>
    <row r="494">
      <c r="A494" s="2" t="s">
        <v>2956</v>
      </c>
      <c r="C494" s="14" t="s">
        <v>2957</v>
      </c>
      <c r="F494" s="4">
        <v>101890.0</v>
      </c>
      <c r="L494" s="8">
        <f t="shared" si="3"/>
        <v>101890</v>
      </c>
    </row>
    <row r="495">
      <c r="A495" s="2" t="s">
        <v>2958</v>
      </c>
      <c r="C495" s="14" t="s">
        <v>2959</v>
      </c>
      <c r="F495" s="4">
        <v>101890.0</v>
      </c>
      <c r="L495" s="8">
        <f t="shared" si="3"/>
        <v>101890</v>
      </c>
    </row>
    <row r="496">
      <c r="A496" s="2" t="s">
        <v>2960</v>
      </c>
      <c r="C496" s="14" t="s">
        <v>2961</v>
      </c>
      <c r="F496" s="4">
        <v>101890.0</v>
      </c>
      <c r="L496" s="8">
        <f t="shared" si="3"/>
        <v>101890</v>
      </c>
    </row>
    <row r="497">
      <c r="A497" s="2" t="s">
        <v>2962</v>
      </c>
      <c r="C497" s="14" t="s">
        <v>2963</v>
      </c>
      <c r="F497" s="4">
        <v>109890.0</v>
      </c>
      <c r="L497" s="8">
        <f t="shared" si="3"/>
        <v>109890</v>
      </c>
    </row>
    <row r="498">
      <c r="A498" s="2" t="s">
        <v>2964</v>
      </c>
      <c r="C498" s="14" t="s">
        <v>2965</v>
      </c>
      <c r="F498" s="4">
        <v>109890.0</v>
      </c>
      <c r="L498" s="8">
        <f t="shared" si="3"/>
        <v>109890</v>
      </c>
    </row>
    <row r="499">
      <c r="A499" s="2" t="s">
        <v>2966</v>
      </c>
      <c r="C499" s="14" t="s">
        <v>2967</v>
      </c>
      <c r="F499" s="4">
        <v>109890.0</v>
      </c>
      <c r="L499" s="8">
        <f t="shared" si="3"/>
        <v>109890</v>
      </c>
    </row>
    <row r="500">
      <c r="A500" s="2" t="s">
        <v>2968</v>
      </c>
      <c r="C500" s="14" t="s">
        <v>2969</v>
      </c>
      <c r="F500" s="4">
        <v>109890.0</v>
      </c>
      <c r="L500" s="8">
        <f t="shared" si="3"/>
        <v>109890</v>
      </c>
    </row>
    <row r="501">
      <c r="A501" s="2" t="s">
        <v>2970</v>
      </c>
      <c r="C501" s="14" t="s">
        <v>2971</v>
      </c>
      <c r="F501" s="4">
        <v>49890.0</v>
      </c>
      <c r="L501" s="8">
        <f t="shared" si="3"/>
        <v>49890</v>
      </c>
    </row>
    <row r="502">
      <c r="A502" s="2" t="s">
        <v>2972</v>
      </c>
      <c r="C502" s="14" t="s">
        <v>2973</v>
      </c>
      <c r="F502" s="4">
        <v>49890.0</v>
      </c>
      <c r="L502" s="8">
        <f t="shared" si="3"/>
        <v>49890</v>
      </c>
    </row>
    <row r="503">
      <c r="A503" s="2" t="s">
        <v>2974</v>
      </c>
      <c r="C503" s="14" t="s">
        <v>2975</v>
      </c>
      <c r="F503" s="4">
        <v>49890.0</v>
      </c>
      <c r="L503" s="8">
        <f t="shared" si="3"/>
        <v>49890</v>
      </c>
    </row>
    <row r="504">
      <c r="A504" s="2" t="s">
        <v>2976</v>
      </c>
      <c r="C504" s="14" t="s">
        <v>2977</v>
      </c>
      <c r="F504" s="4">
        <v>49890.0</v>
      </c>
      <c r="L504" s="8">
        <f t="shared" si="3"/>
        <v>49890</v>
      </c>
    </row>
    <row r="505">
      <c r="A505" s="2" t="s">
        <v>2978</v>
      </c>
      <c r="C505" s="14" t="s">
        <v>2979</v>
      </c>
      <c r="F505" s="4">
        <v>52890.0</v>
      </c>
      <c r="L505" s="8">
        <f t="shared" si="3"/>
        <v>52890</v>
      </c>
    </row>
    <row r="506">
      <c r="A506" s="2" t="s">
        <v>2980</v>
      </c>
      <c r="C506" s="14" t="s">
        <v>2981</v>
      </c>
      <c r="F506" s="4">
        <v>52890.0</v>
      </c>
      <c r="L506" s="8">
        <f t="shared" si="3"/>
        <v>52890</v>
      </c>
    </row>
    <row r="507">
      <c r="A507" s="2" t="s">
        <v>2982</v>
      </c>
      <c r="C507" s="14" t="s">
        <v>2983</v>
      </c>
      <c r="F507" s="4">
        <v>52890.0</v>
      </c>
      <c r="L507" s="8">
        <f t="shared" si="3"/>
        <v>52890</v>
      </c>
    </row>
    <row r="508">
      <c r="A508" s="2" t="s">
        <v>2984</v>
      </c>
      <c r="C508" s="14" t="s">
        <v>2985</v>
      </c>
      <c r="F508" s="4">
        <v>52890.0</v>
      </c>
      <c r="L508" s="8">
        <f t="shared" si="3"/>
        <v>52890</v>
      </c>
    </row>
    <row r="509">
      <c r="A509" s="2" t="s">
        <v>2986</v>
      </c>
      <c r="C509" s="14" t="s">
        <v>2987</v>
      </c>
      <c r="F509" s="4">
        <v>40390.0</v>
      </c>
      <c r="L509" s="8">
        <f t="shared" si="3"/>
        <v>40390</v>
      </c>
    </row>
    <row r="510">
      <c r="A510" s="2" t="s">
        <v>2988</v>
      </c>
      <c r="C510" s="14" t="s">
        <v>2989</v>
      </c>
      <c r="F510" s="4">
        <v>40890.0</v>
      </c>
      <c r="L510" s="8">
        <f t="shared" si="3"/>
        <v>40890</v>
      </c>
    </row>
    <row r="511">
      <c r="A511" s="2" t="s">
        <v>2990</v>
      </c>
      <c r="C511" s="14" t="s">
        <v>2991</v>
      </c>
      <c r="F511" s="4">
        <v>40890.0</v>
      </c>
      <c r="L511" s="8">
        <f t="shared" si="3"/>
        <v>40890</v>
      </c>
    </row>
    <row r="512">
      <c r="A512" s="2" t="s">
        <v>2992</v>
      </c>
      <c r="C512" s="14" t="s">
        <v>2993</v>
      </c>
      <c r="F512" s="4">
        <v>40890.0</v>
      </c>
      <c r="L512" s="8">
        <f t="shared" si="3"/>
        <v>40890</v>
      </c>
    </row>
    <row r="513">
      <c r="A513" s="2" t="s">
        <v>2994</v>
      </c>
      <c r="C513" s="14" t="s">
        <v>2995</v>
      </c>
      <c r="F513" s="4">
        <v>50390.0</v>
      </c>
      <c r="L513" s="8">
        <f t="shared" si="3"/>
        <v>50390</v>
      </c>
    </row>
    <row r="514">
      <c r="A514" s="2" t="s">
        <v>2996</v>
      </c>
      <c r="C514" s="14" t="s">
        <v>2997</v>
      </c>
      <c r="F514" s="4">
        <v>50390.0</v>
      </c>
      <c r="L514" s="8">
        <f t="shared" si="3"/>
        <v>50390</v>
      </c>
    </row>
    <row r="515">
      <c r="A515" s="2" t="s">
        <v>2998</v>
      </c>
      <c r="C515" s="14" t="s">
        <v>2999</v>
      </c>
      <c r="F515" s="4">
        <v>50390.0</v>
      </c>
      <c r="L515" s="8">
        <f t="shared" si="3"/>
        <v>50390</v>
      </c>
    </row>
    <row r="516">
      <c r="A516" s="2" t="s">
        <v>3000</v>
      </c>
      <c r="C516" s="14" t="s">
        <v>3001</v>
      </c>
      <c r="F516" s="4">
        <v>50390.0</v>
      </c>
      <c r="L516" s="8">
        <f t="shared" si="3"/>
        <v>50390</v>
      </c>
    </row>
    <row r="517">
      <c r="A517" s="2" t="s">
        <v>3002</v>
      </c>
      <c r="C517" s="14" t="s">
        <v>3003</v>
      </c>
      <c r="F517" s="4">
        <v>56890.0</v>
      </c>
      <c r="L517" s="8">
        <f t="shared" si="3"/>
        <v>56890</v>
      </c>
    </row>
    <row r="518">
      <c r="A518" s="2" t="s">
        <v>3004</v>
      </c>
      <c r="C518" s="14" t="s">
        <v>3005</v>
      </c>
      <c r="F518" s="4">
        <v>56890.0</v>
      </c>
      <c r="L518" s="8">
        <f t="shared" si="3"/>
        <v>56890</v>
      </c>
    </row>
    <row r="519">
      <c r="A519" s="2" t="s">
        <v>3006</v>
      </c>
      <c r="C519" s="14" t="s">
        <v>3007</v>
      </c>
      <c r="F519" s="4">
        <v>56890.0</v>
      </c>
      <c r="L519" s="8">
        <f t="shared" si="3"/>
        <v>56890</v>
      </c>
    </row>
    <row r="520">
      <c r="A520" s="2" t="s">
        <v>3008</v>
      </c>
      <c r="C520" s="14" t="s">
        <v>3009</v>
      </c>
      <c r="F520" s="4">
        <v>60890.0</v>
      </c>
      <c r="L520" s="8">
        <f t="shared" si="3"/>
        <v>60890</v>
      </c>
    </row>
    <row r="521">
      <c r="A521" s="2" t="s">
        <v>3010</v>
      </c>
      <c r="C521" s="14" t="s">
        <v>3011</v>
      </c>
      <c r="F521" s="4">
        <v>60890.0</v>
      </c>
      <c r="L521" s="8">
        <f t="shared" si="3"/>
        <v>60890</v>
      </c>
    </row>
    <row r="522">
      <c r="A522" s="2" t="s">
        <v>3012</v>
      </c>
      <c r="C522" s="14" t="s">
        <v>3013</v>
      </c>
      <c r="F522" s="4">
        <v>60890.0</v>
      </c>
      <c r="L522" s="8">
        <f t="shared" si="3"/>
        <v>60890</v>
      </c>
    </row>
    <row r="523">
      <c r="A523" s="2" t="s">
        <v>3014</v>
      </c>
      <c r="C523" s="14" t="s">
        <v>3015</v>
      </c>
      <c r="F523" s="4">
        <v>66390.0</v>
      </c>
      <c r="L523" s="8">
        <f t="shared" si="3"/>
        <v>66390</v>
      </c>
    </row>
    <row r="524">
      <c r="A524" s="2" t="s">
        <v>3016</v>
      </c>
      <c r="C524" s="14" t="s">
        <v>3017</v>
      </c>
      <c r="F524" s="4">
        <v>66390.0</v>
      </c>
      <c r="L524" s="8">
        <f t="shared" si="3"/>
        <v>66390</v>
      </c>
    </row>
    <row r="525">
      <c r="A525" s="2" t="s">
        <v>3018</v>
      </c>
      <c r="C525" s="14" t="s">
        <v>3019</v>
      </c>
      <c r="F525" s="4">
        <v>66390.0</v>
      </c>
      <c r="L525" s="8">
        <f t="shared" si="3"/>
        <v>66390</v>
      </c>
    </row>
    <row r="526">
      <c r="A526" s="2" t="s">
        <v>3020</v>
      </c>
      <c r="C526" s="14" t="s">
        <v>3021</v>
      </c>
      <c r="F526" s="4">
        <v>80390.0</v>
      </c>
      <c r="L526" s="8">
        <f t="shared" si="3"/>
        <v>80390</v>
      </c>
    </row>
    <row r="527">
      <c r="A527" s="2" t="s">
        <v>3022</v>
      </c>
      <c r="C527" s="14" t="s">
        <v>3023</v>
      </c>
      <c r="F527" s="4">
        <v>80390.0</v>
      </c>
      <c r="L527" s="8">
        <f t="shared" si="3"/>
        <v>80390</v>
      </c>
    </row>
    <row r="528">
      <c r="A528" s="2" t="s">
        <v>3024</v>
      </c>
      <c r="C528" s="14" t="s">
        <v>3025</v>
      </c>
      <c r="F528" s="4">
        <v>80390.0</v>
      </c>
      <c r="L528" s="8">
        <f t="shared" si="3"/>
        <v>80390</v>
      </c>
    </row>
    <row r="529">
      <c r="A529" s="2" t="s">
        <v>3026</v>
      </c>
      <c r="C529" s="14" t="s">
        <v>3027</v>
      </c>
      <c r="F529" s="4">
        <v>80390.0</v>
      </c>
      <c r="L529" s="8">
        <f t="shared" si="3"/>
        <v>80390</v>
      </c>
    </row>
    <row r="530">
      <c r="A530" s="2" t="s">
        <v>3028</v>
      </c>
      <c r="C530" s="14" t="s">
        <v>3029</v>
      </c>
      <c r="F530" s="4">
        <v>89890.0</v>
      </c>
      <c r="L530" s="8">
        <f t="shared" si="3"/>
        <v>89890</v>
      </c>
    </row>
    <row r="531">
      <c r="A531" s="2" t="s">
        <v>3030</v>
      </c>
      <c r="C531" s="14" t="s">
        <v>3031</v>
      </c>
      <c r="F531" s="4">
        <v>89890.0</v>
      </c>
      <c r="L531" s="8">
        <f t="shared" si="3"/>
        <v>89890</v>
      </c>
    </row>
    <row r="532">
      <c r="A532" s="2" t="s">
        <v>3032</v>
      </c>
      <c r="C532" s="14" t="s">
        <v>3033</v>
      </c>
      <c r="F532" s="4">
        <v>89890.0</v>
      </c>
      <c r="L532" s="8">
        <f t="shared" si="3"/>
        <v>89890</v>
      </c>
    </row>
    <row r="533">
      <c r="A533" s="2" t="s">
        <v>3035</v>
      </c>
      <c r="C533" s="14" t="s">
        <v>3036</v>
      </c>
      <c r="F533" s="4">
        <v>89890.0</v>
      </c>
      <c r="L533" s="8">
        <f t="shared" si="3"/>
        <v>89890</v>
      </c>
    </row>
    <row r="534">
      <c r="A534" s="2" t="s">
        <v>3037</v>
      </c>
      <c r="C534" s="14" t="s">
        <v>3038</v>
      </c>
      <c r="F534" s="4">
        <v>93390.0</v>
      </c>
      <c r="L534" s="8">
        <f t="shared" si="3"/>
        <v>93390</v>
      </c>
    </row>
    <row r="535">
      <c r="A535" s="2" t="s">
        <v>3039</v>
      </c>
      <c r="C535" s="14" t="s">
        <v>3040</v>
      </c>
      <c r="F535" s="4">
        <v>130390.0</v>
      </c>
      <c r="L535" s="8">
        <f t="shared" si="3"/>
        <v>130390</v>
      </c>
    </row>
    <row r="536">
      <c r="A536" s="2" t="s">
        <v>3041</v>
      </c>
      <c r="C536" s="14" t="s">
        <v>3042</v>
      </c>
      <c r="F536" s="4">
        <v>130390.0</v>
      </c>
      <c r="L536" s="8">
        <f t="shared" si="3"/>
        <v>130390</v>
      </c>
    </row>
    <row r="537">
      <c r="A537" s="2" t="s">
        <v>3044</v>
      </c>
      <c r="C537" s="14" t="s">
        <v>3045</v>
      </c>
      <c r="F537" s="4">
        <v>161890.0</v>
      </c>
      <c r="L537" s="8">
        <f t="shared" si="3"/>
        <v>161890</v>
      </c>
    </row>
    <row r="538">
      <c r="A538" s="2" t="s">
        <v>3046</v>
      </c>
      <c r="C538" s="14" t="s">
        <v>3047</v>
      </c>
      <c r="F538" s="4">
        <v>161890.0</v>
      </c>
      <c r="L538" s="8">
        <f t="shared" si="3"/>
        <v>161890</v>
      </c>
    </row>
    <row r="539">
      <c r="A539" s="2" t="s">
        <v>3049</v>
      </c>
      <c r="C539" s="14" t="s">
        <v>3050</v>
      </c>
      <c r="F539" s="4">
        <v>211390.0</v>
      </c>
      <c r="L539" s="8">
        <f t="shared" si="3"/>
        <v>211390</v>
      </c>
    </row>
    <row r="540">
      <c r="A540" s="2" t="s">
        <v>3054</v>
      </c>
      <c r="C540" s="14" t="s">
        <v>3055</v>
      </c>
      <c r="F540" s="4">
        <v>95890.0</v>
      </c>
      <c r="L540" s="8">
        <f t="shared" si="3"/>
        <v>95890</v>
      </c>
    </row>
    <row r="541">
      <c r="A541" s="2" t="s">
        <v>3057</v>
      </c>
      <c r="C541" s="14" t="s">
        <v>3058</v>
      </c>
      <c r="F541" s="4">
        <v>95890.0</v>
      </c>
      <c r="L541" s="8">
        <f t="shared" si="3"/>
        <v>95890</v>
      </c>
    </row>
    <row r="542">
      <c r="A542" s="2" t="s">
        <v>3060</v>
      </c>
      <c r="C542" s="14" t="s">
        <v>3061</v>
      </c>
      <c r="F542" s="4">
        <v>95890.0</v>
      </c>
      <c r="L542" s="8">
        <f t="shared" si="3"/>
        <v>95890</v>
      </c>
    </row>
    <row r="543">
      <c r="A543" s="2" t="s">
        <v>3063</v>
      </c>
      <c r="C543" s="14" t="s">
        <v>3064</v>
      </c>
      <c r="F543" s="4">
        <v>95890.0</v>
      </c>
      <c r="L543" s="8">
        <f t="shared" si="3"/>
        <v>95890</v>
      </c>
    </row>
    <row r="544">
      <c r="A544" s="2" t="s">
        <v>3066</v>
      </c>
      <c r="C544" s="14" t="s">
        <v>3067</v>
      </c>
      <c r="F544" s="4">
        <v>112390.0</v>
      </c>
      <c r="L544" s="8">
        <f t="shared" si="3"/>
        <v>112390</v>
      </c>
    </row>
    <row r="545">
      <c r="A545" s="2" t="s">
        <v>3069</v>
      </c>
      <c r="C545" s="14" t="s">
        <v>3070</v>
      </c>
      <c r="F545" s="4">
        <v>112390.0</v>
      </c>
      <c r="L545" s="8">
        <f t="shared" si="3"/>
        <v>112390</v>
      </c>
    </row>
    <row r="546">
      <c r="A546" s="2" t="s">
        <v>3072</v>
      </c>
      <c r="C546" s="14" t="s">
        <v>3073</v>
      </c>
      <c r="F546" s="4">
        <v>112390.0</v>
      </c>
      <c r="L546" s="8">
        <f t="shared" si="3"/>
        <v>112390</v>
      </c>
    </row>
    <row r="547">
      <c r="A547" s="2" t="s">
        <v>3074</v>
      </c>
      <c r="C547" s="14" t="s">
        <v>3076</v>
      </c>
      <c r="F547" s="4">
        <v>112390.0</v>
      </c>
      <c r="L547" s="8">
        <f t="shared" si="3"/>
        <v>112390</v>
      </c>
    </row>
    <row r="548">
      <c r="A548" s="2" t="s">
        <v>3077</v>
      </c>
      <c r="C548" s="14" t="s">
        <v>3078</v>
      </c>
      <c r="F548" s="4">
        <v>156390.0</v>
      </c>
      <c r="L548" s="8">
        <f t="shared" si="3"/>
        <v>156390</v>
      </c>
    </row>
    <row r="549">
      <c r="A549" s="2" t="s">
        <v>3079</v>
      </c>
      <c r="C549" s="14" t="s">
        <v>3080</v>
      </c>
      <c r="F549" s="4">
        <v>52890.0</v>
      </c>
      <c r="L549" s="8">
        <f t="shared" si="3"/>
        <v>52890</v>
      </c>
    </row>
    <row r="550">
      <c r="A550" s="2" t="s">
        <v>3081</v>
      </c>
      <c r="C550" s="14" t="s">
        <v>3082</v>
      </c>
      <c r="F550" s="4">
        <v>52890.0</v>
      </c>
      <c r="L550" s="8">
        <f t="shared" si="3"/>
        <v>52890</v>
      </c>
    </row>
    <row r="551">
      <c r="A551" s="2" t="s">
        <v>3083</v>
      </c>
      <c r="C551" s="14" t="s">
        <v>3084</v>
      </c>
      <c r="F551" s="4">
        <v>52890.0</v>
      </c>
      <c r="L551" s="8">
        <f t="shared" si="3"/>
        <v>52890</v>
      </c>
    </row>
    <row r="552">
      <c r="A552" s="2" t="s">
        <v>3085</v>
      </c>
      <c r="C552" s="14" t="s">
        <v>3086</v>
      </c>
      <c r="F552" s="4">
        <v>52890.0</v>
      </c>
      <c r="L552" s="8">
        <f t="shared" si="3"/>
        <v>52890</v>
      </c>
    </row>
    <row r="553">
      <c r="A553" s="2" t="s">
        <v>3087</v>
      </c>
      <c r="C553" s="14" t="s">
        <v>3088</v>
      </c>
      <c r="F553" s="4">
        <v>62890.0</v>
      </c>
      <c r="L553" s="8">
        <f t="shared" si="3"/>
        <v>62890</v>
      </c>
    </row>
    <row r="554">
      <c r="A554" s="2" t="s">
        <v>3089</v>
      </c>
      <c r="C554" s="14" t="s">
        <v>3090</v>
      </c>
      <c r="F554" s="4">
        <v>62890.0</v>
      </c>
      <c r="L554" s="8">
        <f t="shared" si="3"/>
        <v>62890</v>
      </c>
    </row>
    <row r="555">
      <c r="A555" s="2" t="s">
        <v>3091</v>
      </c>
      <c r="C555" s="14" t="s">
        <v>3092</v>
      </c>
      <c r="F555" s="4">
        <v>62890.0</v>
      </c>
      <c r="L555" s="8">
        <f t="shared" si="3"/>
        <v>62890</v>
      </c>
    </row>
    <row r="556">
      <c r="A556" s="2" t="s">
        <v>3093</v>
      </c>
      <c r="C556" s="14" t="s">
        <v>3094</v>
      </c>
      <c r="F556" s="4">
        <v>62890.0</v>
      </c>
      <c r="L556" s="8">
        <f t="shared" si="3"/>
        <v>62890</v>
      </c>
    </row>
    <row r="557">
      <c r="A557" s="2" t="s">
        <v>3095</v>
      </c>
      <c r="C557" s="14" t="s">
        <v>3096</v>
      </c>
      <c r="F557" s="4">
        <v>36890.0</v>
      </c>
      <c r="L557" s="8">
        <f t="shared" si="3"/>
        <v>36890</v>
      </c>
    </row>
    <row r="558">
      <c r="A558" s="2" t="s">
        <v>3097</v>
      </c>
      <c r="C558" s="14" t="s">
        <v>3098</v>
      </c>
      <c r="F558" s="4">
        <v>36890.0</v>
      </c>
      <c r="L558" s="8">
        <f t="shared" si="3"/>
        <v>36890</v>
      </c>
    </row>
    <row r="559">
      <c r="A559" s="2" t="s">
        <v>3099</v>
      </c>
      <c r="C559" s="14" t="s">
        <v>3100</v>
      </c>
      <c r="F559" s="4">
        <v>36890.0</v>
      </c>
      <c r="L559" s="8">
        <f t="shared" si="3"/>
        <v>36890</v>
      </c>
    </row>
    <row r="560">
      <c r="A560" s="2" t="s">
        <v>3101</v>
      </c>
      <c r="C560" s="14" t="s">
        <v>3102</v>
      </c>
      <c r="F560" s="4">
        <v>36890.0</v>
      </c>
      <c r="L560" s="8">
        <f t="shared" si="3"/>
        <v>36890</v>
      </c>
    </row>
    <row r="561">
      <c r="A561" s="2" t="s">
        <v>3103</v>
      </c>
      <c r="C561" s="14" t="s">
        <v>3104</v>
      </c>
      <c r="F561" s="4">
        <v>38890.0</v>
      </c>
      <c r="L561" s="8">
        <f t="shared" si="3"/>
        <v>38890</v>
      </c>
    </row>
    <row r="562">
      <c r="A562" s="2" t="s">
        <v>3105</v>
      </c>
      <c r="C562" s="14" t="s">
        <v>3106</v>
      </c>
      <c r="F562" s="4">
        <v>38890.0</v>
      </c>
      <c r="L562" s="8">
        <f t="shared" si="3"/>
        <v>38890</v>
      </c>
    </row>
    <row r="563">
      <c r="A563" s="2" t="s">
        <v>3107</v>
      </c>
      <c r="C563" s="14" t="s">
        <v>3108</v>
      </c>
      <c r="F563" s="4">
        <v>38890.0</v>
      </c>
      <c r="L563" s="8">
        <f t="shared" si="3"/>
        <v>38890</v>
      </c>
    </row>
    <row r="564">
      <c r="A564" s="2" t="s">
        <v>3109</v>
      </c>
      <c r="C564" s="14" t="s">
        <v>3110</v>
      </c>
      <c r="F564" s="4">
        <v>38890.0</v>
      </c>
      <c r="L564" s="8">
        <f t="shared" si="3"/>
        <v>38890</v>
      </c>
    </row>
    <row r="565">
      <c r="A565" s="2" t="s">
        <v>3111</v>
      </c>
      <c r="C565" s="14" t="s">
        <v>3112</v>
      </c>
      <c r="F565" s="4">
        <v>100390.0</v>
      </c>
      <c r="L565" s="8">
        <f t="shared" si="3"/>
        <v>100390</v>
      </c>
    </row>
    <row r="566">
      <c r="A566" s="2" t="s">
        <v>3113</v>
      </c>
      <c r="C566" s="14" t="s">
        <v>3114</v>
      </c>
      <c r="F566" s="4">
        <v>100390.0</v>
      </c>
      <c r="L566" s="8">
        <f t="shared" si="3"/>
        <v>100390</v>
      </c>
    </row>
    <row r="567">
      <c r="A567" s="2" t="s">
        <v>3115</v>
      </c>
      <c r="C567" s="14" t="s">
        <v>3116</v>
      </c>
      <c r="F567" s="4">
        <v>104390.0</v>
      </c>
      <c r="L567" s="8">
        <f t="shared" si="3"/>
        <v>104390</v>
      </c>
    </row>
    <row r="568">
      <c r="A568" s="2" t="s">
        <v>3117</v>
      </c>
      <c r="C568" s="14" t="s">
        <v>3118</v>
      </c>
      <c r="F568" s="4">
        <v>112890.0</v>
      </c>
      <c r="L568" s="8">
        <f t="shared" si="3"/>
        <v>112890</v>
      </c>
    </row>
    <row r="569">
      <c r="A569" s="2" t="s">
        <v>3119</v>
      </c>
      <c r="C569" s="14" t="s">
        <v>3120</v>
      </c>
      <c r="F569" s="4">
        <v>112890.0</v>
      </c>
      <c r="L569" s="8">
        <f t="shared" si="3"/>
        <v>112890</v>
      </c>
    </row>
    <row r="570">
      <c r="A570" s="2" t="s">
        <v>3121</v>
      </c>
      <c r="C570" s="14" t="s">
        <v>3122</v>
      </c>
      <c r="F570" s="4">
        <v>112890.0</v>
      </c>
      <c r="L570" s="8">
        <f t="shared" si="3"/>
        <v>112890</v>
      </c>
    </row>
    <row r="571">
      <c r="A571" s="2" t="s">
        <v>3124</v>
      </c>
      <c r="L571" s="8" t="str">
        <f t="shared" si="3"/>
        <v/>
      </c>
    </row>
    <row r="572">
      <c r="A572" s="2" t="s">
        <v>3125</v>
      </c>
      <c r="C572" s="14" t="s">
        <v>3126</v>
      </c>
      <c r="F572" s="4">
        <v>105890.0</v>
      </c>
      <c r="L572" s="8">
        <f t="shared" si="3"/>
        <v>105890</v>
      </c>
    </row>
    <row r="573">
      <c r="A573" s="2" t="s">
        <v>3127</v>
      </c>
      <c r="L573" s="8" t="str">
        <f t="shared" si="3"/>
        <v/>
      </c>
    </row>
    <row r="574">
      <c r="A574" s="2" t="s">
        <v>3128</v>
      </c>
      <c r="C574" s="14" t="s">
        <v>3129</v>
      </c>
      <c r="F574" s="4">
        <v>70390.0</v>
      </c>
      <c r="L574" s="8">
        <f t="shared" si="3"/>
        <v>70390</v>
      </c>
    </row>
    <row r="575">
      <c r="A575" s="2" t="s">
        <v>3130</v>
      </c>
      <c r="C575" s="14" t="s">
        <v>3131</v>
      </c>
      <c r="F575" s="4">
        <v>70390.0</v>
      </c>
      <c r="L575" s="8">
        <f t="shared" si="3"/>
        <v>70390</v>
      </c>
    </row>
    <row r="576">
      <c r="A576" s="2" t="s">
        <v>3132</v>
      </c>
      <c r="C576" s="14" t="s">
        <v>3133</v>
      </c>
      <c r="F576" s="4">
        <v>70390.0</v>
      </c>
      <c r="L576" s="8">
        <f t="shared" si="3"/>
        <v>70390</v>
      </c>
    </row>
    <row r="577">
      <c r="A577" s="2" t="s">
        <v>3134</v>
      </c>
      <c r="C577" s="14" t="s">
        <v>3135</v>
      </c>
      <c r="F577" s="4">
        <v>75390.0</v>
      </c>
      <c r="L577" s="8">
        <f t="shared" si="3"/>
        <v>75390</v>
      </c>
    </row>
    <row r="578">
      <c r="A578" s="2" t="s">
        <v>3136</v>
      </c>
      <c r="C578" s="14" t="s">
        <v>3137</v>
      </c>
      <c r="F578" s="4">
        <v>75390.0</v>
      </c>
      <c r="L578" s="8">
        <f t="shared" si="3"/>
        <v>75390</v>
      </c>
    </row>
    <row r="579">
      <c r="A579" s="2" t="s">
        <v>3138</v>
      </c>
      <c r="C579" s="14" t="s">
        <v>3139</v>
      </c>
      <c r="F579" s="4">
        <v>75390.0</v>
      </c>
      <c r="L579" s="8">
        <f t="shared" si="3"/>
        <v>75390</v>
      </c>
    </row>
    <row r="580">
      <c r="A580" s="2" t="s">
        <v>3140</v>
      </c>
      <c r="C580" s="14" t="s">
        <v>3141</v>
      </c>
      <c r="F580" s="4">
        <v>78890.0</v>
      </c>
      <c r="L580" s="8">
        <f t="shared" si="3"/>
        <v>78890</v>
      </c>
    </row>
    <row r="581">
      <c r="A581" s="2" t="s">
        <v>3142</v>
      </c>
      <c r="C581" s="14" t="s">
        <v>3143</v>
      </c>
      <c r="F581" s="4">
        <v>78890.0</v>
      </c>
      <c r="L581" s="8">
        <f t="shared" si="3"/>
        <v>78890</v>
      </c>
    </row>
    <row r="582">
      <c r="A582" s="2" t="s">
        <v>3144</v>
      </c>
      <c r="C582" s="14" t="s">
        <v>3145</v>
      </c>
      <c r="F582" s="4">
        <v>78890.0</v>
      </c>
      <c r="L582" s="8">
        <f t="shared" si="3"/>
        <v>78890</v>
      </c>
    </row>
    <row r="583">
      <c r="A583" s="2" t="s">
        <v>3146</v>
      </c>
      <c r="C583" s="14" t="s">
        <v>3147</v>
      </c>
      <c r="F583" s="4">
        <v>81890.0</v>
      </c>
      <c r="L583" s="8">
        <f t="shared" si="3"/>
        <v>81890</v>
      </c>
    </row>
    <row r="584">
      <c r="A584" s="2" t="s">
        <v>3148</v>
      </c>
      <c r="C584" s="14" t="s">
        <v>3149</v>
      </c>
      <c r="F584" s="4">
        <v>81890.0</v>
      </c>
      <c r="L584" s="8">
        <f t="shared" si="3"/>
        <v>81890</v>
      </c>
    </row>
    <row r="585">
      <c r="A585" s="2" t="s">
        <v>3150</v>
      </c>
      <c r="C585" s="14" t="s">
        <v>3151</v>
      </c>
      <c r="F585" s="4">
        <v>81890.0</v>
      </c>
      <c r="L585" s="8">
        <f t="shared" si="3"/>
        <v>81890</v>
      </c>
    </row>
    <row r="586">
      <c r="A586" s="2" t="s">
        <v>3152</v>
      </c>
      <c r="C586" s="14" t="s">
        <v>3153</v>
      </c>
      <c r="F586" s="4">
        <v>85390.0</v>
      </c>
      <c r="L586" s="8">
        <f t="shared" si="3"/>
        <v>85390</v>
      </c>
    </row>
    <row r="587">
      <c r="A587" s="2" t="s">
        <v>3154</v>
      </c>
      <c r="C587" s="14" t="s">
        <v>3155</v>
      </c>
      <c r="F587" s="4">
        <v>85390.0</v>
      </c>
      <c r="L587" s="8">
        <f t="shared" si="3"/>
        <v>85390</v>
      </c>
    </row>
    <row r="588">
      <c r="A588" s="2" t="s">
        <v>3156</v>
      </c>
      <c r="C588" s="14" t="s">
        <v>3157</v>
      </c>
      <c r="F588" s="4">
        <v>85390.0</v>
      </c>
      <c r="L588" s="8">
        <f t="shared" si="3"/>
        <v>85390</v>
      </c>
    </row>
    <row r="589">
      <c r="A589" s="2" t="s">
        <v>3159</v>
      </c>
      <c r="L589" s="8" t="str">
        <f t="shared" si="3"/>
        <v/>
      </c>
    </row>
    <row r="590">
      <c r="A590" s="2" t="s">
        <v>3160</v>
      </c>
      <c r="C590" s="14" t="s">
        <v>3161</v>
      </c>
      <c r="F590" s="4">
        <v>43890.0</v>
      </c>
      <c r="L590" s="8">
        <f t="shared" si="3"/>
        <v>43890</v>
      </c>
    </row>
    <row r="591">
      <c r="A591" s="2" t="s">
        <v>3163</v>
      </c>
      <c r="C591" s="14" t="s">
        <v>3164</v>
      </c>
      <c r="F591" s="4">
        <v>43890.0</v>
      </c>
      <c r="L591" s="8">
        <f t="shared" si="3"/>
        <v>43890</v>
      </c>
    </row>
    <row r="592">
      <c r="A592" s="2" t="s">
        <v>3165</v>
      </c>
      <c r="C592" s="14" t="s">
        <v>3166</v>
      </c>
      <c r="F592" s="4">
        <v>43890.0</v>
      </c>
      <c r="L592" s="8">
        <f t="shared" si="3"/>
        <v>43890</v>
      </c>
    </row>
    <row r="593">
      <c r="A593" s="2" t="s">
        <v>3168</v>
      </c>
      <c r="C593" s="14" t="s">
        <v>3169</v>
      </c>
      <c r="F593" s="4">
        <v>49390.0</v>
      </c>
      <c r="L593" s="8">
        <f t="shared" si="3"/>
        <v>49390</v>
      </c>
    </row>
    <row r="594">
      <c r="A594" s="2" t="s">
        <v>3170</v>
      </c>
      <c r="C594" s="14" t="s">
        <v>3172</v>
      </c>
      <c r="F594" s="4">
        <v>49390.0</v>
      </c>
      <c r="L594" s="8">
        <f t="shared" si="3"/>
        <v>49390</v>
      </c>
    </row>
    <row r="595">
      <c r="A595" s="2" t="s">
        <v>3173</v>
      </c>
      <c r="C595" s="14" t="s">
        <v>3174</v>
      </c>
      <c r="F595" s="4">
        <v>63890.0</v>
      </c>
      <c r="L595" s="8">
        <f t="shared" si="3"/>
        <v>63890</v>
      </c>
    </row>
    <row r="596">
      <c r="A596" s="2" t="s">
        <v>3175</v>
      </c>
      <c r="C596" s="14" t="s">
        <v>3176</v>
      </c>
      <c r="F596" s="4">
        <v>65890.0</v>
      </c>
      <c r="L596" s="8">
        <f t="shared" si="3"/>
        <v>65890</v>
      </c>
    </row>
    <row r="597">
      <c r="A597" s="2" t="s">
        <v>3177</v>
      </c>
      <c r="C597" s="14" t="s">
        <v>3178</v>
      </c>
      <c r="F597" s="4">
        <v>63890.0</v>
      </c>
      <c r="L597" s="8">
        <f t="shared" si="3"/>
        <v>63890</v>
      </c>
    </row>
    <row r="598">
      <c r="A598" s="2" t="s">
        <v>3179</v>
      </c>
      <c r="C598" s="14" t="s">
        <v>3180</v>
      </c>
      <c r="F598" s="4">
        <v>65890.0</v>
      </c>
      <c r="L598" s="8">
        <f t="shared" si="3"/>
        <v>65890</v>
      </c>
    </row>
    <row r="599">
      <c r="A599" s="2" t="s">
        <v>3182</v>
      </c>
      <c r="C599" s="14" t="s">
        <v>3183</v>
      </c>
      <c r="F599" s="4">
        <v>65890.0</v>
      </c>
      <c r="L599" s="8">
        <f t="shared" si="3"/>
        <v>65890</v>
      </c>
    </row>
    <row r="600">
      <c r="A600" s="2" t="s">
        <v>3184</v>
      </c>
      <c r="C600" s="14" t="s">
        <v>3185</v>
      </c>
      <c r="F600" s="4">
        <v>88390.0</v>
      </c>
      <c r="L600" s="8">
        <f t="shared" si="3"/>
        <v>88390</v>
      </c>
    </row>
    <row r="601">
      <c r="A601" s="2" t="s">
        <v>3187</v>
      </c>
      <c r="C601" s="14" t="s">
        <v>3188</v>
      </c>
      <c r="F601" s="4">
        <v>88390.0</v>
      </c>
      <c r="L601" s="8">
        <f t="shared" si="3"/>
        <v>88390</v>
      </c>
    </row>
    <row r="602">
      <c r="A602" s="2" t="s">
        <v>3189</v>
      </c>
      <c r="C602" s="14" t="s">
        <v>3190</v>
      </c>
      <c r="F602" s="4">
        <v>88390.0</v>
      </c>
      <c r="L602" s="8">
        <f t="shared" si="3"/>
        <v>88390</v>
      </c>
    </row>
    <row r="603">
      <c r="A603" s="2" t="s">
        <v>3191</v>
      </c>
      <c r="C603" s="14" t="s">
        <v>3192</v>
      </c>
      <c r="F603" s="4">
        <v>94890.0</v>
      </c>
      <c r="L603" s="8">
        <f t="shared" si="3"/>
        <v>94890</v>
      </c>
    </row>
    <row r="604">
      <c r="A604" s="2" t="s">
        <v>3193</v>
      </c>
      <c r="C604" s="14" t="s">
        <v>3194</v>
      </c>
      <c r="F604" s="4">
        <v>94890.0</v>
      </c>
      <c r="L604" s="8">
        <f t="shared" si="3"/>
        <v>94890</v>
      </c>
    </row>
    <row r="605">
      <c r="A605" s="2" t="s">
        <v>3195</v>
      </c>
      <c r="L605" s="8" t="str">
        <f t="shared" si="3"/>
        <v/>
      </c>
    </row>
    <row r="606">
      <c r="A606" s="2" t="s">
        <v>3196</v>
      </c>
      <c r="C606" s="14" t="s">
        <v>3197</v>
      </c>
      <c r="F606" s="4">
        <v>22890.0</v>
      </c>
      <c r="L606" s="8">
        <f t="shared" si="3"/>
        <v>22890</v>
      </c>
    </row>
    <row r="607">
      <c r="A607" s="2" t="s">
        <v>3198</v>
      </c>
      <c r="C607" s="14" t="s">
        <v>3199</v>
      </c>
      <c r="F607" s="4">
        <v>36390.0</v>
      </c>
      <c r="L607" s="8">
        <f t="shared" si="3"/>
        <v>36390</v>
      </c>
    </row>
    <row r="608">
      <c r="A608" s="2" t="s">
        <v>3200</v>
      </c>
      <c r="C608" s="14" t="s">
        <v>3201</v>
      </c>
      <c r="F608" s="4">
        <v>17390.0</v>
      </c>
      <c r="L608" s="8">
        <f t="shared" si="3"/>
        <v>17390</v>
      </c>
    </row>
    <row r="609">
      <c r="A609" s="2" t="s">
        <v>3202</v>
      </c>
      <c r="C609" s="14" t="s">
        <v>3203</v>
      </c>
      <c r="F609" s="4">
        <v>17390.0</v>
      </c>
      <c r="L609" s="8">
        <f t="shared" si="3"/>
        <v>17390</v>
      </c>
    </row>
    <row r="610">
      <c r="A610" s="2" t="s">
        <v>3205</v>
      </c>
      <c r="C610" s="14" t="s">
        <v>3206</v>
      </c>
      <c r="F610" s="4">
        <v>17390.0</v>
      </c>
      <c r="L610" s="8">
        <f t="shared" si="3"/>
        <v>17390</v>
      </c>
    </row>
    <row r="611">
      <c r="A611" s="2" t="s">
        <v>3207</v>
      </c>
      <c r="C611" s="14" t="s">
        <v>3208</v>
      </c>
      <c r="F611" s="4">
        <v>17390.0</v>
      </c>
      <c r="L611" s="8">
        <f t="shared" si="3"/>
        <v>17390</v>
      </c>
    </row>
    <row r="612">
      <c r="A612" s="2" t="s">
        <v>3210</v>
      </c>
      <c r="C612" s="14" t="s">
        <v>3211</v>
      </c>
      <c r="F612" s="4">
        <v>18390.0</v>
      </c>
      <c r="L612" s="8">
        <f t="shared" si="3"/>
        <v>18390</v>
      </c>
    </row>
    <row r="613">
      <c r="A613" s="2" t="s">
        <v>3213</v>
      </c>
      <c r="C613" s="14" t="s">
        <v>3214</v>
      </c>
      <c r="F613" s="4">
        <v>18390.0</v>
      </c>
      <c r="L613" s="8">
        <f t="shared" si="3"/>
        <v>18390</v>
      </c>
    </row>
    <row r="614">
      <c r="A614" s="2" t="s">
        <v>3216</v>
      </c>
      <c r="C614" s="14" t="s">
        <v>3217</v>
      </c>
      <c r="F614" s="4">
        <v>18390.0</v>
      </c>
      <c r="L614" s="8">
        <f t="shared" si="3"/>
        <v>18390</v>
      </c>
    </row>
    <row r="615">
      <c r="A615" s="2" t="s">
        <v>3218</v>
      </c>
      <c r="C615" s="14" t="s">
        <v>3219</v>
      </c>
      <c r="F615" s="4">
        <v>18390.0</v>
      </c>
      <c r="L615" s="8">
        <f t="shared" si="3"/>
        <v>18390</v>
      </c>
    </row>
    <row r="616">
      <c r="A616" s="2" t="s">
        <v>3221</v>
      </c>
      <c r="C616" s="14" t="s">
        <v>3222</v>
      </c>
      <c r="F616" s="4">
        <v>18390.0</v>
      </c>
      <c r="L616" s="8">
        <f t="shared" si="3"/>
        <v>18390</v>
      </c>
    </row>
    <row r="617">
      <c r="A617" s="2" t="s">
        <v>3224</v>
      </c>
      <c r="C617" s="14" t="s">
        <v>3225</v>
      </c>
      <c r="F617" s="4">
        <v>18390.0</v>
      </c>
      <c r="L617" s="8">
        <f t="shared" si="3"/>
        <v>18390</v>
      </c>
    </row>
    <row r="618">
      <c r="A618" s="2" t="s">
        <v>3226</v>
      </c>
      <c r="C618" s="14" t="s">
        <v>3227</v>
      </c>
      <c r="F618" s="4">
        <v>18390.0</v>
      </c>
      <c r="L618" s="8">
        <f t="shared" si="3"/>
        <v>18390</v>
      </c>
    </row>
    <row r="619">
      <c r="A619" s="2" t="s">
        <v>3228</v>
      </c>
      <c r="C619" s="14" t="s">
        <v>3230</v>
      </c>
      <c r="F619" s="4">
        <v>19390.0</v>
      </c>
      <c r="L619" s="8">
        <f t="shared" si="3"/>
        <v>19390</v>
      </c>
    </row>
    <row r="620">
      <c r="A620" s="2" t="s">
        <v>3231</v>
      </c>
      <c r="C620" s="14" t="s">
        <v>3232</v>
      </c>
      <c r="F620" s="4">
        <v>19390.0</v>
      </c>
      <c r="L620" s="8">
        <f t="shared" si="3"/>
        <v>19390</v>
      </c>
    </row>
    <row r="621">
      <c r="A621" s="2" t="s">
        <v>3233</v>
      </c>
      <c r="C621" s="14" t="s">
        <v>3234</v>
      </c>
      <c r="F621" s="4">
        <v>19390.0</v>
      </c>
      <c r="L621" s="8">
        <f t="shared" si="3"/>
        <v>19390</v>
      </c>
    </row>
    <row r="622">
      <c r="A622" s="2" t="s">
        <v>3236</v>
      </c>
      <c r="C622" s="14" t="s">
        <v>3237</v>
      </c>
      <c r="F622" s="4">
        <v>19390.0</v>
      </c>
      <c r="L622" s="8">
        <f t="shared" si="3"/>
        <v>19390</v>
      </c>
    </row>
    <row r="623">
      <c r="A623" s="2" t="s">
        <v>3240</v>
      </c>
      <c r="C623" s="14" t="s">
        <v>3241</v>
      </c>
      <c r="F623" s="4">
        <v>23390.0</v>
      </c>
      <c r="L623" s="8">
        <f t="shared" si="3"/>
        <v>23390</v>
      </c>
    </row>
    <row r="624">
      <c r="A624" s="2" t="s">
        <v>3243</v>
      </c>
      <c r="C624" s="14" t="s">
        <v>3244</v>
      </c>
      <c r="F624" s="4">
        <v>23390.0</v>
      </c>
      <c r="L624" s="8">
        <f t="shared" si="3"/>
        <v>23390</v>
      </c>
    </row>
    <row r="625">
      <c r="A625" s="2" t="s">
        <v>3246</v>
      </c>
      <c r="C625" s="14" t="s">
        <v>3247</v>
      </c>
      <c r="F625" s="4">
        <v>23390.0</v>
      </c>
      <c r="L625" s="8">
        <f t="shared" si="3"/>
        <v>23390</v>
      </c>
    </row>
    <row r="626">
      <c r="A626" s="2" t="s">
        <v>3249</v>
      </c>
      <c r="C626" s="14" t="s">
        <v>3250</v>
      </c>
      <c r="F626" s="4">
        <v>25890.0</v>
      </c>
      <c r="L626" s="8">
        <f t="shared" si="3"/>
        <v>25890</v>
      </c>
    </row>
    <row r="627">
      <c r="A627" s="2" t="s">
        <v>3252</v>
      </c>
      <c r="C627" s="14" t="s">
        <v>3253</v>
      </c>
      <c r="F627" s="4">
        <v>25890.0</v>
      </c>
      <c r="L627" s="8">
        <f t="shared" si="3"/>
        <v>25890</v>
      </c>
    </row>
    <row r="628">
      <c r="A628" s="2" t="s">
        <v>3254</v>
      </c>
      <c r="C628" s="14" t="s">
        <v>3255</v>
      </c>
      <c r="F628" s="4">
        <v>25890.0</v>
      </c>
      <c r="L628" s="8">
        <f t="shared" si="3"/>
        <v>25890</v>
      </c>
    </row>
    <row r="629">
      <c r="A629" s="2" t="s">
        <v>3257</v>
      </c>
      <c r="C629" s="14" t="s">
        <v>3258</v>
      </c>
      <c r="F629" s="4">
        <v>26390.0</v>
      </c>
      <c r="L629" s="8">
        <f t="shared" si="3"/>
        <v>26390</v>
      </c>
    </row>
    <row r="630">
      <c r="A630" s="2" t="s">
        <v>3260</v>
      </c>
      <c r="C630" s="14" t="s">
        <v>3261</v>
      </c>
      <c r="F630" s="4">
        <v>26390.0</v>
      </c>
      <c r="L630" s="8">
        <f t="shared" si="3"/>
        <v>26390</v>
      </c>
    </row>
    <row r="631">
      <c r="A631" s="2" t="s">
        <v>3262</v>
      </c>
      <c r="C631" s="14" t="s">
        <v>3263</v>
      </c>
      <c r="F631" s="4">
        <v>26390.0</v>
      </c>
      <c r="L631" s="8">
        <f t="shared" si="3"/>
        <v>26390</v>
      </c>
    </row>
    <row r="632">
      <c r="A632" s="2" t="s">
        <v>3265</v>
      </c>
      <c r="C632" s="14" t="s">
        <v>3266</v>
      </c>
      <c r="F632" s="4">
        <v>26890.0</v>
      </c>
      <c r="L632" s="8">
        <f t="shared" si="3"/>
        <v>26890</v>
      </c>
    </row>
    <row r="633">
      <c r="A633" s="2" t="s">
        <v>3267</v>
      </c>
      <c r="C633" s="14" t="s">
        <v>3268</v>
      </c>
      <c r="F633" s="4">
        <v>26890.0</v>
      </c>
      <c r="L633" s="8">
        <f t="shared" si="3"/>
        <v>26890</v>
      </c>
    </row>
    <row r="634">
      <c r="A634" s="2" t="s">
        <v>3269</v>
      </c>
      <c r="C634" s="14" t="s">
        <v>3270</v>
      </c>
      <c r="F634" s="4">
        <v>28390.0</v>
      </c>
      <c r="L634" s="8">
        <f t="shared" si="3"/>
        <v>28390</v>
      </c>
    </row>
    <row r="635">
      <c r="A635" s="2" t="s">
        <v>3272</v>
      </c>
      <c r="C635" s="14" t="s">
        <v>3273</v>
      </c>
      <c r="F635" s="4">
        <v>28390.0</v>
      </c>
      <c r="L635" s="8">
        <f t="shared" si="3"/>
        <v>28390</v>
      </c>
    </row>
    <row r="636">
      <c r="A636" s="2" t="s">
        <v>3275</v>
      </c>
      <c r="C636" s="14" t="s">
        <v>3276</v>
      </c>
      <c r="F636" s="4">
        <v>28390.0</v>
      </c>
      <c r="L636" s="8">
        <f t="shared" si="3"/>
        <v>28390</v>
      </c>
    </row>
    <row r="637">
      <c r="A637" s="2" t="s">
        <v>3278</v>
      </c>
      <c r="C637" s="14" t="s">
        <v>3279</v>
      </c>
      <c r="F637" s="4">
        <v>28890.0</v>
      </c>
      <c r="L637" s="8">
        <f t="shared" si="3"/>
        <v>28890</v>
      </c>
    </row>
    <row r="638">
      <c r="A638" s="2" t="s">
        <v>3281</v>
      </c>
      <c r="C638" s="14" t="s">
        <v>3282</v>
      </c>
      <c r="F638" s="4">
        <v>28890.0</v>
      </c>
      <c r="L638" s="8">
        <f t="shared" si="3"/>
        <v>28890</v>
      </c>
    </row>
    <row r="639">
      <c r="A639" s="2" t="s">
        <v>3283</v>
      </c>
      <c r="C639" s="14" t="s">
        <v>3284</v>
      </c>
      <c r="F639" s="4">
        <v>28890.0</v>
      </c>
      <c r="L639" s="8">
        <f t="shared" si="3"/>
        <v>28890</v>
      </c>
    </row>
    <row r="640">
      <c r="A640" s="2" t="s">
        <v>3286</v>
      </c>
      <c r="C640" s="14" t="s">
        <v>3287</v>
      </c>
      <c r="F640" s="4">
        <v>29390.0</v>
      </c>
      <c r="L640" s="8">
        <f t="shared" si="3"/>
        <v>29390</v>
      </c>
    </row>
    <row r="641">
      <c r="A641" s="2" t="s">
        <v>3288</v>
      </c>
      <c r="C641" s="14" t="s">
        <v>3289</v>
      </c>
      <c r="F641" s="4">
        <v>29390.0</v>
      </c>
      <c r="L641" s="8">
        <f t="shared" si="3"/>
        <v>29390</v>
      </c>
    </row>
    <row r="642">
      <c r="A642" s="2" t="s">
        <v>3291</v>
      </c>
      <c r="C642" s="14" t="s">
        <v>3292</v>
      </c>
      <c r="F642" s="4">
        <v>29390.0</v>
      </c>
      <c r="L642" s="8">
        <f t="shared" si="3"/>
        <v>29390</v>
      </c>
    </row>
    <row r="643">
      <c r="A643" s="2" t="s">
        <v>3293</v>
      </c>
      <c r="C643" s="14" t="s">
        <v>3294</v>
      </c>
      <c r="F643" s="4">
        <v>30890.0</v>
      </c>
      <c r="L643" s="8">
        <f t="shared" si="3"/>
        <v>30890</v>
      </c>
    </row>
    <row r="644">
      <c r="A644" s="2" t="s">
        <v>3296</v>
      </c>
      <c r="C644" s="14" t="s">
        <v>3297</v>
      </c>
      <c r="F644" s="4">
        <v>30890.0</v>
      </c>
      <c r="L644" s="8">
        <f t="shared" si="3"/>
        <v>30890</v>
      </c>
    </row>
    <row r="645">
      <c r="A645" s="2" t="s">
        <v>3299</v>
      </c>
      <c r="C645" s="14" t="s">
        <v>3300</v>
      </c>
      <c r="F645" s="4">
        <v>30890.0</v>
      </c>
      <c r="L645" s="8">
        <f t="shared" si="3"/>
        <v>30890</v>
      </c>
    </row>
    <row r="646">
      <c r="A646" s="2" t="s">
        <v>3302</v>
      </c>
      <c r="C646" s="14" t="s">
        <v>3303</v>
      </c>
      <c r="F646" s="4">
        <v>33890.0</v>
      </c>
      <c r="L646" s="8">
        <f t="shared" si="3"/>
        <v>33890</v>
      </c>
    </row>
    <row r="647">
      <c r="A647" s="2" t="s">
        <v>3305</v>
      </c>
      <c r="C647" s="14" t="s">
        <v>3306</v>
      </c>
      <c r="F647" s="4">
        <v>33890.0</v>
      </c>
      <c r="L647" s="8">
        <f t="shared" si="3"/>
        <v>33890</v>
      </c>
    </row>
    <row r="648">
      <c r="A648" s="2" t="s">
        <v>3307</v>
      </c>
      <c r="C648" s="14" t="s">
        <v>3309</v>
      </c>
      <c r="F648" s="4">
        <v>33890.0</v>
      </c>
      <c r="L648" s="8">
        <f t="shared" si="3"/>
        <v>33890</v>
      </c>
    </row>
    <row r="649">
      <c r="A649" s="2" t="s">
        <v>3310</v>
      </c>
      <c r="C649" s="14" t="s">
        <v>3311</v>
      </c>
      <c r="F649" s="4">
        <v>34890.0</v>
      </c>
      <c r="L649" s="8">
        <f t="shared" si="3"/>
        <v>34890</v>
      </c>
    </row>
    <row r="650">
      <c r="A650" s="2" t="s">
        <v>3313</v>
      </c>
      <c r="C650" s="14" t="s">
        <v>3314</v>
      </c>
      <c r="F650" s="4">
        <v>34890.0</v>
      </c>
      <c r="L650" s="8">
        <f t="shared" si="3"/>
        <v>34890</v>
      </c>
    </row>
    <row r="651">
      <c r="A651" s="2" t="s">
        <v>3316</v>
      </c>
      <c r="C651" s="14" t="s">
        <v>3317</v>
      </c>
      <c r="F651" s="4">
        <v>34890.0</v>
      </c>
      <c r="L651" s="8">
        <f t="shared" si="3"/>
        <v>34890</v>
      </c>
    </row>
    <row r="652">
      <c r="A652" s="2" t="s">
        <v>3319</v>
      </c>
      <c r="C652" s="14" t="s">
        <v>3320</v>
      </c>
      <c r="F652" s="4">
        <v>36390.0</v>
      </c>
      <c r="L652" s="8">
        <f t="shared" si="3"/>
        <v>36390</v>
      </c>
    </row>
    <row r="653">
      <c r="A653" s="2" t="s">
        <v>3323</v>
      </c>
      <c r="C653" s="14" t="s">
        <v>3324</v>
      </c>
      <c r="F653" s="4">
        <v>36390.0</v>
      </c>
      <c r="L653" s="8">
        <f t="shared" si="3"/>
        <v>36390</v>
      </c>
    </row>
    <row r="654">
      <c r="A654" s="2" t="s">
        <v>3326</v>
      </c>
      <c r="C654" s="14" t="s">
        <v>3327</v>
      </c>
      <c r="F654" s="4">
        <v>41390.0</v>
      </c>
      <c r="L654" s="8">
        <f t="shared" si="3"/>
        <v>41390</v>
      </c>
    </row>
    <row r="655">
      <c r="A655" s="2" t="s">
        <v>3329</v>
      </c>
      <c r="C655" s="14" t="s">
        <v>3331</v>
      </c>
      <c r="F655" s="4">
        <v>41390.0</v>
      </c>
      <c r="L655" s="8">
        <f t="shared" si="3"/>
        <v>41390</v>
      </c>
    </row>
    <row r="656">
      <c r="A656" s="2" t="s">
        <v>3332</v>
      </c>
      <c r="C656" s="14" t="s">
        <v>3333</v>
      </c>
      <c r="F656" s="4">
        <v>41390.0</v>
      </c>
      <c r="L656" s="8">
        <f t="shared" si="3"/>
        <v>41390</v>
      </c>
    </row>
    <row r="657">
      <c r="A657" s="2" t="s">
        <v>3334</v>
      </c>
      <c r="C657" s="14" t="s">
        <v>3335</v>
      </c>
      <c r="F657" s="4">
        <v>43890.0</v>
      </c>
      <c r="L657" s="8">
        <f t="shared" si="3"/>
        <v>43890</v>
      </c>
    </row>
    <row r="658">
      <c r="A658" s="2" t="s">
        <v>3337</v>
      </c>
      <c r="C658" s="14" t="s">
        <v>3338</v>
      </c>
      <c r="F658" s="4">
        <v>43890.0</v>
      </c>
      <c r="L658" s="8">
        <f t="shared" si="3"/>
        <v>43890</v>
      </c>
    </row>
    <row r="659">
      <c r="A659" s="2" t="s">
        <v>3339</v>
      </c>
      <c r="C659" s="14" t="s">
        <v>3341</v>
      </c>
      <c r="F659" s="4">
        <v>43890.0</v>
      </c>
      <c r="L659" s="8">
        <f t="shared" si="3"/>
        <v>43890</v>
      </c>
    </row>
    <row r="660">
      <c r="A660" s="2" t="s">
        <v>3342</v>
      </c>
      <c r="C660" s="14" t="s">
        <v>3343</v>
      </c>
      <c r="F660" s="4">
        <v>44890.0</v>
      </c>
      <c r="L660" s="8">
        <f t="shared" si="3"/>
        <v>44890</v>
      </c>
    </row>
    <row r="661">
      <c r="A661" s="2" t="s">
        <v>3345</v>
      </c>
      <c r="C661" s="14" t="s">
        <v>3346</v>
      </c>
      <c r="F661" s="4">
        <v>44890.0</v>
      </c>
      <c r="L661" s="8">
        <f t="shared" si="3"/>
        <v>44890</v>
      </c>
    </row>
    <row r="662">
      <c r="A662" s="2" t="s">
        <v>3347</v>
      </c>
      <c r="C662" s="14" t="s">
        <v>3348</v>
      </c>
      <c r="F662" s="4">
        <v>44890.0</v>
      </c>
      <c r="L662" s="8">
        <f t="shared" si="3"/>
        <v>44890</v>
      </c>
    </row>
    <row r="663">
      <c r="A663" s="2" t="s">
        <v>3350</v>
      </c>
      <c r="C663" s="14" t="s">
        <v>3351</v>
      </c>
      <c r="F663" s="4">
        <v>47890.0</v>
      </c>
      <c r="L663" s="8">
        <f t="shared" si="3"/>
        <v>47890</v>
      </c>
    </row>
    <row r="664">
      <c r="A664" s="2" t="s">
        <v>3354</v>
      </c>
      <c r="C664" s="14" t="s">
        <v>3355</v>
      </c>
      <c r="F664" s="4">
        <v>47890.0</v>
      </c>
      <c r="L664" s="8">
        <f t="shared" si="3"/>
        <v>47890</v>
      </c>
    </row>
    <row r="665">
      <c r="A665" s="2" t="s">
        <v>3356</v>
      </c>
      <c r="C665" s="14" t="s">
        <v>3357</v>
      </c>
      <c r="F665" s="4">
        <v>47890.0</v>
      </c>
      <c r="L665" s="8">
        <f t="shared" si="3"/>
        <v>47890</v>
      </c>
    </row>
    <row r="666">
      <c r="A666" s="2" t="s">
        <v>3358</v>
      </c>
      <c r="C666" s="14" t="s">
        <v>3359</v>
      </c>
      <c r="F666" s="4">
        <v>50890.0</v>
      </c>
      <c r="L666" s="8">
        <f t="shared" si="3"/>
        <v>50890</v>
      </c>
    </row>
    <row r="667">
      <c r="A667" s="2" t="s">
        <v>3360</v>
      </c>
      <c r="C667" s="14" t="s">
        <v>3361</v>
      </c>
      <c r="F667" s="4">
        <v>50890.0</v>
      </c>
      <c r="L667" s="8">
        <f t="shared" si="3"/>
        <v>50890</v>
      </c>
    </row>
    <row r="668">
      <c r="A668" s="2" t="s">
        <v>3363</v>
      </c>
      <c r="C668" s="14" t="s">
        <v>3364</v>
      </c>
      <c r="F668" s="4">
        <v>50890.0</v>
      </c>
      <c r="L668" s="8">
        <f t="shared" si="3"/>
        <v>50890</v>
      </c>
    </row>
    <row r="669">
      <c r="A669" s="2" t="s">
        <v>3366</v>
      </c>
      <c r="C669" s="14" t="s">
        <v>3367</v>
      </c>
      <c r="F669" s="4">
        <v>50890.0</v>
      </c>
      <c r="L669" s="8">
        <f t="shared" si="3"/>
        <v>50890</v>
      </c>
    </row>
    <row r="670">
      <c r="A670" s="2" t="s">
        <v>3368</v>
      </c>
      <c r="C670" s="14" t="s">
        <v>3369</v>
      </c>
      <c r="F670" s="4">
        <v>58390.0</v>
      </c>
      <c r="L670" s="8">
        <f t="shared" si="3"/>
        <v>58390</v>
      </c>
    </row>
    <row r="671">
      <c r="A671" s="2" t="s">
        <v>3371</v>
      </c>
      <c r="C671" s="14" t="s">
        <v>3372</v>
      </c>
      <c r="F671" s="4">
        <v>74890.0</v>
      </c>
      <c r="L671" s="8">
        <f t="shared" si="3"/>
        <v>74890</v>
      </c>
    </row>
    <row r="672">
      <c r="A672" s="2" t="s">
        <v>3373</v>
      </c>
      <c r="C672" s="14" t="s">
        <v>3374</v>
      </c>
      <c r="F672" s="4">
        <v>41890.0</v>
      </c>
      <c r="L672" s="8">
        <f t="shared" si="3"/>
        <v>41890</v>
      </c>
    </row>
    <row r="673">
      <c r="A673" s="2" t="s">
        <v>3375</v>
      </c>
      <c r="C673" s="14" t="s">
        <v>3376</v>
      </c>
      <c r="F673" s="4">
        <v>41890.0</v>
      </c>
      <c r="L673" s="8">
        <f t="shared" si="3"/>
        <v>41890</v>
      </c>
    </row>
    <row r="674">
      <c r="A674" s="2" t="s">
        <v>3377</v>
      </c>
      <c r="C674" s="14" t="s">
        <v>3378</v>
      </c>
      <c r="F674" s="4">
        <v>41890.0</v>
      </c>
      <c r="L674" s="8">
        <f t="shared" si="3"/>
        <v>41890</v>
      </c>
    </row>
    <row r="675">
      <c r="A675" s="2" t="s">
        <v>3379</v>
      </c>
      <c r="C675" s="14" t="s">
        <v>3380</v>
      </c>
      <c r="F675" s="4">
        <v>56390.0</v>
      </c>
      <c r="L675" s="8">
        <f t="shared" si="3"/>
        <v>56390</v>
      </c>
    </row>
    <row r="676">
      <c r="A676" s="2" t="s">
        <v>3382</v>
      </c>
      <c r="C676" s="14" t="s">
        <v>3383</v>
      </c>
      <c r="F676" s="4">
        <v>56390.0</v>
      </c>
      <c r="L676" s="8">
        <f t="shared" si="3"/>
        <v>56390</v>
      </c>
    </row>
    <row r="677">
      <c r="A677" s="2" t="s">
        <v>3385</v>
      </c>
      <c r="C677" s="14" t="s">
        <v>3386</v>
      </c>
      <c r="F677" s="4">
        <v>56390.0</v>
      </c>
      <c r="L677" s="8">
        <f t="shared" si="3"/>
        <v>56390</v>
      </c>
    </row>
    <row r="678">
      <c r="A678" s="2" t="s">
        <v>3387</v>
      </c>
      <c r="C678" s="14" t="s">
        <v>3388</v>
      </c>
      <c r="F678" s="4">
        <v>58390.0</v>
      </c>
      <c r="L678" s="8">
        <f t="shared" si="3"/>
        <v>58390</v>
      </c>
    </row>
    <row r="679">
      <c r="A679" s="2" t="s">
        <v>3390</v>
      </c>
      <c r="C679" s="14" t="s">
        <v>3391</v>
      </c>
      <c r="F679" s="4">
        <v>58390.0</v>
      </c>
      <c r="L679" s="8">
        <f t="shared" si="3"/>
        <v>58390</v>
      </c>
    </row>
    <row r="680">
      <c r="A680" s="2" t="s">
        <v>3392</v>
      </c>
      <c r="C680" s="14" t="s">
        <v>3393</v>
      </c>
      <c r="F680" s="4">
        <v>65390.0</v>
      </c>
      <c r="L680" s="8">
        <f t="shared" si="3"/>
        <v>65390</v>
      </c>
    </row>
    <row r="681">
      <c r="A681" s="2" t="s">
        <v>3394</v>
      </c>
      <c r="C681" s="14" t="s">
        <v>3395</v>
      </c>
      <c r="F681" s="4">
        <v>65390.0</v>
      </c>
      <c r="L681" s="8">
        <f t="shared" si="3"/>
        <v>65390</v>
      </c>
    </row>
    <row r="682">
      <c r="A682" s="2" t="s">
        <v>3396</v>
      </c>
      <c r="C682" s="14" t="s">
        <v>3397</v>
      </c>
      <c r="F682" s="4">
        <v>65390.0</v>
      </c>
      <c r="L682" s="8">
        <f t="shared" si="3"/>
        <v>65390</v>
      </c>
    </row>
    <row r="683">
      <c r="A683" s="2" t="s">
        <v>3398</v>
      </c>
      <c r="C683" s="14" t="s">
        <v>3399</v>
      </c>
      <c r="F683" s="4">
        <v>73390.0</v>
      </c>
      <c r="L683" s="8">
        <f t="shared" si="3"/>
        <v>73390</v>
      </c>
    </row>
    <row r="684">
      <c r="A684" s="2" t="s">
        <v>3400</v>
      </c>
      <c r="C684" s="14" t="s">
        <v>3401</v>
      </c>
      <c r="F684" s="4">
        <v>73390.0</v>
      </c>
      <c r="L684" s="8">
        <f t="shared" si="3"/>
        <v>73390</v>
      </c>
    </row>
    <row r="685">
      <c r="A685" s="2" t="s">
        <v>3402</v>
      </c>
      <c r="C685" s="14" t="s">
        <v>3403</v>
      </c>
      <c r="F685" s="4">
        <v>73390.0</v>
      </c>
      <c r="L685" s="8">
        <f t="shared" si="3"/>
        <v>73390</v>
      </c>
    </row>
    <row r="686">
      <c r="A686" s="2" t="s">
        <v>3404</v>
      </c>
      <c r="C686" s="14" t="s">
        <v>3405</v>
      </c>
      <c r="F686" s="4">
        <v>73390.0</v>
      </c>
      <c r="L686" s="8">
        <f t="shared" si="3"/>
        <v>73390</v>
      </c>
    </row>
    <row r="687">
      <c r="A687" s="2" t="s">
        <v>3406</v>
      </c>
      <c r="C687" s="14" t="s">
        <v>3407</v>
      </c>
      <c r="F687" s="4">
        <v>81890.0</v>
      </c>
      <c r="L687" s="8">
        <f t="shared" si="3"/>
        <v>81890</v>
      </c>
    </row>
    <row r="688">
      <c r="A688" s="2" t="s">
        <v>3408</v>
      </c>
      <c r="C688" s="14" t="s">
        <v>3409</v>
      </c>
      <c r="F688" s="4">
        <v>81890.0</v>
      </c>
      <c r="L688" s="8">
        <f t="shared" si="3"/>
        <v>81890</v>
      </c>
    </row>
    <row r="689">
      <c r="A689" s="2" t="s">
        <v>3411</v>
      </c>
      <c r="C689" s="14" t="s">
        <v>3412</v>
      </c>
      <c r="F689" s="4">
        <v>81890.0</v>
      </c>
      <c r="L689" s="8">
        <f t="shared" si="3"/>
        <v>81890</v>
      </c>
    </row>
    <row r="690">
      <c r="A690" s="2" t="s">
        <v>3414</v>
      </c>
      <c r="C690" s="14" t="s">
        <v>3415</v>
      </c>
      <c r="F690" s="4">
        <v>81890.0</v>
      </c>
      <c r="L690" s="8">
        <f t="shared" si="3"/>
        <v>81890</v>
      </c>
    </row>
    <row r="691">
      <c r="A691" s="2" t="s">
        <v>3416</v>
      </c>
      <c r="C691" s="14" t="s">
        <v>3417</v>
      </c>
      <c r="F691" s="4">
        <v>103390.0</v>
      </c>
      <c r="L691" s="8">
        <f t="shared" si="3"/>
        <v>103390</v>
      </c>
    </row>
    <row r="692">
      <c r="A692" s="2" t="s">
        <v>3419</v>
      </c>
      <c r="C692" s="14" t="s">
        <v>3420</v>
      </c>
      <c r="F692" s="4">
        <v>103390.0</v>
      </c>
      <c r="L692" s="8">
        <f t="shared" si="3"/>
        <v>103390</v>
      </c>
    </row>
    <row r="693">
      <c r="A693" s="2" t="s">
        <v>3421</v>
      </c>
      <c r="C693" s="14" t="s">
        <v>3422</v>
      </c>
      <c r="F693" s="4">
        <v>103390.0</v>
      </c>
      <c r="L693" s="8">
        <f t="shared" si="3"/>
        <v>103390</v>
      </c>
    </row>
    <row r="694">
      <c r="A694" s="2" t="s">
        <v>3423</v>
      </c>
      <c r="C694" s="14" t="s">
        <v>3424</v>
      </c>
      <c r="F694" s="4">
        <v>26890.0</v>
      </c>
      <c r="L694" s="8">
        <f t="shared" si="3"/>
        <v>26890</v>
      </c>
    </row>
    <row r="695">
      <c r="A695" s="2" t="s">
        <v>3425</v>
      </c>
      <c r="C695" s="14" t="s">
        <v>3426</v>
      </c>
      <c r="F695" s="4">
        <v>26890.0</v>
      </c>
      <c r="L695" s="8">
        <f t="shared" si="3"/>
        <v>26890</v>
      </c>
    </row>
    <row r="696">
      <c r="A696" s="2" t="s">
        <v>3427</v>
      </c>
      <c r="C696" s="14" t="s">
        <v>3428</v>
      </c>
      <c r="F696" s="4">
        <v>26890.0</v>
      </c>
      <c r="L696" s="8">
        <f t="shared" si="3"/>
        <v>26890</v>
      </c>
    </row>
    <row r="697">
      <c r="A697" s="2" t="s">
        <v>3429</v>
      </c>
      <c r="C697" s="14" t="s">
        <v>3430</v>
      </c>
      <c r="F697" s="4">
        <v>26890.0</v>
      </c>
      <c r="L697" s="8">
        <f t="shared" si="3"/>
        <v>26890</v>
      </c>
    </row>
    <row r="698">
      <c r="A698" s="2" t="s">
        <v>3431</v>
      </c>
      <c r="C698" s="14" t="s">
        <v>3432</v>
      </c>
      <c r="F698" s="4">
        <v>33390.0</v>
      </c>
      <c r="L698" s="8">
        <f t="shared" si="3"/>
        <v>33390</v>
      </c>
    </row>
    <row r="699">
      <c r="A699" s="2" t="s">
        <v>3435</v>
      </c>
      <c r="C699" s="14" t="s">
        <v>3436</v>
      </c>
      <c r="F699" s="4">
        <v>33390.0</v>
      </c>
      <c r="L699" s="8">
        <f t="shared" si="3"/>
        <v>33390</v>
      </c>
    </row>
    <row r="700">
      <c r="A700" s="2" t="s">
        <v>3437</v>
      </c>
      <c r="C700" s="14" t="s">
        <v>3438</v>
      </c>
      <c r="F700" s="4">
        <v>33390.0</v>
      </c>
      <c r="L700" s="8">
        <f t="shared" si="3"/>
        <v>33390</v>
      </c>
    </row>
    <row r="701">
      <c r="A701" s="2" t="s">
        <v>3439</v>
      </c>
      <c r="C701" s="14" t="s">
        <v>3440</v>
      </c>
      <c r="F701" s="4">
        <v>33390.0</v>
      </c>
      <c r="L701" s="8">
        <f t="shared" si="3"/>
        <v>33390</v>
      </c>
    </row>
    <row r="702">
      <c r="A702" s="2" t="s">
        <v>3441</v>
      </c>
      <c r="C702" s="14" t="s">
        <v>3442</v>
      </c>
      <c r="F702" s="4">
        <v>34390.0</v>
      </c>
      <c r="L702" s="8">
        <f t="shared" si="3"/>
        <v>34390</v>
      </c>
    </row>
    <row r="703">
      <c r="A703" s="2" t="s">
        <v>3443</v>
      </c>
      <c r="C703" s="14" t="s">
        <v>3444</v>
      </c>
      <c r="F703" s="4">
        <v>34390.0</v>
      </c>
      <c r="L703" s="8">
        <f t="shared" si="3"/>
        <v>34390</v>
      </c>
    </row>
    <row r="704">
      <c r="A704" s="2" t="s">
        <v>3446</v>
      </c>
      <c r="C704" s="14" t="s">
        <v>3447</v>
      </c>
      <c r="F704" s="4">
        <v>34390.0</v>
      </c>
      <c r="L704" s="8">
        <f t="shared" si="3"/>
        <v>34390</v>
      </c>
    </row>
    <row r="705">
      <c r="A705" s="2" t="s">
        <v>3448</v>
      </c>
      <c r="C705" s="14" t="s">
        <v>3449</v>
      </c>
      <c r="F705" s="4">
        <v>37890.0</v>
      </c>
      <c r="L705" s="8">
        <f t="shared" si="3"/>
        <v>37890</v>
      </c>
    </row>
    <row r="706">
      <c r="A706" s="2" t="s">
        <v>3452</v>
      </c>
      <c r="C706" s="14" t="s">
        <v>3453</v>
      </c>
      <c r="F706" s="4">
        <v>37890.0</v>
      </c>
      <c r="L706" s="8">
        <f t="shared" si="3"/>
        <v>37890</v>
      </c>
    </row>
    <row r="707">
      <c r="A707" s="2" t="s">
        <v>3455</v>
      </c>
      <c r="C707" s="14" t="s">
        <v>3456</v>
      </c>
      <c r="F707" s="4">
        <v>37890.0</v>
      </c>
      <c r="L707" s="8">
        <f t="shared" si="3"/>
        <v>37890</v>
      </c>
    </row>
    <row r="708">
      <c r="A708" s="2" t="s">
        <v>3458</v>
      </c>
      <c r="C708" s="14" t="s">
        <v>3459</v>
      </c>
      <c r="F708" s="4">
        <v>37890.0</v>
      </c>
      <c r="L708" s="8">
        <f t="shared" si="3"/>
        <v>37890</v>
      </c>
    </row>
    <row r="709">
      <c r="A709" s="2" t="s">
        <v>3460</v>
      </c>
      <c r="B709" s="2"/>
      <c r="C709" s="14" t="s">
        <v>3461</v>
      </c>
      <c r="F709" s="4">
        <v>40390.0</v>
      </c>
      <c r="L709" s="8">
        <f t="shared" si="3"/>
        <v>40390</v>
      </c>
    </row>
    <row r="710">
      <c r="A710" s="2" t="s">
        <v>3462</v>
      </c>
      <c r="C710" s="14" t="s">
        <v>3463</v>
      </c>
      <c r="F710" s="4">
        <v>40390.0</v>
      </c>
      <c r="L710" s="8">
        <f t="shared" si="3"/>
        <v>40390</v>
      </c>
    </row>
    <row r="711">
      <c r="A711" s="2" t="s">
        <v>3464</v>
      </c>
      <c r="C711" s="14" t="s">
        <v>3465</v>
      </c>
      <c r="F711" s="4">
        <v>40390.0</v>
      </c>
      <c r="L711" s="8">
        <f t="shared" si="3"/>
        <v>40390</v>
      </c>
    </row>
    <row r="712">
      <c r="A712" s="2" t="s">
        <v>3466</v>
      </c>
      <c r="L712" s="8" t="str">
        <f t="shared" si="3"/>
        <v/>
      </c>
    </row>
    <row r="713">
      <c r="A713" s="5" t="s">
        <v>464</v>
      </c>
      <c r="C713" s="14" t="s">
        <v>3467</v>
      </c>
      <c r="F713" s="4">
        <v>90390.0</v>
      </c>
      <c r="L713" s="8">
        <f t="shared" si="3"/>
        <v>90390</v>
      </c>
    </row>
    <row r="714">
      <c r="A714" s="5" t="s">
        <v>459</v>
      </c>
      <c r="C714" s="14" t="s">
        <v>3469</v>
      </c>
      <c r="F714" s="4">
        <v>90390.0</v>
      </c>
      <c r="L714" s="8">
        <f t="shared" si="3"/>
        <v>90390</v>
      </c>
    </row>
    <row r="715">
      <c r="A715" s="5" t="s">
        <v>481</v>
      </c>
      <c r="C715" s="14" t="s">
        <v>3470</v>
      </c>
      <c r="F715" s="2">
        <v>106390.0</v>
      </c>
      <c r="L715" s="8">
        <f t="shared" si="3"/>
        <v>106390</v>
      </c>
    </row>
    <row r="716">
      <c r="A716" s="5" t="s">
        <v>2181</v>
      </c>
      <c r="C716" s="14" t="s">
        <v>3471</v>
      </c>
      <c r="F716" s="4">
        <v>106390.0</v>
      </c>
      <c r="L716" s="8">
        <f t="shared" si="3"/>
        <v>106390</v>
      </c>
    </row>
    <row r="717">
      <c r="A717" s="5" t="s">
        <v>2184</v>
      </c>
      <c r="C717" s="14" t="s">
        <v>3473</v>
      </c>
      <c r="F717" s="4">
        <v>105890.0</v>
      </c>
      <c r="L717" s="8">
        <f t="shared" si="3"/>
        <v>105890</v>
      </c>
    </row>
    <row r="718">
      <c r="A718" s="5" t="s">
        <v>489</v>
      </c>
      <c r="C718" s="14" t="s">
        <v>3475</v>
      </c>
      <c r="F718" s="4">
        <v>110390.0</v>
      </c>
      <c r="L718" s="8">
        <f t="shared" si="3"/>
        <v>110390</v>
      </c>
    </row>
    <row r="719">
      <c r="A719" s="5" t="s">
        <v>475</v>
      </c>
      <c r="C719" s="14" t="s">
        <v>3476</v>
      </c>
      <c r="F719" s="4">
        <v>110390.0</v>
      </c>
      <c r="L719" s="8">
        <f t="shared" si="3"/>
        <v>110390</v>
      </c>
    </row>
    <row r="720">
      <c r="A720" s="5" t="s">
        <v>469</v>
      </c>
      <c r="C720" s="14" t="s">
        <v>3477</v>
      </c>
      <c r="F720" s="4">
        <v>110390.0</v>
      </c>
      <c r="L720" s="8">
        <f t="shared" si="3"/>
        <v>110390</v>
      </c>
    </row>
    <row r="721">
      <c r="A721" s="5" t="s">
        <v>463</v>
      </c>
      <c r="C721" s="14" t="s">
        <v>3478</v>
      </c>
      <c r="F721" s="4">
        <v>110390.0</v>
      </c>
      <c r="L721" s="8">
        <f t="shared" si="3"/>
        <v>110390</v>
      </c>
    </row>
    <row r="722">
      <c r="A722" s="2" t="s">
        <v>493</v>
      </c>
      <c r="C722" s="14" t="s">
        <v>3479</v>
      </c>
      <c r="F722" s="4">
        <v>110390.0</v>
      </c>
      <c r="L722" s="8">
        <f t="shared" si="3"/>
        <v>110390</v>
      </c>
    </row>
    <row r="723">
      <c r="A723" s="5" t="s">
        <v>2195</v>
      </c>
      <c r="C723" s="14" t="s">
        <v>3480</v>
      </c>
      <c r="F723" s="4">
        <v>115390.0</v>
      </c>
      <c r="L723" s="8">
        <f t="shared" si="3"/>
        <v>115390</v>
      </c>
    </row>
    <row r="724">
      <c r="A724" s="5" t="s">
        <v>497</v>
      </c>
      <c r="C724" s="14" t="s">
        <v>3481</v>
      </c>
      <c r="F724" s="4">
        <v>123890.0</v>
      </c>
      <c r="L724" s="8">
        <f t="shared" si="3"/>
        <v>123890</v>
      </c>
    </row>
    <row r="725">
      <c r="A725" s="5" t="s">
        <v>496</v>
      </c>
      <c r="C725" s="14" t="s">
        <v>3482</v>
      </c>
      <c r="F725" s="4">
        <v>123890.0</v>
      </c>
      <c r="L725" s="8">
        <f t="shared" si="3"/>
        <v>123890</v>
      </c>
    </row>
    <row r="726">
      <c r="A726" s="5" t="s">
        <v>2239</v>
      </c>
      <c r="C726" s="14" t="s">
        <v>3484</v>
      </c>
      <c r="F726" s="4">
        <v>124390.0</v>
      </c>
      <c r="L726" s="8">
        <f t="shared" si="3"/>
        <v>124390</v>
      </c>
    </row>
    <row r="727">
      <c r="A727" s="5" t="s">
        <v>2189</v>
      </c>
      <c r="C727" s="14" t="s">
        <v>3485</v>
      </c>
      <c r="F727" s="4">
        <v>133890.0</v>
      </c>
      <c r="L727" s="8">
        <f t="shared" si="3"/>
        <v>133890</v>
      </c>
    </row>
    <row r="728">
      <c r="A728" s="5" t="s">
        <v>2240</v>
      </c>
      <c r="C728" s="14" t="s">
        <v>3488</v>
      </c>
      <c r="F728" s="4">
        <v>126890.0</v>
      </c>
      <c r="L728" s="8">
        <f t="shared" si="3"/>
        <v>126890</v>
      </c>
    </row>
    <row r="729">
      <c r="A729" s="5" t="s">
        <v>499</v>
      </c>
      <c r="C729" s="14" t="s">
        <v>3489</v>
      </c>
      <c r="F729" s="4">
        <v>128390.0</v>
      </c>
      <c r="L729" s="8">
        <f t="shared" si="3"/>
        <v>128390</v>
      </c>
    </row>
    <row r="730">
      <c r="A730" s="5" t="s">
        <v>2200</v>
      </c>
      <c r="C730" s="14" t="s">
        <v>3490</v>
      </c>
      <c r="F730" s="4">
        <v>128390.0</v>
      </c>
      <c r="L730" s="8">
        <f t="shared" si="3"/>
        <v>128390</v>
      </c>
    </row>
    <row r="731">
      <c r="A731" s="5" t="s">
        <v>503</v>
      </c>
      <c r="C731" s="14" t="s">
        <v>3491</v>
      </c>
      <c r="F731" s="4">
        <v>129390.0</v>
      </c>
      <c r="L731" s="8">
        <f t="shared" si="3"/>
        <v>129390</v>
      </c>
    </row>
    <row r="732">
      <c r="A732" s="5" t="s">
        <v>2192</v>
      </c>
      <c r="C732" s="14" t="s">
        <v>3492</v>
      </c>
      <c r="F732" s="4">
        <v>133890.0</v>
      </c>
      <c r="L732" s="8">
        <f t="shared" si="3"/>
        <v>133890</v>
      </c>
    </row>
    <row r="733">
      <c r="A733" s="5" t="s">
        <v>2204</v>
      </c>
      <c r="C733" s="14" t="s">
        <v>3495</v>
      </c>
      <c r="F733" s="4">
        <v>155890.0</v>
      </c>
      <c r="L733" s="8">
        <f t="shared" si="3"/>
        <v>155890</v>
      </c>
    </row>
    <row r="734">
      <c r="A734" s="5" t="s">
        <v>2206</v>
      </c>
      <c r="C734" s="14" t="s">
        <v>3496</v>
      </c>
      <c r="F734" s="4">
        <v>155890.0</v>
      </c>
      <c r="L734" s="8">
        <f t="shared" si="3"/>
        <v>155890</v>
      </c>
    </row>
    <row r="735">
      <c r="A735" s="5" t="s">
        <v>2244</v>
      </c>
      <c r="C735" s="14" t="s">
        <v>3497</v>
      </c>
      <c r="F735" s="4">
        <v>132890.0</v>
      </c>
      <c r="L735" s="8">
        <f t="shared" si="3"/>
        <v>132890</v>
      </c>
    </row>
    <row r="736">
      <c r="A736" s="5" t="s">
        <v>2248</v>
      </c>
      <c r="C736" s="14" t="s">
        <v>3498</v>
      </c>
      <c r="F736" s="4">
        <v>132890.0</v>
      </c>
      <c r="L736" s="8">
        <f t="shared" si="3"/>
        <v>132890</v>
      </c>
    </row>
    <row r="737">
      <c r="A737" s="5" t="s">
        <v>2250</v>
      </c>
      <c r="C737" s="14" t="s">
        <v>3499</v>
      </c>
      <c r="F737" s="4">
        <v>151390.0</v>
      </c>
      <c r="L737" s="8">
        <f t="shared" si="3"/>
        <v>151390</v>
      </c>
    </row>
    <row r="738">
      <c r="A738" s="5" t="s">
        <v>2254</v>
      </c>
      <c r="C738" s="14" t="s">
        <v>3500</v>
      </c>
      <c r="F738" s="4">
        <v>151390.0</v>
      </c>
      <c r="L738" s="8">
        <f t="shared" si="3"/>
        <v>151390</v>
      </c>
    </row>
    <row r="739">
      <c r="A739" s="5" t="s">
        <v>512</v>
      </c>
      <c r="C739" s="14" t="s">
        <v>3501</v>
      </c>
      <c r="F739" s="4">
        <v>144390.0</v>
      </c>
      <c r="L739" s="8">
        <f t="shared" si="3"/>
        <v>144390</v>
      </c>
    </row>
    <row r="740">
      <c r="A740" s="5" t="s">
        <v>510</v>
      </c>
      <c r="C740" s="14" t="s">
        <v>3502</v>
      </c>
      <c r="F740" s="4">
        <v>144390.0</v>
      </c>
      <c r="L740" s="8">
        <f t="shared" si="3"/>
        <v>144390</v>
      </c>
    </row>
    <row r="741">
      <c r="A741" s="5" t="s">
        <v>472</v>
      </c>
      <c r="C741" s="14" t="s">
        <v>3503</v>
      </c>
      <c r="F741" s="4">
        <v>145390.0</v>
      </c>
      <c r="L741" s="8">
        <f t="shared" si="3"/>
        <v>145390</v>
      </c>
    </row>
    <row r="742">
      <c r="A742" s="5" t="s">
        <v>471</v>
      </c>
      <c r="C742" s="14" t="s">
        <v>3505</v>
      </c>
      <c r="F742" s="4">
        <v>148390.0</v>
      </c>
      <c r="L742" s="8">
        <f t="shared" si="3"/>
        <v>148390</v>
      </c>
    </row>
    <row r="743">
      <c r="A743" s="5" t="s">
        <v>2156</v>
      </c>
      <c r="C743" s="14" t="s">
        <v>3506</v>
      </c>
      <c r="F743" s="4">
        <v>152390.0</v>
      </c>
      <c r="L743" s="8">
        <f t="shared" si="3"/>
        <v>152390</v>
      </c>
    </row>
    <row r="744">
      <c r="A744" s="5" t="s">
        <v>2154</v>
      </c>
      <c r="C744" s="14" t="s">
        <v>3507</v>
      </c>
      <c r="F744" s="4">
        <v>152390.0</v>
      </c>
      <c r="L744" s="8">
        <f t="shared" si="3"/>
        <v>152390</v>
      </c>
    </row>
    <row r="745">
      <c r="A745" s="5" t="s">
        <v>486</v>
      </c>
      <c r="C745" s="14" t="s">
        <v>3508</v>
      </c>
      <c r="F745" s="4">
        <v>154390.0</v>
      </c>
      <c r="L745" s="8">
        <f t="shared" si="3"/>
        <v>154390</v>
      </c>
    </row>
    <row r="746">
      <c r="A746" s="5" t="s">
        <v>484</v>
      </c>
      <c r="C746" s="14" t="s">
        <v>3509</v>
      </c>
      <c r="F746" s="4">
        <v>154390.0</v>
      </c>
      <c r="L746" s="8">
        <f t="shared" si="3"/>
        <v>154390</v>
      </c>
    </row>
    <row r="747">
      <c r="A747" s="5" t="s">
        <v>2216</v>
      </c>
      <c r="C747" s="14" t="s">
        <v>3510</v>
      </c>
      <c r="F747" s="4">
        <v>154890.0</v>
      </c>
      <c r="L747" s="8">
        <f t="shared" si="3"/>
        <v>154890</v>
      </c>
    </row>
    <row r="748">
      <c r="A748" s="5" t="s">
        <v>2211</v>
      </c>
      <c r="C748" s="14" t="s">
        <v>3511</v>
      </c>
      <c r="F748" s="4">
        <v>154890.0</v>
      </c>
      <c r="L748" s="8">
        <f t="shared" si="3"/>
        <v>154890</v>
      </c>
    </row>
    <row r="749">
      <c r="A749" s="2" t="s">
        <v>3512</v>
      </c>
      <c r="C749" s="14" t="s">
        <v>3513</v>
      </c>
      <c r="F749" s="4">
        <v>157390.0</v>
      </c>
      <c r="L749" s="8">
        <f t="shared" si="3"/>
        <v>157390</v>
      </c>
    </row>
    <row r="750">
      <c r="A750" s="2" t="s">
        <v>3514</v>
      </c>
      <c r="C750" s="14" t="s">
        <v>3515</v>
      </c>
      <c r="F750" s="4">
        <v>157390.0</v>
      </c>
      <c r="L750" s="8">
        <f t="shared" si="3"/>
        <v>157390</v>
      </c>
    </row>
    <row r="751">
      <c r="A751" s="5" t="s">
        <v>2173</v>
      </c>
      <c r="C751" s="14" t="s">
        <v>3516</v>
      </c>
      <c r="F751" s="4">
        <v>168890.0</v>
      </c>
      <c r="L751" s="8">
        <f t="shared" si="3"/>
        <v>168890</v>
      </c>
    </row>
    <row r="752">
      <c r="A752" s="5" t="s">
        <v>525</v>
      </c>
      <c r="C752" s="14" t="s">
        <v>3517</v>
      </c>
      <c r="F752" s="4">
        <v>161390.0</v>
      </c>
      <c r="L752" s="8">
        <f t="shared" si="3"/>
        <v>161390</v>
      </c>
    </row>
    <row r="753">
      <c r="A753" s="5" t="s">
        <v>536</v>
      </c>
      <c r="C753" s="14" t="s">
        <v>3518</v>
      </c>
      <c r="F753" s="4">
        <v>161390.0</v>
      </c>
      <c r="L753" s="8">
        <f t="shared" si="3"/>
        <v>161390</v>
      </c>
    </row>
    <row r="754">
      <c r="A754" s="5" t="s">
        <v>2178</v>
      </c>
      <c r="C754" s="14" t="s">
        <v>3520</v>
      </c>
      <c r="F754" s="4">
        <v>168890.0</v>
      </c>
      <c r="L754" s="8">
        <f t="shared" si="3"/>
        <v>168890</v>
      </c>
    </row>
    <row r="755">
      <c r="A755" s="5" t="s">
        <v>2230</v>
      </c>
      <c r="C755" s="14" t="s">
        <v>3521</v>
      </c>
      <c r="F755" s="4">
        <v>182390.0</v>
      </c>
      <c r="L755" s="8">
        <f t="shared" si="3"/>
        <v>182390</v>
      </c>
    </row>
    <row r="756">
      <c r="A756" s="5" t="s">
        <v>2234</v>
      </c>
      <c r="C756" s="14" t="s">
        <v>3522</v>
      </c>
      <c r="F756" s="4">
        <v>182390.0</v>
      </c>
      <c r="L756" s="8">
        <f t="shared" si="3"/>
        <v>182390</v>
      </c>
    </row>
    <row r="757">
      <c r="A757" s="5" t="s">
        <v>2260</v>
      </c>
      <c r="C757" s="14" t="s">
        <v>3523</v>
      </c>
      <c r="F757" s="4">
        <v>165890.0</v>
      </c>
      <c r="L757" s="8">
        <f t="shared" si="3"/>
        <v>165890</v>
      </c>
    </row>
    <row r="758">
      <c r="A758" s="5" t="s">
        <v>2259</v>
      </c>
      <c r="C758" s="14" t="s">
        <v>3524</v>
      </c>
      <c r="F758" s="4">
        <v>165890.0</v>
      </c>
      <c r="L758" s="8">
        <f t="shared" si="3"/>
        <v>165890</v>
      </c>
    </row>
    <row r="759">
      <c r="A759" s="5" t="s">
        <v>515</v>
      </c>
      <c r="C759" s="14" t="s">
        <v>3525</v>
      </c>
      <c r="F759" s="4">
        <v>166390.0</v>
      </c>
      <c r="L759" s="8">
        <f t="shared" si="3"/>
        <v>166390</v>
      </c>
    </row>
    <row r="760">
      <c r="A760" s="5" t="s">
        <v>516</v>
      </c>
      <c r="C760" s="14" t="s">
        <v>3527</v>
      </c>
      <c r="F760" s="4">
        <v>166390.0</v>
      </c>
      <c r="L760" s="8">
        <f t="shared" si="3"/>
        <v>166390</v>
      </c>
    </row>
    <row r="761">
      <c r="A761" s="2" t="s">
        <v>3528</v>
      </c>
      <c r="C761" s="14" t="s">
        <v>3529</v>
      </c>
      <c r="F761" s="4">
        <v>171390.0</v>
      </c>
      <c r="L761" s="8">
        <f t="shared" si="3"/>
        <v>171390</v>
      </c>
    </row>
    <row r="762">
      <c r="A762" s="2" t="s">
        <v>3530</v>
      </c>
      <c r="C762" s="14" t="s">
        <v>3531</v>
      </c>
      <c r="F762" s="4">
        <v>171390.0</v>
      </c>
      <c r="L762" s="8">
        <f t="shared" si="3"/>
        <v>171390</v>
      </c>
    </row>
    <row r="763">
      <c r="A763" s="5" t="s">
        <v>2217</v>
      </c>
      <c r="C763" s="14" t="s">
        <v>3532</v>
      </c>
      <c r="F763" s="4">
        <v>176890.0</v>
      </c>
      <c r="L763" s="8">
        <f t="shared" si="3"/>
        <v>176890</v>
      </c>
    </row>
    <row r="764">
      <c r="A764" s="5" t="s">
        <v>2221</v>
      </c>
      <c r="C764" s="14" t="s">
        <v>3533</v>
      </c>
      <c r="F764" s="4">
        <v>176890.0</v>
      </c>
      <c r="L764" s="8">
        <f t="shared" si="3"/>
        <v>176890</v>
      </c>
    </row>
    <row r="765">
      <c r="A765" s="2" t="s">
        <v>3534</v>
      </c>
      <c r="C765" s="14" t="s">
        <v>3535</v>
      </c>
      <c r="F765" s="4">
        <v>176890.0</v>
      </c>
      <c r="L765" s="8">
        <f t="shared" si="3"/>
        <v>176890</v>
      </c>
    </row>
    <row r="766">
      <c r="A766" s="2" t="s">
        <v>3536</v>
      </c>
      <c r="C766" s="14" t="s">
        <v>3537</v>
      </c>
      <c r="F766" s="4">
        <v>176890.0</v>
      </c>
      <c r="L766" s="8">
        <f t="shared" si="3"/>
        <v>176890</v>
      </c>
    </row>
    <row r="767">
      <c r="A767" s="2" t="s">
        <v>3538</v>
      </c>
      <c r="C767" s="14" t="s">
        <v>3539</v>
      </c>
      <c r="F767" s="4">
        <v>186390.0</v>
      </c>
      <c r="L767" s="8">
        <f t="shared" si="3"/>
        <v>186390</v>
      </c>
    </row>
    <row r="768">
      <c r="A768" s="2" t="s">
        <v>3540</v>
      </c>
      <c r="C768" s="14" t="s">
        <v>3541</v>
      </c>
      <c r="F768" s="4">
        <v>186390.0</v>
      </c>
      <c r="L768" s="8">
        <f t="shared" si="3"/>
        <v>186390</v>
      </c>
    </row>
    <row r="769">
      <c r="A769" s="5" t="s">
        <v>2160</v>
      </c>
      <c r="C769" s="14" t="s">
        <v>3542</v>
      </c>
      <c r="F769" s="4">
        <v>187890.0</v>
      </c>
      <c r="L769" s="8">
        <f t="shared" si="3"/>
        <v>187890</v>
      </c>
    </row>
    <row r="770">
      <c r="A770" s="5" t="s">
        <v>2163</v>
      </c>
      <c r="C770" s="14" t="s">
        <v>3543</v>
      </c>
      <c r="F770" s="4">
        <v>187890.0</v>
      </c>
      <c r="L770" s="8">
        <f t="shared" si="3"/>
        <v>187890</v>
      </c>
    </row>
    <row r="771">
      <c r="A771" s="5" t="s">
        <v>2169</v>
      </c>
      <c r="C771" s="14" t="s">
        <v>3545</v>
      </c>
      <c r="F771" s="4">
        <v>187890.0</v>
      </c>
      <c r="L771" s="8">
        <f t="shared" si="3"/>
        <v>187890</v>
      </c>
    </row>
    <row r="772">
      <c r="A772" s="5" t="s">
        <v>2166</v>
      </c>
      <c r="C772" s="14" t="s">
        <v>3546</v>
      </c>
      <c r="F772" s="4">
        <v>187890.0</v>
      </c>
      <c r="L772" s="8">
        <f t="shared" si="3"/>
        <v>187890</v>
      </c>
    </row>
    <row r="773">
      <c r="A773" s="2" t="s">
        <v>3547</v>
      </c>
      <c r="C773" s="14" t="s">
        <v>3548</v>
      </c>
      <c r="F773" s="4">
        <v>187890.0</v>
      </c>
      <c r="L773" s="8">
        <f t="shared" si="3"/>
        <v>187890</v>
      </c>
    </row>
    <row r="774">
      <c r="A774" s="2" t="s">
        <v>3549</v>
      </c>
      <c r="C774" s="14" t="s">
        <v>3550</v>
      </c>
      <c r="F774" s="4">
        <v>187890.0</v>
      </c>
      <c r="L774" s="8">
        <f t="shared" si="3"/>
        <v>187890</v>
      </c>
    </row>
    <row r="775">
      <c r="A775" s="2" t="s">
        <v>3551</v>
      </c>
      <c r="C775" s="14" t="s">
        <v>3552</v>
      </c>
      <c r="F775" s="4">
        <v>190390.0</v>
      </c>
      <c r="L775" s="8">
        <f t="shared" si="3"/>
        <v>190390</v>
      </c>
    </row>
    <row r="776">
      <c r="A776" s="2" t="s">
        <v>3553</v>
      </c>
      <c r="C776" s="14" t="s">
        <v>3554</v>
      </c>
      <c r="F776" s="4">
        <v>192890.0</v>
      </c>
      <c r="L776" s="8">
        <f t="shared" si="3"/>
        <v>192890</v>
      </c>
    </row>
    <row r="777">
      <c r="A777" s="2" t="s">
        <v>3555</v>
      </c>
      <c r="C777" s="14" t="s">
        <v>3556</v>
      </c>
      <c r="F777" s="4">
        <v>198890.0</v>
      </c>
      <c r="L777" s="8">
        <f t="shared" si="3"/>
        <v>198890</v>
      </c>
    </row>
    <row r="778">
      <c r="A778" s="2" t="s">
        <v>3557</v>
      </c>
      <c r="C778" s="14" t="s">
        <v>3558</v>
      </c>
      <c r="F778" s="4">
        <v>198890.0</v>
      </c>
      <c r="L778" s="8">
        <f t="shared" si="3"/>
        <v>198890</v>
      </c>
    </row>
    <row r="779">
      <c r="A779" s="5" t="s">
        <v>2225</v>
      </c>
      <c r="C779" s="14" t="s">
        <v>3560</v>
      </c>
      <c r="F779" s="4">
        <v>209890.0</v>
      </c>
      <c r="L779" s="8">
        <f t="shared" si="3"/>
        <v>209890</v>
      </c>
    </row>
    <row r="780">
      <c r="A780" s="5" t="s">
        <v>2228</v>
      </c>
      <c r="C780" s="14" t="s">
        <v>3561</v>
      </c>
      <c r="F780" s="4">
        <v>209890.0</v>
      </c>
      <c r="L780" s="8">
        <f t="shared" si="3"/>
        <v>209890</v>
      </c>
    </row>
    <row r="781">
      <c r="A781" s="2" t="s">
        <v>3562</v>
      </c>
      <c r="C781" s="14" t="s">
        <v>3563</v>
      </c>
      <c r="F781" s="4">
        <v>215390.0</v>
      </c>
      <c r="L781" s="8">
        <f t="shared" si="3"/>
        <v>215390</v>
      </c>
    </row>
    <row r="782">
      <c r="A782" s="2" t="s">
        <v>3564</v>
      </c>
      <c r="C782" s="14" t="s">
        <v>3565</v>
      </c>
      <c r="F782" s="4">
        <v>215390.0</v>
      </c>
      <c r="L782" s="8">
        <f t="shared" si="3"/>
        <v>215390</v>
      </c>
    </row>
    <row r="783">
      <c r="A783" s="2" t="s">
        <v>3566</v>
      </c>
      <c r="C783" s="14" t="s">
        <v>3567</v>
      </c>
      <c r="F783" s="4">
        <v>220890.0</v>
      </c>
      <c r="L783" s="8">
        <f t="shared" si="3"/>
        <v>220890</v>
      </c>
    </row>
    <row r="784">
      <c r="A784" s="2" t="s">
        <v>3568</v>
      </c>
      <c r="C784" s="14" t="s">
        <v>3569</v>
      </c>
      <c r="F784" s="4">
        <v>220890.0</v>
      </c>
      <c r="L784" s="8">
        <f t="shared" si="3"/>
        <v>220890</v>
      </c>
    </row>
    <row r="785">
      <c r="A785" s="2" t="s">
        <v>3570</v>
      </c>
      <c r="C785" s="14" t="s">
        <v>3571</v>
      </c>
      <c r="F785" s="4">
        <v>228390.0</v>
      </c>
      <c r="L785" s="8">
        <f t="shared" si="3"/>
        <v>228390</v>
      </c>
    </row>
    <row r="786">
      <c r="A786" s="2" t="s">
        <v>3572</v>
      </c>
      <c r="C786" s="14" t="s">
        <v>3573</v>
      </c>
      <c r="F786" s="4">
        <v>228390.0</v>
      </c>
      <c r="L786" s="8">
        <f t="shared" si="3"/>
        <v>228390</v>
      </c>
    </row>
    <row r="787">
      <c r="A787" s="2" t="s">
        <v>3574</v>
      </c>
      <c r="C787" s="14" t="s">
        <v>3575</v>
      </c>
      <c r="F787" s="4">
        <v>242890.0</v>
      </c>
      <c r="L787" s="8">
        <f t="shared" si="3"/>
        <v>242890</v>
      </c>
    </row>
    <row r="788">
      <c r="A788" s="2" t="s">
        <v>3576</v>
      </c>
      <c r="C788" s="14" t="s">
        <v>3577</v>
      </c>
      <c r="F788" s="4">
        <v>242890.0</v>
      </c>
      <c r="L788" s="8">
        <f t="shared" si="3"/>
        <v>242890</v>
      </c>
    </row>
    <row r="789">
      <c r="A789" s="2" t="s">
        <v>3578</v>
      </c>
      <c r="C789" s="14" t="s">
        <v>3579</v>
      </c>
      <c r="F789" s="4">
        <v>248390.0</v>
      </c>
      <c r="L789" s="8">
        <f t="shared" si="3"/>
        <v>248390</v>
      </c>
    </row>
    <row r="790">
      <c r="A790" s="2" t="s">
        <v>3580</v>
      </c>
      <c r="C790" s="14" t="s">
        <v>3581</v>
      </c>
      <c r="F790" s="4">
        <v>248390.0</v>
      </c>
      <c r="L790" s="8">
        <f t="shared" si="3"/>
        <v>248390</v>
      </c>
    </row>
    <row r="791">
      <c r="A791" s="2" t="s">
        <v>3583</v>
      </c>
      <c r="C791" s="14" t="s">
        <v>3584</v>
      </c>
      <c r="F791" s="4">
        <v>259390.0</v>
      </c>
      <c r="L791" s="8">
        <f t="shared" si="3"/>
        <v>259390</v>
      </c>
    </row>
    <row r="792">
      <c r="A792" s="2" t="s">
        <v>3585</v>
      </c>
      <c r="C792" s="14" t="s">
        <v>3586</v>
      </c>
      <c r="F792" s="4">
        <v>259390.0</v>
      </c>
      <c r="L792" s="8">
        <f t="shared" si="3"/>
        <v>259390</v>
      </c>
    </row>
    <row r="793">
      <c r="A793" s="5" t="s">
        <v>1658</v>
      </c>
      <c r="C793" s="14" t="s">
        <v>3587</v>
      </c>
      <c r="F793" s="4">
        <v>67390.0</v>
      </c>
      <c r="L793" s="8">
        <f t="shared" si="3"/>
        <v>67390</v>
      </c>
    </row>
    <row r="794">
      <c r="A794" s="5" t="s">
        <v>2072</v>
      </c>
      <c r="C794" s="14" t="s">
        <v>3588</v>
      </c>
      <c r="F794" s="4">
        <v>74890.0</v>
      </c>
      <c r="L794" s="8">
        <f t="shared" si="3"/>
        <v>74890</v>
      </c>
    </row>
    <row r="795">
      <c r="A795" s="5" t="s">
        <v>2082</v>
      </c>
      <c r="C795" s="14" t="s">
        <v>3589</v>
      </c>
      <c r="F795" s="4">
        <v>74890.0</v>
      </c>
      <c r="L795" s="8">
        <f t="shared" si="3"/>
        <v>74890</v>
      </c>
    </row>
    <row r="796">
      <c r="A796" s="5" t="s">
        <v>1672</v>
      </c>
      <c r="C796" s="14" t="s">
        <v>3590</v>
      </c>
      <c r="F796" s="4">
        <v>78390.0</v>
      </c>
      <c r="L796" s="8">
        <f t="shared" si="3"/>
        <v>78390</v>
      </c>
    </row>
    <row r="797">
      <c r="A797" s="5" t="s">
        <v>1677</v>
      </c>
      <c r="C797" s="14" t="s">
        <v>3591</v>
      </c>
      <c r="F797" s="4">
        <v>79390.0</v>
      </c>
      <c r="L797" s="8">
        <f t="shared" si="3"/>
        <v>79390</v>
      </c>
    </row>
    <row r="798">
      <c r="A798" s="5" t="s">
        <v>2510</v>
      </c>
      <c r="C798" s="14" t="s">
        <v>3592</v>
      </c>
      <c r="F798" s="4">
        <v>80890.0</v>
      </c>
      <c r="L798" s="8">
        <f t="shared" si="3"/>
        <v>80890</v>
      </c>
    </row>
    <row r="799">
      <c r="A799" s="5" t="s">
        <v>2512</v>
      </c>
      <c r="C799" s="14" t="s">
        <v>3594</v>
      </c>
      <c r="F799" s="4">
        <v>80890.0</v>
      </c>
      <c r="L799" s="8">
        <f t="shared" si="3"/>
        <v>80890</v>
      </c>
    </row>
    <row r="800">
      <c r="A800" s="5" t="s">
        <v>2103</v>
      </c>
      <c r="C800" s="14" t="s">
        <v>3595</v>
      </c>
      <c r="F800" s="4">
        <v>82390.0</v>
      </c>
      <c r="L800" s="8">
        <f t="shared" si="3"/>
        <v>82390</v>
      </c>
    </row>
    <row r="801">
      <c r="A801" s="5" t="s">
        <v>2107</v>
      </c>
      <c r="C801" s="14" t="s">
        <v>3596</v>
      </c>
      <c r="F801" s="4">
        <v>82390.0</v>
      </c>
      <c r="L801" s="8">
        <f t="shared" si="3"/>
        <v>82390</v>
      </c>
    </row>
    <row r="802">
      <c r="A802" s="5" t="s">
        <v>2097</v>
      </c>
      <c r="C802" s="14" t="s">
        <v>3597</v>
      </c>
      <c r="F802" s="4">
        <v>82390.0</v>
      </c>
      <c r="L802" s="8">
        <f t="shared" si="3"/>
        <v>82390</v>
      </c>
    </row>
    <row r="803">
      <c r="A803" s="5" t="s">
        <v>2099</v>
      </c>
      <c r="C803" s="14" t="s">
        <v>3598</v>
      </c>
      <c r="F803" s="4">
        <v>82390.0</v>
      </c>
      <c r="L803" s="8">
        <f t="shared" si="3"/>
        <v>82390</v>
      </c>
    </row>
    <row r="804">
      <c r="A804" s="5" t="s">
        <v>2088</v>
      </c>
      <c r="C804" s="14" t="s">
        <v>3599</v>
      </c>
      <c r="F804" s="4">
        <v>84890.0</v>
      </c>
      <c r="L804" s="8">
        <f t="shared" si="3"/>
        <v>84890</v>
      </c>
    </row>
    <row r="805">
      <c r="A805" s="5" t="s">
        <v>2091</v>
      </c>
      <c r="C805" s="14" t="s">
        <v>3600</v>
      </c>
      <c r="F805" s="4">
        <v>84890.0</v>
      </c>
      <c r="L805" s="8">
        <f t="shared" si="3"/>
        <v>84890</v>
      </c>
    </row>
    <row r="806">
      <c r="A806" s="5" t="s">
        <v>2093</v>
      </c>
      <c r="C806" s="14" t="s">
        <v>3601</v>
      </c>
      <c r="F806" s="4">
        <v>84890.0</v>
      </c>
      <c r="L806" s="8">
        <f t="shared" si="3"/>
        <v>84890</v>
      </c>
    </row>
    <row r="807">
      <c r="A807" s="5" t="s">
        <v>2085</v>
      </c>
      <c r="C807" s="14" t="s">
        <v>3603</v>
      </c>
      <c r="F807" s="4">
        <v>84890.0</v>
      </c>
      <c r="L807" s="8">
        <f t="shared" si="3"/>
        <v>84890</v>
      </c>
    </row>
    <row r="808">
      <c r="A808" s="5" t="s">
        <v>2567</v>
      </c>
      <c r="C808" s="14" t="s">
        <v>3605</v>
      </c>
      <c r="F808" s="4">
        <v>85890.0</v>
      </c>
      <c r="L808" s="8">
        <f t="shared" si="3"/>
        <v>85890</v>
      </c>
    </row>
    <row r="809">
      <c r="A809" s="5" t="s">
        <v>2572</v>
      </c>
      <c r="C809" s="14" t="s">
        <v>3606</v>
      </c>
      <c r="F809" s="4">
        <v>85890.0</v>
      </c>
      <c r="L809" s="8">
        <f t="shared" si="3"/>
        <v>85890</v>
      </c>
    </row>
    <row r="810">
      <c r="A810" s="5" t="s">
        <v>2568</v>
      </c>
      <c r="C810" s="14" t="s">
        <v>3607</v>
      </c>
      <c r="F810" s="4">
        <v>85890.0</v>
      </c>
      <c r="L810" s="8">
        <f t="shared" si="3"/>
        <v>85890</v>
      </c>
    </row>
    <row r="811">
      <c r="A811" s="5" t="s">
        <v>2570</v>
      </c>
      <c r="C811" s="14" t="s">
        <v>3608</v>
      </c>
      <c r="F811" s="4">
        <v>85890.0</v>
      </c>
      <c r="L811" s="8">
        <f t="shared" si="3"/>
        <v>85890</v>
      </c>
    </row>
    <row r="812">
      <c r="A812" s="2" t="s">
        <v>3609</v>
      </c>
      <c r="C812" s="14" t="s">
        <v>3610</v>
      </c>
      <c r="F812" s="4">
        <v>86890.0</v>
      </c>
      <c r="L812" s="8">
        <f t="shared" si="3"/>
        <v>86890</v>
      </c>
    </row>
    <row r="813">
      <c r="A813" s="5" t="s">
        <v>1685</v>
      </c>
      <c r="C813" s="14" t="s">
        <v>3612</v>
      </c>
      <c r="F813" s="4">
        <v>88390.0</v>
      </c>
      <c r="L813" s="8">
        <f t="shared" si="3"/>
        <v>88390</v>
      </c>
    </row>
    <row r="814">
      <c r="A814" s="2" t="s">
        <v>3613</v>
      </c>
      <c r="C814" s="14" t="s">
        <v>3614</v>
      </c>
      <c r="F814" s="4">
        <v>86890.0</v>
      </c>
      <c r="L814" s="8">
        <f t="shared" si="3"/>
        <v>86890</v>
      </c>
    </row>
    <row r="815">
      <c r="A815" s="2" t="s">
        <v>3615</v>
      </c>
      <c r="C815" s="14" t="s">
        <v>3616</v>
      </c>
      <c r="F815" s="4">
        <v>86890.0</v>
      </c>
      <c r="L815" s="8">
        <f t="shared" si="3"/>
        <v>86890</v>
      </c>
    </row>
    <row r="816">
      <c r="A816" s="5" t="s">
        <v>2576</v>
      </c>
      <c r="C816" s="14" t="s">
        <v>3617</v>
      </c>
      <c r="F816" s="4">
        <v>97390.0</v>
      </c>
      <c r="L816" s="8">
        <f t="shared" si="3"/>
        <v>97390</v>
      </c>
    </row>
    <row r="817">
      <c r="A817" s="5" t="s">
        <v>2580</v>
      </c>
      <c r="C817" s="14" t="s">
        <v>3618</v>
      </c>
      <c r="F817" s="4">
        <v>97390.0</v>
      </c>
      <c r="L817" s="8">
        <f t="shared" si="3"/>
        <v>97390</v>
      </c>
    </row>
    <row r="818">
      <c r="A818" s="5" t="s">
        <v>2552</v>
      </c>
      <c r="C818" s="14" t="s">
        <v>3619</v>
      </c>
      <c r="F818" s="4">
        <v>92390.0</v>
      </c>
      <c r="L818" s="8">
        <f t="shared" si="3"/>
        <v>92390</v>
      </c>
    </row>
    <row r="819">
      <c r="A819" s="5" t="s">
        <v>2551</v>
      </c>
      <c r="C819" s="14" t="s">
        <v>3620</v>
      </c>
      <c r="F819" s="4">
        <v>92390.0</v>
      </c>
      <c r="L819" s="8">
        <f t="shared" si="3"/>
        <v>92390</v>
      </c>
    </row>
    <row r="820">
      <c r="A820" s="5" t="s">
        <v>2554</v>
      </c>
      <c r="C820" s="14" t="s">
        <v>3621</v>
      </c>
      <c r="F820" s="4">
        <v>92390.0</v>
      </c>
      <c r="L820" s="8">
        <f t="shared" si="3"/>
        <v>92390</v>
      </c>
    </row>
    <row r="821">
      <c r="A821" s="5" t="s">
        <v>2557</v>
      </c>
      <c r="C821" s="14" t="s">
        <v>3623</v>
      </c>
      <c r="F821" s="4">
        <v>92390.0</v>
      </c>
      <c r="L821" s="8">
        <f t="shared" si="3"/>
        <v>92390</v>
      </c>
    </row>
    <row r="822">
      <c r="A822" s="2" t="s">
        <v>3624</v>
      </c>
      <c r="C822" s="14" t="s">
        <v>3625</v>
      </c>
      <c r="F822" s="4">
        <v>92390.0</v>
      </c>
      <c r="L822" s="8">
        <f t="shared" si="3"/>
        <v>92390</v>
      </c>
    </row>
    <row r="823">
      <c r="A823" s="5" t="s">
        <v>2578</v>
      </c>
      <c r="C823" s="14" t="s">
        <v>3626</v>
      </c>
      <c r="F823" s="4">
        <v>97390.0</v>
      </c>
      <c r="L823" s="8">
        <f t="shared" si="3"/>
        <v>97390</v>
      </c>
    </row>
    <row r="824">
      <c r="A824" s="2" t="s">
        <v>3627</v>
      </c>
      <c r="C824" s="14" t="s">
        <v>3628</v>
      </c>
      <c r="F824" s="4">
        <v>92390.0</v>
      </c>
      <c r="L824" s="8">
        <f t="shared" si="3"/>
        <v>92390</v>
      </c>
    </row>
    <row r="825">
      <c r="A825" s="2" t="s">
        <v>3629</v>
      </c>
      <c r="C825" s="14" t="s">
        <v>3630</v>
      </c>
      <c r="F825" s="4">
        <v>92390.0</v>
      </c>
      <c r="L825" s="8">
        <f t="shared" si="3"/>
        <v>92390</v>
      </c>
    </row>
    <row r="826">
      <c r="A826" s="5" t="s">
        <v>2523</v>
      </c>
      <c r="C826" s="14" t="s">
        <v>3631</v>
      </c>
      <c r="F826" s="4">
        <v>99890.0</v>
      </c>
      <c r="L826" s="8">
        <f t="shared" si="3"/>
        <v>99890</v>
      </c>
    </row>
    <row r="827">
      <c r="A827" s="5" t="s">
        <v>2528</v>
      </c>
      <c r="C827" s="14" t="s">
        <v>3632</v>
      </c>
      <c r="F827" s="4">
        <v>99890.0</v>
      </c>
      <c r="L827" s="8">
        <f t="shared" si="3"/>
        <v>99890</v>
      </c>
    </row>
    <row r="828">
      <c r="A828" s="5" t="s">
        <v>2561</v>
      </c>
      <c r="C828" s="14" t="s">
        <v>3634</v>
      </c>
      <c r="F828" s="4">
        <v>110890.0</v>
      </c>
      <c r="L828" s="8">
        <f t="shared" si="3"/>
        <v>110890</v>
      </c>
    </row>
    <row r="829">
      <c r="A829" s="5" t="s">
        <v>2559</v>
      </c>
      <c r="C829" s="14" t="s">
        <v>3635</v>
      </c>
      <c r="F829" s="4">
        <v>110890.0</v>
      </c>
      <c r="L829" s="8">
        <f t="shared" si="3"/>
        <v>110890</v>
      </c>
    </row>
    <row r="830">
      <c r="A830" s="5" t="s">
        <v>2565</v>
      </c>
      <c r="C830" s="14" t="s">
        <v>3636</v>
      </c>
      <c r="F830" s="4">
        <v>110890.0</v>
      </c>
      <c r="L830" s="8">
        <f t="shared" si="3"/>
        <v>110890</v>
      </c>
    </row>
    <row r="831">
      <c r="A831" s="2" t="s">
        <v>3637</v>
      </c>
      <c r="C831" s="14" t="s">
        <v>3638</v>
      </c>
      <c r="F831" s="4">
        <v>94390.0</v>
      </c>
      <c r="L831" s="8">
        <f t="shared" si="3"/>
        <v>94390</v>
      </c>
    </row>
    <row r="832">
      <c r="A832" s="2" t="s">
        <v>3639</v>
      </c>
      <c r="C832" s="14" t="s">
        <v>3640</v>
      </c>
      <c r="F832" s="4">
        <v>94390.0</v>
      </c>
      <c r="L832" s="8">
        <f t="shared" si="3"/>
        <v>94390</v>
      </c>
    </row>
    <row r="833">
      <c r="A833" s="5" t="s">
        <v>2521</v>
      </c>
      <c r="C833" s="14" t="s">
        <v>3641</v>
      </c>
      <c r="F833" s="4">
        <v>100390.0</v>
      </c>
      <c r="L833" s="8">
        <f t="shared" si="3"/>
        <v>100390</v>
      </c>
    </row>
    <row r="834">
      <c r="A834" s="2" t="s">
        <v>3642</v>
      </c>
      <c r="C834" s="14" t="s">
        <v>3643</v>
      </c>
      <c r="F834" s="4">
        <v>94390.0</v>
      </c>
      <c r="L834" s="8">
        <f t="shared" si="3"/>
        <v>94390</v>
      </c>
    </row>
    <row r="835">
      <c r="A835" s="5" t="s">
        <v>2526</v>
      </c>
      <c r="C835" s="14" t="s">
        <v>3644</v>
      </c>
      <c r="F835" s="4">
        <v>99890.0</v>
      </c>
      <c r="L835" s="8">
        <f t="shared" si="3"/>
        <v>99890</v>
      </c>
    </row>
    <row r="836">
      <c r="A836" s="2" t="s">
        <v>3645</v>
      </c>
      <c r="C836" s="14" t="s">
        <v>3646</v>
      </c>
      <c r="F836" s="4">
        <v>102890.0</v>
      </c>
      <c r="L836" s="8">
        <f t="shared" si="3"/>
        <v>102890</v>
      </c>
    </row>
    <row r="837">
      <c r="A837" s="2" t="s">
        <v>3648</v>
      </c>
      <c r="C837" s="14" t="s">
        <v>3649</v>
      </c>
      <c r="F837" s="4">
        <v>102890.0</v>
      </c>
      <c r="L837" s="8">
        <f t="shared" si="3"/>
        <v>102890</v>
      </c>
    </row>
    <row r="838">
      <c r="A838" s="2" t="s">
        <v>3650</v>
      </c>
      <c r="C838" s="14" t="s">
        <v>3651</v>
      </c>
      <c r="F838" s="4">
        <v>102890.0</v>
      </c>
      <c r="L838" s="8">
        <f t="shared" si="3"/>
        <v>102890</v>
      </c>
    </row>
    <row r="839">
      <c r="A839" s="2" t="s">
        <v>3652</v>
      </c>
      <c r="C839" s="14" t="s">
        <v>3653</v>
      </c>
      <c r="F839" s="4">
        <v>102890.0</v>
      </c>
      <c r="L839" s="8">
        <f t="shared" si="3"/>
        <v>102890</v>
      </c>
    </row>
    <row r="840">
      <c r="A840" s="2" t="s">
        <v>3654</v>
      </c>
      <c r="C840" s="14" t="s">
        <v>3655</v>
      </c>
      <c r="F840" s="4">
        <v>106890.0</v>
      </c>
      <c r="L840" s="8">
        <f t="shared" si="3"/>
        <v>106890</v>
      </c>
    </row>
    <row r="841">
      <c r="A841" s="2" t="s">
        <v>3656</v>
      </c>
      <c r="C841" s="14" t="s">
        <v>3657</v>
      </c>
      <c r="F841" s="4">
        <v>106890.0</v>
      </c>
      <c r="L841" s="8">
        <f t="shared" si="3"/>
        <v>106890</v>
      </c>
    </row>
    <row r="842">
      <c r="A842" s="2" t="s">
        <v>3658</v>
      </c>
      <c r="C842" s="14" t="s">
        <v>3659</v>
      </c>
      <c r="F842" s="4">
        <v>106890.0</v>
      </c>
      <c r="L842" s="8">
        <f t="shared" si="3"/>
        <v>106890</v>
      </c>
    </row>
    <row r="843">
      <c r="A843" s="2" t="s">
        <v>3662</v>
      </c>
      <c r="C843" s="14" t="s">
        <v>3663</v>
      </c>
      <c r="F843" s="4">
        <v>106890.0</v>
      </c>
      <c r="L843" s="8">
        <f t="shared" si="3"/>
        <v>106890</v>
      </c>
    </row>
    <row r="844">
      <c r="A844" s="2" t="s">
        <v>3666</v>
      </c>
      <c r="C844" s="14" t="s">
        <v>3667</v>
      </c>
      <c r="F844" s="4">
        <v>110890.0</v>
      </c>
      <c r="L844" s="8">
        <f t="shared" si="3"/>
        <v>110890</v>
      </c>
    </row>
    <row r="845">
      <c r="A845" s="2" t="s">
        <v>3669</v>
      </c>
      <c r="C845" s="14" t="s">
        <v>3670</v>
      </c>
      <c r="F845" s="4">
        <v>110890.0</v>
      </c>
      <c r="L845" s="8">
        <f t="shared" si="3"/>
        <v>110890</v>
      </c>
    </row>
    <row r="846">
      <c r="A846" s="2" t="s">
        <v>3671</v>
      </c>
      <c r="C846" s="14" t="s">
        <v>3672</v>
      </c>
      <c r="F846" s="4">
        <v>110890.0</v>
      </c>
      <c r="L846" s="8">
        <f t="shared" si="3"/>
        <v>110890</v>
      </c>
    </row>
    <row r="847">
      <c r="A847" s="2" t="s">
        <v>3673</v>
      </c>
      <c r="C847" s="14" t="s">
        <v>3674</v>
      </c>
      <c r="F847" s="4">
        <v>110890.0</v>
      </c>
      <c r="L847" s="8">
        <f t="shared" si="3"/>
        <v>110890</v>
      </c>
    </row>
    <row r="848">
      <c r="A848" s="2" t="s">
        <v>3675</v>
      </c>
      <c r="C848" s="14" t="s">
        <v>3676</v>
      </c>
      <c r="F848" s="4">
        <v>116390.0</v>
      </c>
      <c r="L848" s="8">
        <f t="shared" si="3"/>
        <v>116390</v>
      </c>
    </row>
    <row r="849">
      <c r="A849" s="2" t="s">
        <v>3677</v>
      </c>
      <c r="C849" s="14" t="s">
        <v>3678</v>
      </c>
      <c r="F849" s="4">
        <v>116390.0</v>
      </c>
      <c r="L849" s="8">
        <f t="shared" si="3"/>
        <v>116390</v>
      </c>
    </row>
    <row r="850">
      <c r="A850" s="2" t="s">
        <v>3679</v>
      </c>
      <c r="C850" s="14" t="s">
        <v>3680</v>
      </c>
      <c r="F850" s="4">
        <v>116390.0</v>
      </c>
      <c r="L850" s="8">
        <f t="shared" si="3"/>
        <v>116390</v>
      </c>
    </row>
    <row r="851">
      <c r="A851" s="2" t="s">
        <v>3681</v>
      </c>
      <c r="C851" s="14" t="s">
        <v>3682</v>
      </c>
      <c r="F851" s="4">
        <v>116390.0</v>
      </c>
      <c r="L851" s="8">
        <f t="shared" si="3"/>
        <v>116390</v>
      </c>
    </row>
    <row r="852">
      <c r="A852" s="2" t="s">
        <v>3683</v>
      </c>
      <c r="C852" s="14" t="s">
        <v>3684</v>
      </c>
      <c r="F852" s="4">
        <v>125390.0</v>
      </c>
      <c r="L852" s="8">
        <f t="shared" si="3"/>
        <v>125390</v>
      </c>
    </row>
    <row r="853">
      <c r="A853" s="2" t="s">
        <v>3685</v>
      </c>
      <c r="C853" s="14" t="s">
        <v>3686</v>
      </c>
      <c r="F853" s="4">
        <v>125390.0</v>
      </c>
      <c r="L853" s="8">
        <f t="shared" si="3"/>
        <v>125390</v>
      </c>
    </row>
    <row r="854">
      <c r="A854" s="2" t="s">
        <v>3687</v>
      </c>
      <c r="C854" s="14" t="s">
        <v>3688</v>
      </c>
      <c r="F854" s="4">
        <v>125390.0</v>
      </c>
      <c r="L854" s="8">
        <f t="shared" si="3"/>
        <v>125390</v>
      </c>
    </row>
    <row r="855">
      <c r="A855" s="2" t="s">
        <v>3689</v>
      </c>
      <c r="C855" s="14" t="s">
        <v>3690</v>
      </c>
      <c r="F855" s="4">
        <v>125390.0</v>
      </c>
      <c r="L855" s="8">
        <f t="shared" si="3"/>
        <v>125390</v>
      </c>
    </row>
    <row r="856">
      <c r="A856" s="2" t="s">
        <v>3691</v>
      </c>
      <c r="C856" s="14" t="s">
        <v>3692</v>
      </c>
      <c r="F856" s="4">
        <v>127390.0</v>
      </c>
      <c r="L856" s="8">
        <f t="shared" si="3"/>
        <v>127390</v>
      </c>
    </row>
    <row r="857">
      <c r="A857" s="2" t="s">
        <v>3693</v>
      </c>
      <c r="C857" s="14" t="s">
        <v>3694</v>
      </c>
      <c r="F857" s="4">
        <v>127390.0</v>
      </c>
      <c r="L857" s="8">
        <f t="shared" si="3"/>
        <v>127390</v>
      </c>
    </row>
    <row r="858">
      <c r="A858" s="2" t="s">
        <v>3695</v>
      </c>
      <c r="C858" s="14" t="s">
        <v>3696</v>
      </c>
      <c r="F858" s="4">
        <v>127390.0</v>
      </c>
      <c r="L858" s="8">
        <f t="shared" si="3"/>
        <v>127390</v>
      </c>
    </row>
    <row r="859">
      <c r="A859" s="2" t="s">
        <v>3699</v>
      </c>
      <c r="C859" s="14" t="s">
        <v>3700</v>
      </c>
      <c r="F859" s="4">
        <v>127390.0</v>
      </c>
      <c r="L859" s="8">
        <f t="shared" si="3"/>
        <v>127390</v>
      </c>
    </row>
    <row r="860">
      <c r="A860" s="5" t="s">
        <v>2532</v>
      </c>
      <c r="C860" s="14" t="s">
        <v>3701</v>
      </c>
      <c r="F860" s="4">
        <v>67390.0</v>
      </c>
      <c r="L860" s="8">
        <f t="shared" si="3"/>
        <v>67390</v>
      </c>
    </row>
    <row r="861">
      <c r="A861" s="5" t="s">
        <v>2535</v>
      </c>
      <c r="C861" s="14" t="s">
        <v>3702</v>
      </c>
      <c r="F861" s="4">
        <v>69390.0</v>
      </c>
      <c r="L861" s="8">
        <f t="shared" si="3"/>
        <v>69390</v>
      </c>
    </row>
    <row r="862">
      <c r="A862" s="5" t="s">
        <v>2536</v>
      </c>
      <c r="C862" s="14" t="s">
        <v>3703</v>
      </c>
      <c r="F862" s="4">
        <v>67390.0</v>
      </c>
      <c r="L862" s="8">
        <f t="shared" si="3"/>
        <v>67390</v>
      </c>
    </row>
    <row r="863">
      <c r="A863" s="5" t="s">
        <v>2539</v>
      </c>
      <c r="C863" s="17" t="s">
        <v>3704</v>
      </c>
      <c r="F863" s="4">
        <v>71890.0</v>
      </c>
      <c r="L863" s="8">
        <f t="shared" si="3"/>
        <v>71890</v>
      </c>
    </row>
    <row r="864">
      <c r="A864" s="5" t="s">
        <v>2116</v>
      </c>
      <c r="C864" s="14" t="s">
        <v>3706</v>
      </c>
      <c r="F864" s="4">
        <v>128390.0</v>
      </c>
      <c r="L864" s="8">
        <f t="shared" si="3"/>
        <v>128390</v>
      </c>
    </row>
    <row r="865">
      <c r="A865" s="5" t="s">
        <v>2117</v>
      </c>
      <c r="C865" s="14" t="s">
        <v>3707</v>
      </c>
      <c r="F865" s="4">
        <v>128390.0</v>
      </c>
      <c r="L865" s="8">
        <f t="shared" si="3"/>
        <v>128390</v>
      </c>
    </row>
    <row r="866">
      <c r="A866" s="5" t="s">
        <v>2112</v>
      </c>
      <c r="C866" s="14" t="s">
        <v>3708</v>
      </c>
      <c r="F866" s="4">
        <v>128390.0</v>
      </c>
      <c r="L866" s="8">
        <f t="shared" si="3"/>
        <v>128390</v>
      </c>
    </row>
    <row r="867">
      <c r="A867" s="5" t="s">
        <v>2108</v>
      </c>
      <c r="C867" s="14" t="s">
        <v>3709</v>
      </c>
      <c r="F867" s="4">
        <v>128390.0</v>
      </c>
      <c r="L867" s="8">
        <f t="shared" si="3"/>
        <v>128390</v>
      </c>
    </row>
    <row r="868">
      <c r="A868" s="2" t="s">
        <v>3710</v>
      </c>
      <c r="C868" s="14" t="s">
        <v>3711</v>
      </c>
      <c r="F868" s="4">
        <v>130390.0</v>
      </c>
      <c r="L868" s="8">
        <f t="shared" si="3"/>
        <v>130390</v>
      </c>
    </row>
    <row r="869">
      <c r="A869" s="2" t="s">
        <v>3712</v>
      </c>
      <c r="C869" s="14" t="s">
        <v>3713</v>
      </c>
      <c r="F869" s="4">
        <v>130390.0</v>
      </c>
      <c r="L869" s="8">
        <f t="shared" si="3"/>
        <v>130390</v>
      </c>
    </row>
    <row r="870">
      <c r="A870" s="2" t="s">
        <v>3714</v>
      </c>
      <c r="C870" s="14" t="s">
        <v>3715</v>
      </c>
      <c r="F870" s="4">
        <v>130390.0</v>
      </c>
      <c r="L870" s="8">
        <f t="shared" si="3"/>
        <v>130390</v>
      </c>
    </row>
    <row r="871">
      <c r="A871" s="2" t="s">
        <v>3716</v>
      </c>
      <c r="C871" s="14" t="s">
        <v>3717</v>
      </c>
      <c r="F871" s="4">
        <v>130390.0</v>
      </c>
      <c r="L871" s="8">
        <f t="shared" si="3"/>
        <v>130390</v>
      </c>
    </row>
    <row r="872">
      <c r="A872" s="2" t="s">
        <v>3719</v>
      </c>
      <c r="C872" s="14" t="s">
        <v>3720</v>
      </c>
      <c r="F872" s="4">
        <v>99890.0</v>
      </c>
      <c r="L872" s="8">
        <f t="shared" si="3"/>
        <v>99890</v>
      </c>
    </row>
    <row r="873">
      <c r="A873" s="2" t="s">
        <v>3721</v>
      </c>
      <c r="C873" s="14" t="s">
        <v>3722</v>
      </c>
      <c r="F873" s="4">
        <v>99890.0</v>
      </c>
      <c r="L873" s="8">
        <f t="shared" si="3"/>
        <v>99890</v>
      </c>
    </row>
    <row r="874">
      <c r="A874" s="2" t="s">
        <v>3723</v>
      </c>
      <c r="C874" s="14" t="s">
        <v>3724</v>
      </c>
      <c r="F874" s="4">
        <v>99890.0</v>
      </c>
      <c r="L874" s="8">
        <f t="shared" si="3"/>
        <v>99890</v>
      </c>
    </row>
    <row r="875">
      <c r="A875" s="2" t="s">
        <v>3725</v>
      </c>
      <c r="C875" s="14" t="s">
        <v>3726</v>
      </c>
      <c r="F875" s="4">
        <v>99890.0</v>
      </c>
      <c r="L875" s="8">
        <f t="shared" si="3"/>
        <v>99890</v>
      </c>
    </row>
    <row r="876">
      <c r="A876" s="2" t="s">
        <v>3727</v>
      </c>
      <c r="C876" s="14" t="s">
        <v>3728</v>
      </c>
      <c r="F876" s="4">
        <v>135890.0</v>
      </c>
      <c r="L876" s="8">
        <f t="shared" si="3"/>
        <v>135890</v>
      </c>
    </row>
    <row r="877">
      <c r="A877" s="2" t="s">
        <v>3729</v>
      </c>
      <c r="C877" s="14" t="s">
        <v>3730</v>
      </c>
      <c r="F877" s="4">
        <v>135890.0</v>
      </c>
      <c r="L877" s="8">
        <f t="shared" si="3"/>
        <v>135890</v>
      </c>
    </row>
    <row r="878">
      <c r="A878" s="2" t="s">
        <v>3733</v>
      </c>
      <c r="C878" s="14" t="s">
        <v>3734</v>
      </c>
      <c r="F878" s="4">
        <v>135890.0</v>
      </c>
      <c r="L878" s="8">
        <f t="shared" si="3"/>
        <v>135890</v>
      </c>
    </row>
    <row r="879">
      <c r="A879" s="2" t="s">
        <v>3735</v>
      </c>
      <c r="C879" s="14" t="s">
        <v>3736</v>
      </c>
      <c r="F879" s="4">
        <v>135890.0</v>
      </c>
      <c r="L879" s="8">
        <f t="shared" si="3"/>
        <v>135890</v>
      </c>
    </row>
    <row r="880">
      <c r="A880" s="2" t="s">
        <v>3737</v>
      </c>
      <c r="C880" s="14" t="s">
        <v>3738</v>
      </c>
      <c r="F880" s="4">
        <v>141390.0</v>
      </c>
      <c r="L880" s="8">
        <f t="shared" si="3"/>
        <v>141390</v>
      </c>
    </row>
    <row r="881">
      <c r="A881" s="2" t="s">
        <v>3739</v>
      </c>
      <c r="C881" s="14" t="s">
        <v>3740</v>
      </c>
      <c r="F881" s="4">
        <v>141390.0</v>
      </c>
      <c r="L881" s="8">
        <f t="shared" si="3"/>
        <v>141390</v>
      </c>
    </row>
    <row r="882">
      <c r="A882" s="2" t="s">
        <v>3741</v>
      </c>
      <c r="C882" s="14" t="s">
        <v>3742</v>
      </c>
      <c r="F882" s="4">
        <v>141390.0</v>
      </c>
      <c r="L882" s="8">
        <f t="shared" si="3"/>
        <v>141390</v>
      </c>
    </row>
    <row r="883">
      <c r="A883" s="2" t="s">
        <v>3743</v>
      </c>
      <c r="C883" s="14" t="s">
        <v>3744</v>
      </c>
      <c r="F883" s="4">
        <v>141390.0</v>
      </c>
      <c r="L883" s="8">
        <f t="shared" si="3"/>
        <v>141390</v>
      </c>
    </row>
    <row r="884">
      <c r="A884" s="2" t="s">
        <v>3745</v>
      </c>
      <c r="C884" s="14" t="s">
        <v>3746</v>
      </c>
      <c r="F884" s="4">
        <v>145890.0</v>
      </c>
      <c r="L884" s="8">
        <f t="shared" si="3"/>
        <v>145890</v>
      </c>
    </row>
    <row r="885">
      <c r="A885" s="2" t="s">
        <v>3747</v>
      </c>
      <c r="C885" s="14" t="s">
        <v>3748</v>
      </c>
      <c r="F885" s="4">
        <v>145890.0</v>
      </c>
      <c r="L885" s="8">
        <f t="shared" si="3"/>
        <v>145890</v>
      </c>
    </row>
    <row r="886">
      <c r="A886" s="2" t="s">
        <v>3749</v>
      </c>
      <c r="C886" s="14" t="s">
        <v>3750</v>
      </c>
      <c r="F886" s="4">
        <v>145890.0</v>
      </c>
      <c r="L886" s="8">
        <f t="shared" si="3"/>
        <v>145890</v>
      </c>
    </row>
    <row r="887">
      <c r="A887" s="2" t="s">
        <v>3751</v>
      </c>
      <c r="C887" s="14" t="s">
        <v>3752</v>
      </c>
      <c r="F887" s="4">
        <v>145890.0</v>
      </c>
      <c r="L887" s="8">
        <f t="shared" si="3"/>
        <v>145890</v>
      </c>
    </row>
    <row r="888">
      <c r="A888" s="2" t="s">
        <v>3753</v>
      </c>
      <c r="C888" s="14" t="s">
        <v>3754</v>
      </c>
      <c r="F888" s="4">
        <v>149390.0</v>
      </c>
      <c r="L888" s="8">
        <f t="shared" si="3"/>
        <v>149390</v>
      </c>
    </row>
    <row r="889">
      <c r="A889" s="2" t="s">
        <v>3755</v>
      </c>
      <c r="C889" s="14" t="s">
        <v>3756</v>
      </c>
      <c r="F889" s="4">
        <v>149390.0</v>
      </c>
      <c r="L889" s="8">
        <f t="shared" si="3"/>
        <v>149390</v>
      </c>
    </row>
    <row r="890">
      <c r="A890" s="2" t="s">
        <v>3757</v>
      </c>
      <c r="C890" s="14" t="s">
        <v>3758</v>
      </c>
      <c r="F890" s="4">
        <v>149390.0</v>
      </c>
      <c r="L890" s="8">
        <f t="shared" si="3"/>
        <v>149390</v>
      </c>
    </row>
    <row r="891">
      <c r="A891" s="2" t="s">
        <v>3759</v>
      </c>
      <c r="C891" s="14" t="s">
        <v>3760</v>
      </c>
      <c r="F891" s="4">
        <v>149390.0</v>
      </c>
      <c r="L891" s="8">
        <f t="shared" si="3"/>
        <v>149390</v>
      </c>
    </row>
    <row r="892">
      <c r="A892" s="2" t="s">
        <v>3761</v>
      </c>
      <c r="C892" s="14" t="s">
        <v>3762</v>
      </c>
      <c r="F892" s="4">
        <v>155890.0</v>
      </c>
      <c r="L892" s="8">
        <f t="shared" si="3"/>
        <v>155890</v>
      </c>
    </row>
    <row r="893">
      <c r="A893" s="2" t="s">
        <v>3763</v>
      </c>
      <c r="C893" s="14" t="s">
        <v>3764</v>
      </c>
      <c r="F893" s="4">
        <v>155890.0</v>
      </c>
      <c r="L893" s="8">
        <f t="shared" si="3"/>
        <v>155890</v>
      </c>
    </row>
    <row r="894">
      <c r="A894" s="2" t="s">
        <v>3765</v>
      </c>
      <c r="C894" s="14" t="s">
        <v>3766</v>
      </c>
      <c r="F894" s="4">
        <v>155890.0</v>
      </c>
      <c r="L894" s="8">
        <f t="shared" si="3"/>
        <v>155890</v>
      </c>
    </row>
    <row r="895">
      <c r="A895" s="2" t="s">
        <v>3767</v>
      </c>
      <c r="C895" s="14" t="s">
        <v>3768</v>
      </c>
      <c r="F895" s="4">
        <v>155890.0</v>
      </c>
      <c r="L895" s="8">
        <f t="shared" si="3"/>
        <v>155890</v>
      </c>
    </row>
    <row r="896">
      <c r="A896" s="5" t="s">
        <v>2540</v>
      </c>
      <c r="C896" s="14" t="s">
        <v>3769</v>
      </c>
      <c r="F896" s="4">
        <v>77890.0</v>
      </c>
      <c r="L896" s="8">
        <f t="shared" si="3"/>
        <v>77890</v>
      </c>
    </row>
    <row r="897">
      <c r="A897" s="5" t="s">
        <v>412</v>
      </c>
      <c r="C897" s="14" t="s">
        <v>3770</v>
      </c>
      <c r="F897" s="4">
        <v>40390.0</v>
      </c>
      <c r="L897" s="8">
        <f t="shared" si="3"/>
        <v>40390</v>
      </c>
    </row>
    <row r="898">
      <c r="A898" s="5" t="s">
        <v>2025</v>
      </c>
      <c r="C898" s="14" t="s">
        <v>3771</v>
      </c>
      <c r="F898" s="4">
        <v>41390.0</v>
      </c>
      <c r="L898" s="8">
        <f t="shared" si="3"/>
        <v>41390</v>
      </c>
    </row>
    <row r="899">
      <c r="A899" s="5" t="s">
        <v>2022</v>
      </c>
      <c r="C899" s="14" t="s">
        <v>3772</v>
      </c>
      <c r="F899" s="4">
        <v>41890.0</v>
      </c>
      <c r="L899" s="8">
        <f t="shared" si="3"/>
        <v>41890</v>
      </c>
    </row>
    <row r="900">
      <c r="A900" s="5" t="s">
        <v>2044</v>
      </c>
      <c r="C900" s="14" t="s">
        <v>3773</v>
      </c>
      <c r="F900" s="4">
        <v>51890.0</v>
      </c>
      <c r="L900" s="8">
        <f t="shared" si="3"/>
        <v>51890</v>
      </c>
    </row>
    <row r="901">
      <c r="A901" s="5" t="s">
        <v>2037</v>
      </c>
      <c r="C901" s="14" t="s">
        <v>3774</v>
      </c>
      <c r="F901" s="4">
        <v>52390.0</v>
      </c>
      <c r="L901" s="8">
        <f t="shared" si="3"/>
        <v>52390</v>
      </c>
    </row>
    <row r="902">
      <c r="A902" s="5" t="s">
        <v>2030</v>
      </c>
      <c r="C902" s="14" t="s">
        <v>3775</v>
      </c>
      <c r="F902" s="4">
        <v>41890.0</v>
      </c>
      <c r="L902" s="8">
        <f t="shared" si="3"/>
        <v>41890</v>
      </c>
    </row>
    <row r="903">
      <c r="A903" s="5" t="s">
        <v>2054</v>
      </c>
      <c r="C903" s="14" t="s">
        <v>3776</v>
      </c>
      <c r="F903" s="4">
        <v>54390.0</v>
      </c>
      <c r="L903" s="8">
        <f t="shared" si="3"/>
        <v>54390</v>
      </c>
    </row>
    <row r="904">
      <c r="A904" s="5" t="s">
        <v>2051</v>
      </c>
      <c r="C904" s="14" t="s">
        <v>3777</v>
      </c>
      <c r="F904" s="4">
        <v>54390.0</v>
      </c>
      <c r="L904" s="8">
        <f t="shared" si="3"/>
        <v>54390</v>
      </c>
    </row>
    <row r="905">
      <c r="A905" s="5" t="s">
        <v>2050</v>
      </c>
      <c r="C905" s="14" t="s">
        <v>3778</v>
      </c>
      <c r="F905" s="4">
        <v>56890.0</v>
      </c>
      <c r="L905" s="8">
        <f t="shared" si="3"/>
        <v>56890</v>
      </c>
    </row>
    <row r="906">
      <c r="A906" s="5" t="s">
        <v>2047</v>
      </c>
      <c r="C906" s="14" t="s">
        <v>3779</v>
      </c>
      <c r="F906" s="4">
        <v>54390.0</v>
      </c>
      <c r="L906" s="8">
        <f t="shared" si="3"/>
        <v>54390</v>
      </c>
    </row>
    <row r="907">
      <c r="A907" s="5" t="s">
        <v>2043</v>
      </c>
      <c r="C907" s="14" t="s">
        <v>3780</v>
      </c>
      <c r="F907" s="4">
        <v>55390.0</v>
      </c>
      <c r="L907" s="8">
        <f t="shared" si="3"/>
        <v>55390</v>
      </c>
    </row>
    <row r="908">
      <c r="A908" s="5" t="s">
        <v>2040</v>
      </c>
      <c r="C908" s="14" t="s">
        <v>3781</v>
      </c>
      <c r="F908" s="4">
        <v>55390.0</v>
      </c>
      <c r="L908" s="8">
        <f t="shared" si="3"/>
        <v>55390</v>
      </c>
    </row>
    <row r="909">
      <c r="A909" s="5" t="s">
        <v>2058</v>
      </c>
      <c r="C909" s="14" t="s">
        <v>3782</v>
      </c>
      <c r="F909" s="4">
        <v>78390.0</v>
      </c>
      <c r="L909" s="8">
        <f t="shared" si="3"/>
        <v>78390</v>
      </c>
    </row>
    <row r="910">
      <c r="A910" s="5" t="s">
        <v>2062</v>
      </c>
      <c r="C910" s="14" t="s">
        <v>3783</v>
      </c>
      <c r="F910" s="4">
        <v>78390.0</v>
      </c>
      <c r="L910" s="8">
        <f t="shared" si="3"/>
        <v>78390</v>
      </c>
    </row>
    <row r="911">
      <c r="A911" s="5" t="s">
        <v>2064</v>
      </c>
      <c r="C911" s="14" t="s">
        <v>3784</v>
      </c>
      <c r="F911" s="4">
        <v>78390.0</v>
      </c>
      <c r="L911" s="8">
        <f t="shared" si="3"/>
        <v>78390</v>
      </c>
    </row>
    <row r="912">
      <c r="A912" s="5" t="s">
        <v>2068</v>
      </c>
      <c r="C912" s="14" t="s">
        <v>3785</v>
      </c>
      <c r="F912" s="4">
        <v>78390.0</v>
      </c>
      <c r="L912" s="8">
        <f t="shared" si="3"/>
        <v>78390</v>
      </c>
    </row>
    <row r="913">
      <c r="A913" s="5" t="s">
        <v>2000</v>
      </c>
      <c r="C913" s="14" t="s">
        <v>3786</v>
      </c>
      <c r="F913" s="4">
        <v>76890.0</v>
      </c>
      <c r="L913" s="8">
        <f t="shared" si="3"/>
        <v>76890</v>
      </c>
    </row>
    <row r="914">
      <c r="A914" s="5" t="s">
        <v>2007</v>
      </c>
      <c r="C914" s="14" t="s">
        <v>3787</v>
      </c>
      <c r="F914" s="4">
        <v>76890.0</v>
      </c>
      <c r="L914" s="8">
        <f t="shared" si="3"/>
        <v>76890</v>
      </c>
    </row>
    <row r="915">
      <c r="A915" s="5" t="s">
        <v>2003</v>
      </c>
      <c r="C915" s="14" t="s">
        <v>3788</v>
      </c>
      <c r="F915" s="4">
        <v>76890.0</v>
      </c>
      <c r="L915" s="8">
        <f t="shared" si="3"/>
        <v>76890</v>
      </c>
    </row>
    <row r="916">
      <c r="A916" s="5" t="s">
        <v>2004</v>
      </c>
      <c r="C916" s="14" t="s">
        <v>3789</v>
      </c>
      <c r="F916" s="4">
        <v>76890.0</v>
      </c>
      <c r="L916" s="8">
        <f t="shared" si="3"/>
        <v>76890</v>
      </c>
    </row>
    <row r="917">
      <c r="A917" s="5" t="s">
        <v>2019</v>
      </c>
      <c r="C917" s="14" t="s">
        <v>3790</v>
      </c>
      <c r="F917" s="4">
        <v>86390.0</v>
      </c>
      <c r="L917" s="8">
        <f t="shared" si="3"/>
        <v>86390</v>
      </c>
    </row>
    <row r="918">
      <c r="A918" s="5" t="s">
        <v>2013</v>
      </c>
      <c r="C918" s="14" t="s">
        <v>3791</v>
      </c>
      <c r="F918" s="4">
        <v>86390.0</v>
      </c>
      <c r="L918" s="8">
        <f t="shared" si="3"/>
        <v>86390</v>
      </c>
    </row>
    <row r="919">
      <c r="A919" s="5" t="s">
        <v>2010</v>
      </c>
      <c r="C919" s="14" t="s">
        <v>3792</v>
      </c>
      <c r="F919" s="4">
        <v>86390.0</v>
      </c>
      <c r="L919" s="8">
        <f t="shared" si="3"/>
        <v>86390</v>
      </c>
    </row>
    <row r="920">
      <c r="A920" s="5" t="s">
        <v>2016</v>
      </c>
      <c r="C920" s="14" t="s">
        <v>3793</v>
      </c>
      <c r="F920" s="4">
        <v>86390.0</v>
      </c>
      <c r="L920" s="8">
        <f t="shared" si="3"/>
        <v>86390</v>
      </c>
    </row>
    <row r="921">
      <c r="A921" s="2" t="s">
        <v>3794</v>
      </c>
      <c r="C921" s="14" t="s">
        <v>3795</v>
      </c>
      <c r="F921" s="4">
        <v>56390.0</v>
      </c>
      <c r="L921" s="8">
        <f t="shared" si="3"/>
        <v>56390</v>
      </c>
    </row>
    <row r="922">
      <c r="A922" s="2" t="s">
        <v>3796</v>
      </c>
      <c r="C922" s="14" t="s">
        <v>3797</v>
      </c>
      <c r="F922" s="4">
        <v>56390.0</v>
      </c>
      <c r="L922" s="8">
        <f t="shared" si="3"/>
        <v>56390</v>
      </c>
    </row>
    <row r="923">
      <c r="A923" s="2" t="s">
        <v>3798</v>
      </c>
      <c r="C923" s="14" t="s">
        <v>3799</v>
      </c>
      <c r="F923" s="4">
        <v>56390.0</v>
      </c>
      <c r="L923" s="8">
        <f t="shared" si="3"/>
        <v>56390</v>
      </c>
    </row>
    <row r="924">
      <c r="A924" s="2" t="s">
        <v>3800</v>
      </c>
      <c r="C924" s="14" t="s">
        <v>3801</v>
      </c>
      <c r="F924" s="4">
        <v>56390.0</v>
      </c>
      <c r="L924" s="8">
        <f t="shared" si="3"/>
        <v>56390</v>
      </c>
    </row>
    <row r="925">
      <c r="A925" s="2" t="s">
        <v>3802</v>
      </c>
      <c r="C925" s="14" t="s">
        <v>3803</v>
      </c>
      <c r="F925" s="4">
        <v>63390.0</v>
      </c>
      <c r="L925" s="8">
        <f t="shared" si="3"/>
        <v>63390</v>
      </c>
    </row>
    <row r="926">
      <c r="A926" s="2" t="s">
        <v>3804</v>
      </c>
      <c r="C926" s="14" t="s">
        <v>3805</v>
      </c>
      <c r="F926" s="4">
        <v>63390.0</v>
      </c>
      <c r="L926" s="8">
        <f t="shared" si="3"/>
        <v>63390</v>
      </c>
    </row>
    <row r="927">
      <c r="A927" s="2" t="s">
        <v>3806</v>
      </c>
      <c r="C927" s="14" t="s">
        <v>3807</v>
      </c>
      <c r="F927" s="4">
        <v>63390.0</v>
      </c>
      <c r="L927" s="8">
        <f t="shared" si="3"/>
        <v>63390</v>
      </c>
    </row>
    <row r="928">
      <c r="A928" s="2" t="s">
        <v>3808</v>
      </c>
      <c r="C928" s="14" t="s">
        <v>3809</v>
      </c>
      <c r="F928" s="4">
        <v>63390.0</v>
      </c>
      <c r="L928" s="8">
        <f t="shared" si="3"/>
        <v>63390</v>
      </c>
    </row>
    <row r="929">
      <c r="A929" s="2" t="s">
        <v>3810</v>
      </c>
      <c r="C929" s="14" t="s">
        <v>3811</v>
      </c>
      <c r="F929" s="4">
        <v>67890.0</v>
      </c>
      <c r="L929" s="8">
        <f t="shared" si="3"/>
        <v>67890</v>
      </c>
    </row>
    <row r="930">
      <c r="A930" s="2" t="s">
        <v>3812</v>
      </c>
      <c r="C930" s="14" t="s">
        <v>3813</v>
      </c>
      <c r="F930" s="4">
        <v>67890.0</v>
      </c>
      <c r="L930" s="8">
        <f t="shared" si="3"/>
        <v>67890</v>
      </c>
    </row>
    <row r="931">
      <c r="A931" s="2" t="s">
        <v>3814</v>
      </c>
      <c r="C931" s="14" t="s">
        <v>3815</v>
      </c>
      <c r="F931" s="4">
        <v>67890.0</v>
      </c>
      <c r="L931" s="8">
        <f t="shared" si="3"/>
        <v>67890</v>
      </c>
    </row>
    <row r="932">
      <c r="A932" s="2" t="s">
        <v>3816</v>
      </c>
      <c r="C932" s="14" t="s">
        <v>3817</v>
      </c>
      <c r="F932" s="4">
        <v>67890.0</v>
      </c>
      <c r="L932" s="8">
        <f t="shared" si="3"/>
        <v>67890</v>
      </c>
    </row>
    <row r="933">
      <c r="A933" s="2" t="s">
        <v>3818</v>
      </c>
      <c r="C933" s="14" t="s">
        <v>3819</v>
      </c>
      <c r="F933" s="4">
        <v>70390.0</v>
      </c>
      <c r="L933" s="8">
        <f t="shared" si="3"/>
        <v>70390</v>
      </c>
    </row>
    <row r="934">
      <c r="A934" s="2" t="s">
        <v>3820</v>
      </c>
      <c r="C934" s="14" t="s">
        <v>3821</v>
      </c>
      <c r="F934" s="4">
        <v>70390.0</v>
      </c>
      <c r="L934" s="8">
        <f t="shared" si="3"/>
        <v>70390</v>
      </c>
    </row>
    <row r="935">
      <c r="A935" s="2" t="s">
        <v>3822</v>
      </c>
      <c r="C935" s="14" t="s">
        <v>3823</v>
      </c>
      <c r="F935" s="4">
        <v>70390.0</v>
      </c>
      <c r="L935" s="8">
        <f t="shared" si="3"/>
        <v>70390</v>
      </c>
    </row>
    <row r="936">
      <c r="A936" s="2" t="s">
        <v>3825</v>
      </c>
      <c r="C936" s="14" t="s">
        <v>3826</v>
      </c>
      <c r="F936" s="4">
        <v>70390.0</v>
      </c>
      <c r="L936" s="8">
        <f t="shared" si="3"/>
        <v>70390</v>
      </c>
    </row>
    <row r="937">
      <c r="A937" s="2" t="s">
        <v>3827</v>
      </c>
      <c r="C937" s="14" t="s">
        <v>3828</v>
      </c>
      <c r="F937" s="4">
        <v>86390.0</v>
      </c>
      <c r="L937" s="8">
        <f t="shared" si="3"/>
        <v>86390</v>
      </c>
    </row>
    <row r="938">
      <c r="A938" s="2" t="s">
        <v>3829</v>
      </c>
      <c r="C938" s="14" t="s">
        <v>3830</v>
      </c>
      <c r="F938" s="4">
        <v>86390.0</v>
      </c>
      <c r="L938" s="8">
        <f t="shared" si="3"/>
        <v>86390</v>
      </c>
    </row>
    <row r="939">
      <c r="A939" s="2" t="s">
        <v>3831</v>
      </c>
      <c r="C939" s="14" t="s">
        <v>3832</v>
      </c>
      <c r="F939" s="4">
        <v>86390.0</v>
      </c>
      <c r="L939" s="8">
        <f t="shared" si="3"/>
        <v>86390</v>
      </c>
    </row>
    <row r="940">
      <c r="A940" s="2" t="s">
        <v>3833</v>
      </c>
      <c r="C940" s="14" t="s">
        <v>3834</v>
      </c>
      <c r="F940" s="4">
        <v>86390.0</v>
      </c>
      <c r="L940" s="8">
        <f t="shared" si="3"/>
        <v>86390</v>
      </c>
    </row>
    <row r="941">
      <c r="A941" s="2" t="s">
        <v>3835</v>
      </c>
      <c r="C941" s="14" t="s">
        <v>3836</v>
      </c>
      <c r="F941" s="4">
        <v>104390.0</v>
      </c>
      <c r="L941" s="8">
        <f t="shared" si="3"/>
        <v>104390</v>
      </c>
    </row>
    <row r="942">
      <c r="A942" s="2" t="s">
        <v>3837</v>
      </c>
      <c r="C942" s="14" t="s">
        <v>3838</v>
      </c>
      <c r="F942" s="4">
        <v>104390.0</v>
      </c>
      <c r="L942" s="8">
        <f t="shared" si="3"/>
        <v>104390</v>
      </c>
    </row>
    <row r="943">
      <c r="A943" s="2" t="s">
        <v>3839</v>
      </c>
      <c r="C943" s="14" t="s">
        <v>3840</v>
      </c>
      <c r="F943" s="4">
        <v>104390.0</v>
      </c>
      <c r="L943" s="8">
        <f t="shared" si="3"/>
        <v>104390</v>
      </c>
    </row>
    <row r="944">
      <c r="A944" s="2" t="s">
        <v>3841</v>
      </c>
      <c r="C944" s="14" t="s">
        <v>3842</v>
      </c>
      <c r="F944" s="4">
        <v>104390.0</v>
      </c>
      <c r="L944" s="8">
        <f t="shared" si="3"/>
        <v>104390</v>
      </c>
    </row>
    <row r="945">
      <c r="A945" s="2" t="s">
        <v>3843</v>
      </c>
      <c r="L945" s="8" t="str">
        <f t="shared" si="3"/>
        <v/>
      </c>
    </row>
    <row r="946">
      <c r="A946" s="2" t="s">
        <v>3844</v>
      </c>
      <c r="C946" s="14" t="s">
        <v>3845</v>
      </c>
      <c r="F946" s="4">
        <v>23390.0</v>
      </c>
      <c r="L946" s="8">
        <f t="shared" si="3"/>
        <v>23390</v>
      </c>
    </row>
    <row r="947">
      <c r="A947" s="2" t="s">
        <v>3846</v>
      </c>
      <c r="C947" s="14" t="s">
        <v>3847</v>
      </c>
      <c r="F947" s="4">
        <v>23390.0</v>
      </c>
      <c r="L947" s="8">
        <f t="shared" si="3"/>
        <v>23390</v>
      </c>
    </row>
    <row r="948">
      <c r="A948" s="2" t="s">
        <v>3848</v>
      </c>
      <c r="C948" s="14" t="s">
        <v>3849</v>
      </c>
      <c r="F948" s="4">
        <v>23390.0</v>
      </c>
      <c r="L948" s="8">
        <f t="shared" si="3"/>
        <v>23390</v>
      </c>
    </row>
    <row r="949">
      <c r="A949" s="2" t="s">
        <v>3850</v>
      </c>
      <c r="C949" s="14" t="s">
        <v>3851</v>
      </c>
      <c r="F949" s="4">
        <v>23390.0</v>
      </c>
      <c r="L949" s="8">
        <f t="shared" si="3"/>
        <v>23390</v>
      </c>
    </row>
    <row r="950">
      <c r="A950" s="2" t="s">
        <v>3852</v>
      </c>
      <c r="C950" s="14" t="s">
        <v>3853</v>
      </c>
      <c r="F950" s="4">
        <v>24890.0</v>
      </c>
      <c r="L950" s="8">
        <f t="shared" si="3"/>
        <v>24890</v>
      </c>
    </row>
    <row r="951">
      <c r="A951" s="2" t="s">
        <v>3854</v>
      </c>
      <c r="C951" s="14" t="s">
        <v>3855</v>
      </c>
      <c r="F951" s="4">
        <v>24890.0</v>
      </c>
      <c r="L951" s="8">
        <f t="shared" si="3"/>
        <v>24890</v>
      </c>
    </row>
    <row r="952">
      <c r="A952" s="2" t="s">
        <v>3856</v>
      </c>
      <c r="C952" s="14" t="s">
        <v>3857</v>
      </c>
      <c r="F952" s="4">
        <v>26890.0</v>
      </c>
      <c r="L952" s="8">
        <f t="shared" si="3"/>
        <v>26890</v>
      </c>
    </row>
    <row r="953">
      <c r="A953" s="2" t="s">
        <v>3858</v>
      </c>
      <c r="C953" s="14" t="s">
        <v>3859</v>
      </c>
      <c r="F953" s="4">
        <v>26890.0</v>
      </c>
      <c r="L953" s="8">
        <f t="shared" si="3"/>
        <v>26890</v>
      </c>
    </row>
    <row r="954">
      <c r="A954" s="2" t="s">
        <v>3860</v>
      </c>
      <c r="C954" s="14" t="s">
        <v>3861</v>
      </c>
      <c r="F954" s="4">
        <v>72390.0</v>
      </c>
      <c r="L954" s="8">
        <f t="shared" si="3"/>
        <v>72390</v>
      </c>
    </row>
    <row r="955">
      <c r="A955" s="2" t="s">
        <v>3862</v>
      </c>
      <c r="C955" s="14" t="s">
        <v>3863</v>
      </c>
      <c r="F955" s="4">
        <v>72390.0</v>
      </c>
      <c r="L955" s="8">
        <f t="shared" si="3"/>
        <v>72390</v>
      </c>
    </row>
    <row r="956">
      <c r="A956" s="2" t="s">
        <v>3864</v>
      </c>
      <c r="B956" s="18"/>
      <c r="C956" s="17" t="s">
        <v>3865</v>
      </c>
      <c r="F956" s="4">
        <v>76890.0</v>
      </c>
      <c r="L956" s="8">
        <f t="shared" si="3"/>
        <v>76890</v>
      </c>
    </row>
    <row r="957">
      <c r="A957" s="2" t="s">
        <v>3866</v>
      </c>
      <c r="C957" s="14" t="s">
        <v>3867</v>
      </c>
      <c r="F957" s="4">
        <v>76890.0</v>
      </c>
      <c r="L957" s="8">
        <f t="shared" si="3"/>
        <v>76890</v>
      </c>
    </row>
    <row r="958">
      <c r="A958" s="2" t="s">
        <v>3868</v>
      </c>
      <c r="C958" s="14" t="s">
        <v>3869</v>
      </c>
      <c r="F958" s="4">
        <v>74890.0</v>
      </c>
      <c r="L958" s="8">
        <f t="shared" si="3"/>
        <v>74890</v>
      </c>
    </row>
    <row r="959">
      <c r="A959" s="2" t="s">
        <v>3870</v>
      </c>
      <c r="C959" s="14" t="s">
        <v>3871</v>
      </c>
      <c r="F959" s="4">
        <v>74890.0</v>
      </c>
      <c r="L959" s="8">
        <f t="shared" si="3"/>
        <v>74890</v>
      </c>
    </row>
    <row r="960">
      <c r="A960" s="2" t="s">
        <v>3873</v>
      </c>
      <c r="C960" s="14" t="s">
        <v>3874</v>
      </c>
      <c r="F960" s="4">
        <v>88390.0</v>
      </c>
      <c r="L960" s="8">
        <f t="shared" si="3"/>
        <v>88390</v>
      </c>
    </row>
    <row r="961">
      <c r="A961" s="2" t="s">
        <v>3875</v>
      </c>
      <c r="C961" s="14" t="s">
        <v>3876</v>
      </c>
      <c r="F961" s="4">
        <v>88390.0</v>
      </c>
      <c r="L961" s="8">
        <f t="shared" si="3"/>
        <v>88390</v>
      </c>
    </row>
    <row r="962">
      <c r="A962" s="2" t="s">
        <v>3877</v>
      </c>
      <c r="C962" s="14" t="s">
        <v>3878</v>
      </c>
      <c r="F962" s="4">
        <v>89390.0</v>
      </c>
      <c r="L962" s="8">
        <f t="shared" si="3"/>
        <v>89390</v>
      </c>
    </row>
    <row r="963">
      <c r="A963" s="2" t="s">
        <v>3879</v>
      </c>
      <c r="C963" s="14" t="s">
        <v>3880</v>
      </c>
      <c r="F963" s="4">
        <v>89390.0</v>
      </c>
      <c r="L963" s="8">
        <f t="shared" si="3"/>
        <v>89390</v>
      </c>
    </row>
    <row r="964">
      <c r="A964" s="2" t="s">
        <v>3881</v>
      </c>
      <c r="C964" s="14" t="s">
        <v>3882</v>
      </c>
      <c r="F964" s="4">
        <v>113890.0</v>
      </c>
      <c r="L964" s="8">
        <f t="shared" si="3"/>
        <v>113890</v>
      </c>
    </row>
    <row r="965">
      <c r="A965" s="2" t="s">
        <v>3883</v>
      </c>
      <c r="C965" s="14" t="s">
        <v>3884</v>
      </c>
      <c r="F965" s="4">
        <v>113890.0</v>
      </c>
      <c r="L965" s="8">
        <f t="shared" si="3"/>
        <v>113890</v>
      </c>
    </row>
    <row r="966">
      <c r="A966" s="2" t="s">
        <v>3885</v>
      </c>
      <c r="C966" s="14" t="s">
        <v>3886</v>
      </c>
      <c r="F966" s="4">
        <v>107890.0</v>
      </c>
      <c r="L966" s="8">
        <f t="shared" si="3"/>
        <v>107890</v>
      </c>
    </row>
    <row r="967">
      <c r="A967" s="2" t="s">
        <v>3887</v>
      </c>
      <c r="C967" s="14" t="s">
        <v>3888</v>
      </c>
      <c r="F967" s="4">
        <v>107890.0</v>
      </c>
      <c r="L967" s="8">
        <f t="shared" si="3"/>
        <v>107890</v>
      </c>
    </row>
    <row r="968">
      <c r="A968" s="2" t="s">
        <v>3889</v>
      </c>
      <c r="C968" s="14" t="s">
        <v>3890</v>
      </c>
      <c r="F968" s="4">
        <v>125390.0</v>
      </c>
      <c r="L968" s="8">
        <f t="shared" si="3"/>
        <v>125390</v>
      </c>
    </row>
    <row r="969">
      <c r="A969" s="2" t="s">
        <v>3891</v>
      </c>
      <c r="C969" s="14" t="s">
        <v>3892</v>
      </c>
      <c r="F969" s="4">
        <v>125390.0</v>
      </c>
      <c r="L969" s="8">
        <f t="shared" si="3"/>
        <v>125390</v>
      </c>
    </row>
    <row r="970">
      <c r="A970" s="2" t="s">
        <v>3893</v>
      </c>
      <c r="C970" s="14" t="s">
        <v>3894</v>
      </c>
      <c r="F970" s="4">
        <v>129890.0</v>
      </c>
      <c r="L970" s="8">
        <f t="shared" si="3"/>
        <v>129890</v>
      </c>
    </row>
    <row r="971">
      <c r="A971" s="2" t="s">
        <v>3895</v>
      </c>
      <c r="C971" s="14" t="s">
        <v>3896</v>
      </c>
      <c r="F971" s="4">
        <v>129890.0</v>
      </c>
      <c r="L971" s="8">
        <f t="shared" si="3"/>
        <v>129890</v>
      </c>
    </row>
    <row r="972">
      <c r="A972" s="2" t="s">
        <v>3897</v>
      </c>
      <c r="C972" s="14" t="s">
        <v>3898</v>
      </c>
      <c r="F972" s="4">
        <v>140390.0</v>
      </c>
      <c r="L972" s="8">
        <f t="shared" si="3"/>
        <v>140390</v>
      </c>
    </row>
    <row r="973">
      <c r="A973" s="2" t="s">
        <v>3899</v>
      </c>
      <c r="C973" s="14" t="s">
        <v>3900</v>
      </c>
      <c r="F973" s="4">
        <v>140390.0</v>
      </c>
      <c r="L973" s="8">
        <f t="shared" si="3"/>
        <v>140390</v>
      </c>
    </row>
    <row r="974">
      <c r="A974" s="2" t="s">
        <v>3901</v>
      </c>
      <c r="C974" s="14" t="s">
        <v>3902</v>
      </c>
      <c r="F974" s="4">
        <v>135890.0</v>
      </c>
      <c r="L974" s="8">
        <f t="shared" si="3"/>
        <v>135890</v>
      </c>
    </row>
    <row r="975">
      <c r="A975" s="2" t="s">
        <v>3903</v>
      </c>
      <c r="C975" s="14" t="s">
        <v>3904</v>
      </c>
      <c r="F975" s="4">
        <v>135890.0</v>
      </c>
      <c r="L975" s="8">
        <f t="shared" si="3"/>
        <v>135890</v>
      </c>
    </row>
    <row r="976">
      <c r="A976" s="2" t="s">
        <v>3905</v>
      </c>
      <c r="C976" s="14" t="s">
        <v>3906</v>
      </c>
      <c r="F976" s="4">
        <v>150890.0</v>
      </c>
      <c r="L976" s="8">
        <f t="shared" si="3"/>
        <v>150890</v>
      </c>
    </row>
    <row r="977">
      <c r="A977" s="2" t="s">
        <v>3907</v>
      </c>
      <c r="C977" s="14" t="s">
        <v>3908</v>
      </c>
      <c r="F977" s="4">
        <v>150890.0</v>
      </c>
      <c r="L977" s="8">
        <f t="shared" si="3"/>
        <v>150890</v>
      </c>
    </row>
    <row r="978">
      <c r="A978" s="2" t="s">
        <v>3909</v>
      </c>
      <c r="L978" s="8" t="str">
        <f t="shared" si="3"/>
        <v/>
      </c>
    </row>
    <row r="979">
      <c r="A979" s="2" t="s">
        <v>3910</v>
      </c>
      <c r="C979" s="14" t="s">
        <v>3911</v>
      </c>
      <c r="F979" s="4">
        <v>33390.0</v>
      </c>
      <c r="L979" s="8">
        <f t="shared" si="3"/>
        <v>33390</v>
      </c>
    </row>
    <row r="980">
      <c r="A980" s="2" t="s">
        <v>3912</v>
      </c>
      <c r="C980" s="14" t="s">
        <v>3913</v>
      </c>
      <c r="F980" s="4">
        <v>33390.0</v>
      </c>
      <c r="L980" s="8">
        <f t="shared" si="3"/>
        <v>33390</v>
      </c>
    </row>
    <row r="981">
      <c r="A981" s="2" t="s">
        <v>3916</v>
      </c>
      <c r="C981" s="14" t="s">
        <v>3917</v>
      </c>
      <c r="F981" s="4">
        <v>33390.0</v>
      </c>
      <c r="L981" s="8">
        <f t="shared" si="3"/>
        <v>33390</v>
      </c>
    </row>
    <row r="982">
      <c r="A982" s="2" t="s">
        <v>3919</v>
      </c>
      <c r="C982" s="14" t="s">
        <v>3920</v>
      </c>
      <c r="F982" s="4">
        <v>35890.0</v>
      </c>
      <c r="L982" s="8">
        <f t="shared" si="3"/>
        <v>35890</v>
      </c>
    </row>
    <row r="983">
      <c r="A983" s="2" t="s">
        <v>3922</v>
      </c>
      <c r="C983" s="14" t="s">
        <v>3923</v>
      </c>
      <c r="F983" s="4">
        <v>35890.0</v>
      </c>
      <c r="L983" s="8">
        <f t="shared" si="3"/>
        <v>35890</v>
      </c>
    </row>
    <row r="984">
      <c r="A984" s="2" t="s">
        <v>3925</v>
      </c>
      <c r="C984" s="14" t="s">
        <v>3926</v>
      </c>
      <c r="F984" s="4">
        <v>35890.0</v>
      </c>
      <c r="L984" s="8">
        <f t="shared" si="3"/>
        <v>35890</v>
      </c>
    </row>
    <row r="985">
      <c r="A985" s="2" t="s">
        <v>3928</v>
      </c>
      <c r="C985" s="14" t="s">
        <v>3929</v>
      </c>
      <c r="F985" s="4">
        <v>39890.0</v>
      </c>
      <c r="L985" s="8">
        <f t="shared" si="3"/>
        <v>39890</v>
      </c>
    </row>
    <row r="986">
      <c r="A986" s="2" t="s">
        <v>3931</v>
      </c>
      <c r="C986" s="14" t="s">
        <v>3932</v>
      </c>
      <c r="F986" s="4">
        <v>39890.0</v>
      </c>
      <c r="L986" s="8">
        <f t="shared" si="3"/>
        <v>39890</v>
      </c>
    </row>
    <row r="987">
      <c r="A987" s="2" t="s">
        <v>3933</v>
      </c>
      <c r="C987" s="14" t="s">
        <v>3934</v>
      </c>
      <c r="F987" s="4">
        <v>39890.0</v>
      </c>
      <c r="L987" s="8">
        <f t="shared" si="3"/>
        <v>39890</v>
      </c>
    </row>
    <row r="988">
      <c r="A988" s="2" t="s">
        <v>3936</v>
      </c>
      <c r="C988" s="14" t="s">
        <v>3937</v>
      </c>
      <c r="F988" s="4">
        <v>40390.0</v>
      </c>
      <c r="L988" s="8">
        <f t="shared" si="3"/>
        <v>40390</v>
      </c>
    </row>
    <row r="989">
      <c r="A989" s="2" t="s">
        <v>3939</v>
      </c>
      <c r="C989" s="14" t="s">
        <v>3940</v>
      </c>
      <c r="F989" s="4">
        <v>40390.0</v>
      </c>
      <c r="L989" s="8">
        <f t="shared" si="3"/>
        <v>40390</v>
      </c>
    </row>
    <row r="990">
      <c r="A990" s="2" t="s">
        <v>3941</v>
      </c>
      <c r="C990" s="14" t="s">
        <v>3942</v>
      </c>
      <c r="F990" s="4">
        <v>40390.0</v>
      </c>
      <c r="L990" s="8">
        <f t="shared" si="3"/>
        <v>40390</v>
      </c>
    </row>
    <row r="991">
      <c r="A991" s="2" t="s">
        <v>3944</v>
      </c>
      <c r="C991" s="14" t="s">
        <v>3945</v>
      </c>
      <c r="F991" s="4">
        <v>45890.0</v>
      </c>
      <c r="L991" s="8">
        <f t="shared" si="3"/>
        <v>45890</v>
      </c>
    </row>
    <row r="992">
      <c r="A992" s="2" t="s">
        <v>3947</v>
      </c>
      <c r="C992" s="14" t="s">
        <v>3948</v>
      </c>
      <c r="F992" s="4">
        <v>46390.0</v>
      </c>
      <c r="L992" s="8">
        <f t="shared" si="3"/>
        <v>46390</v>
      </c>
    </row>
    <row r="993">
      <c r="A993" s="2" t="s">
        <v>3949</v>
      </c>
      <c r="C993" s="14" t="s">
        <v>3950</v>
      </c>
      <c r="F993" s="4">
        <v>46890.0</v>
      </c>
      <c r="L993" s="8">
        <f t="shared" si="3"/>
        <v>46890</v>
      </c>
    </row>
    <row r="994">
      <c r="A994" s="2" t="s">
        <v>3952</v>
      </c>
      <c r="L994" s="8" t="str">
        <f t="shared" si="3"/>
        <v/>
      </c>
    </row>
    <row r="995">
      <c r="A995" s="5" t="s">
        <v>465</v>
      </c>
      <c r="C995" s="14" t="s">
        <v>3953</v>
      </c>
      <c r="F995" s="4">
        <v>9390.0</v>
      </c>
      <c r="L995" s="8">
        <f t="shared" si="3"/>
        <v>9390</v>
      </c>
    </row>
    <row r="996">
      <c r="A996" s="5" t="s">
        <v>485</v>
      </c>
      <c r="C996" s="14" t="s">
        <v>3955</v>
      </c>
      <c r="F996" s="4">
        <v>12890.0</v>
      </c>
      <c r="L996" s="8">
        <f t="shared" si="3"/>
        <v>12890</v>
      </c>
    </row>
    <row r="997">
      <c r="A997" s="2" t="s">
        <v>3957</v>
      </c>
      <c r="C997" s="14" t="s">
        <v>3958</v>
      </c>
      <c r="F997" s="4">
        <v>31890.0</v>
      </c>
      <c r="L997" s="8">
        <f t="shared" si="3"/>
        <v>31890</v>
      </c>
    </row>
    <row r="998">
      <c r="A998" s="2" t="s">
        <v>3960</v>
      </c>
      <c r="C998" s="14" t="s">
        <v>3961</v>
      </c>
      <c r="F998" s="4">
        <v>33390.0</v>
      </c>
      <c r="L998" s="8">
        <f t="shared" si="3"/>
        <v>33390</v>
      </c>
    </row>
    <row r="999">
      <c r="A999" s="2" t="s">
        <v>3963</v>
      </c>
      <c r="L999" s="8" t="str">
        <f t="shared" si="3"/>
        <v/>
      </c>
    </row>
    <row r="1000">
      <c r="A1000" s="5" t="s">
        <v>168</v>
      </c>
      <c r="C1000" s="14" t="s">
        <v>3964</v>
      </c>
      <c r="F1000" s="4">
        <v>21890.0</v>
      </c>
      <c r="L1000" s="8">
        <f t="shared" si="3"/>
        <v>21890</v>
      </c>
    </row>
    <row r="1001">
      <c r="A1001" s="5" t="s">
        <v>1905</v>
      </c>
      <c r="C1001" s="14" t="s">
        <v>3966</v>
      </c>
      <c r="F1001" s="4">
        <v>21890.0</v>
      </c>
      <c r="L1001" s="8">
        <f t="shared" si="3"/>
        <v>21890</v>
      </c>
    </row>
    <row r="1002">
      <c r="A1002" s="5" t="s">
        <v>143</v>
      </c>
      <c r="C1002" s="14" t="s">
        <v>3967</v>
      </c>
      <c r="F1002" s="4">
        <v>22890.0</v>
      </c>
      <c r="L1002" s="8">
        <f t="shared" si="3"/>
        <v>22890</v>
      </c>
    </row>
    <row r="1003">
      <c r="A1003" s="5" t="s">
        <v>146</v>
      </c>
      <c r="C1003" s="14" t="s">
        <v>3969</v>
      </c>
      <c r="F1003" s="4">
        <v>24890.0</v>
      </c>
      <c r="L1003" s="8">
        <f t="shared" si="3"/>
        <v>24890</v>
      </c>
    </row>
    <row r="1004">
      <c r="A1004" s="5" t="s">
        <v>1866</v>
      </c>
      <c r="C1004" s="14" t="s">
        <v>3972</v>
      </c>
      <c r="F1004" s="4">
        <v>32390.0</v>
      </c>
      <c r="L1004" s="8">
        <f t="shared" si="3"/>
        <v>32390</v>
      </c>
    </row>
    <row r="1005">
      <c r="A1005" s="5" t="s">
        <v>1870</v>
      </c>
      <c r="C1005" s="14" t="s">
        <v>3974</v>
      </c>
      <c r="F1005" s="4">
        <v>32390.0</v>
      </c>
      <c r="L1005" s="8">
        <f t="shared" si="3"/>
        <v>32390</v>
      </c>
    </row>
    <row r="1006">
      <c r="A1006" s="5" t="s">
        <v>1874</v>
      </c>
      <c r="C1006" s="14" t="s">
        <v>3975</v>
      </c>
      <c r="F1006" s="4">
        <v>32390.0</v>
      </c>
      <c r="L1006" s="8">
        <f t="shared" si="3"/>
        <v>32390</v>
      </c>
    </row>
    <row r="1007">
      <c r="A1007" s="5" t="s">
        <v>1877</v>
      </c>
      <c r="C1007" s="14" t="s">
        <v>3977</v>
      </c>
      <c r="F1007" s="4">
        <v>34390.0</v>
      </c>
      <c r="L1007" s="8">
        <f t="shared" si="3"/>
        <v>34390</v>
      </c>
    </row>
    <row r="1008">
      <c r="A1008" s="5" t="s">
        <v>1851</v>
      </c>
      <c r="C1008" s="14" t="s">
        <v>3978</v>
      </c>
      <c r="F1008" s="4">
        <v>29890.0</v>
      </c>
      <c r="L1008" s="8">
        <f t="shared" si="3"/>
        <v>29890</v>
      </c>
    </row>
    <row r="1009">
      <c r="A1009" s="5" t="s">
        <v>1855</v>
      </c>
      <c r="C1009" s="17" t="s">
        <v>3980</v>
      </c>
      <c r="F1009" s="4">
        <v>28890.0</v>
      </c>
      <c r="L1009" s="8">
        <f t="shared" si="3"/>
        <v>28890</v>
      </c>
    </row>
    <row r="1010">
      <c r="A1010" s="5" t="s">
        <v>1859</v>
      </c>
      <c r="C1010" s="17" t="s">
        <v>3982</v>
      </c>
      <c r="F1010" s="4">
        <v>30390.0</v>
      </c>
      <c r="L1010" s="8">
        <f t="shared" si="3"/>
        <v>30390</v>
      </c>
    </row>
    <row r="1011">
      <c r="A1011" s="5" t="s">
        <v>1862</v>
      </c>
      <c r="C1011" s="17" t="s">
        <v>3983</v>
      </c>
      <c r="F1011" s="4">
        <v>29890.0</v>
      </c>
      <c r="L1011" s="8">
        <f t="shared" si="3"/>
        <v>29890</v>
      </c>
    </row>
    <row r="1012">
      <c r="A1012" s="2" t="s">
        <v>3985</v>
      </c>
      <c r="C1012" s="14" t="s">
        <v>3986</v>
      </c>
      <c r="F1012" s="4">
        <v>60890.0</v>
      </c>
      <c r="L1012" s="8">
        <f t="shared" si="3"/>
        <v>60890</v>
      </c>
    </row>
    <row r="1013">
      <c r="A1013" s="2" t="s">
        <v>3987</v>
      </c>
      <c r="C1013" s="14" t="s">
        <v>3988</v>
      </c>
      <c r="F1013" s="4">
        <v>23390.0</v>
      </c>
      <c r="L1013" s="8">
        <f t="shared" si="3"/>
        <v>23390</v>
      </c>
    </row>
    <row r="1014">
      <c r="A1014" s="2" t="s">
        <v>3987</v>
      </c>
      <c r="C1014" s="14" t="s">
        <v>3989</v>
      </c>
      <c r="F1014" s="4">
        <v>23390.0</v>
      </c>
      <c r="L1014" s="8">
        <f t="shared" si="3"/>
        <v>23390</v>
      </c>
    </row>
    <row r="1015">
      <c r="A1015" s="2" t="s">
        <v>3991</v>
      </c>
      <c r="C1015" s="14" t="s">
        <v>3992</v>
      </c>
      <c r="F1015" s="4">
        <v>23390.0</v>
      </c>
      <c r="L1015" s="8">
        <f t="shared" si="3"/>
        <v>23390</v>
      </c>
    </row>
    <row r="1016">
      <c r="A1016" s="2" t="s">
        <v>3993</v>
      </c>
      <c r="C1016" s="14" t="s">
        <v>3994</v>
      </c>
      <c r="F1016" s="4">
        <v>23390.0</v>
      </c>
      <c r="L1016" s="8">
        <f t="shared" si="3"/>
        <v>23390</v>
      </c>
    </row>
    <row r="1017">
      <c r="A1017" s="2" t="s">
        <v>3993</v>
      </c>
      <c r="C1017" s="14" t="s">
        <v>3996</v>
      </c>
      <c r="F1017" s="4">
        <v>23390.0</v>
      </c>
      <c r="L1017" s="8">
        <f t="shared" si="3"/>
        <v>23390</v>
      </c>
    </row>
    <row r="1018">
      <c r="A1018" s="2" t="s">
        <v>3991</v>
      </c>
      <c r="C1018" s="14" t="s">
        <v>3998</v>
      </c>
      <c r="F1018" s="4">
        <v>23390.0</v>
      </c>
      <c r="L1018" s="8">
        <f t="shared" si="3"/>
        <v>23390</v>
      </c>
    </row>
    <row r="1019">
      <c r="A1019" s="2" t="s">
        <v>3991</v>
      </c>
      <c r="C1019" s="14" t="s">
        <v>4000</v>
      </c>
      <c r="F1019" s="4">
        <v>23890.0</v>
      </c>
      <c r="L1019" s="8">
        <f t="shared" si="3"/>
        <v>23890</v>
      </c>
    </row>
    <row r="1020">
      <c r="A1020" s="2" t="s">
        <v>3987</v>
      </c>
      <c r="C1020" s="14" t="s">
        <v>4002</v>
      </c>
      <c r="F1020" s="4">
        <v>23890.0</v>
      </c>
      <c r="L1020" s="8">
        <f t="shared" si="3"/>
        <v>23890</v>
      </c>
    </row>
    <row r="1021">
      <c r="A1021" s="2" t="s">
        <v>4004</v>
      </c>
      <c r="C1021" s="14" t="s">
        <v>4005</v>
      </c>
      <c r="F1021" s="4">
        <v>24390.0</v>
      </c>
      <c r="L1021" s="8">
        <f t="shared" si="3"/>
        <v>24390</v>
      </c>
    </row>
    <row r="1022">
      <c r="A1022" s="2" t="s">
        <v>4007</v>
      </c>
      <c r="C1022" s="14" t="s">
        <v>4008</v>
      </c>
      <c r="F1022" s="4">
        <v>25390.0</v>
      </c>
      <c r="L1022" s="8">
        <f t="shared" si="3"/>
        <v>25390</v>
      </c>
    </row>
    <row r="1023">
      <c r="A1023" s="2" t="s">
        <v>3987</v>
      </c>
      <c r="C1023" s="14" t="s">
        <v>4010</v>
      </c>
      <c r="F1023" s="4">
        <v>25390.0</v>
      </c>
      <c r="L1023" s="8">
        <f t="shared" si="3"/>
        <v>25390</v>
      </c>
    </row>
    <row r="1024">
      <c r="A1024" s="2" t="s">
        <v>3993</v>
      </c>
      <c r="C1024" s="14" t="s">
        <v>4011</v>
      </c>
      <c r="F1024" s="4">
        <v>25390.0</v>
      </c>
      <c r="L1024" s="8">
        <f t="shared" si="3"/>
        <v>25390</v>
      </c>
    </row>
    <row r="1025">
      <c r="A1025" s="2" t="s">
        <v>3991</v>
      </c>
      <c r="C1025" s="14" t="s">
        <v>4013</v>
      </c>
      <c r="F1025" s="4">
        <v>25390.0</v>
      </c>
      <c r="L1025" s="8">
        <f t="shared" si="3"/>
        <v>25390</v>
      </c>
    </row>
    <row r="1026">
      <c r="A1026" s="2" t="s">
        <v>3993</v>
      </c>
      <c r="C1026" s="14" t="s">
        <v>4014</v>
      </c>
      <c r="F1026" s="4">
        <v>25390.0</v>
      </c>
      <c r="L1026" s="8">
        <f t="shared" si="3"/>
        <v>25390</v>
      </c>
    </row>
    <row r="1027">
      <c r="A1027" s="2" t="s">
        <v>3991</v>
      </c>
      <c r="C1027" s="14" t="s">
        <v>4015</v>
      </c>
      <c r="F1027" s="4">
        <v>26390.0</v>
      </c>
      <c r="L1027" s="8">
        <f t="shared" si="3"/>
        <v>26390</v>
      </c>
    </row>
    <row r="1028">
      <c r="A1028" s="2" t="s">
        <v>3987</v>
      </c>
      <c r="C1028" s="14" t="s">
        <v>4017</v>
      </c>
      <c r="F1028" s="4">
        <v>25890.0</v>
      </c>
      <c r="L1028" s="8">
        <f t="shared" si="3"/>
        <v>25890</v>
      </c>
    </row>
    <row r="1029">
      <c r="A1029" s="2" t="s">
        <v>3987</v>
      </c>
      <c r="C1029" s="14" t="s">
        <v>4019</v>
      </c>
      <c r="F1029" s="4">
        <v>27890.0</v>
      </c>
      <c r="L1029" s="8">
        <f t="shared" si="3"/>
        <v>27890</v>
      </c>
    </row>
    <row r="1030">
      <c r="A1030" s="2" t="s">
        <v>3987</v>
      </c>
      <c r="C1030" s="14" t="s">
        <v>4020</v>
      </c>
      <c r="F1030" s="4">
        <v>27890.0</v>
      </c>
      <c r="L1030" s="8">
        <f t="shared" si="3"/>
        <v>27890</v>
      </c>
    </row>
    <row r="1031">
      <c r="A1031" s="2" t="s">
        <v>4022</v>
      </c>
      <c r="C1031" s="14" t="s">
        <v>4023</v>
      </c>
      <c r="F1031" s="4">
        <v>27890.0</v>
      </c>
      <c r="L1031" s="8">
        <f t="shared" si="3"/>
        <v>27890</v>
      </c>
    </row>
    <row r="1032">
      <c r="A1032" s="2" t="s">
        <v>3991</v>
      </c>
      <c r="C1032" s="14" t="s">
        <v>4025</v>
      </c>
      <c r="F1032" s="4">
        <v>27890.0</v>
      </c>
      <c r="L1032" s="8">
        <f t="shared" si="3"/>
        <v>27890</v>
      </c>
    </row>
    <row r="1033">
      <c r="A1033" s="2" t="s">
        <v>3991</v>
      </c>
      <c r="C1033" s="14" t="s">
        <v>4027</v>
      </c>
      <c r="F1033" s="4">
        <v>27890.0</v>
      </c>
      <c r="L1033" s="8">
        <f t="shared" si="3"/>
        <v>27890</v>
      </c>
    </row>
    <row r="1034">
      <c r="A1034" s="2" t="s">
        <v>3993</v>
      </c>
      <c r="C1034" s="14" t="s">
        <v>4029</v>
      </c>
      <c r="F1034" s="4">
        <v>27890.0</v>
      </c>
      <c r="L1034" s="8">
        <f t="shared" si="3"/>
        <v>27890</v>
      </c>
    </row>
    <row r="1035">
      <c r="A1035" s="2" t="s">
        <v>3993</v>
      </c>
      <c r="C1035" s="14" t="s">
        <v>4030</v>
      </c>
      <c r="F1035" s="4">
        <v>27890.0</v>
      </c>
      <c r="L1035" s="8">
        <f t="shared" si="3"/>
        <v>27890</v>
      </c>
    </row>
    <row r="1036">
      <c r="A1036" s="2" t="s">
        <v>3987</v>
      </c>
      <c r="C1036" s="14" t="s">
        <v>4032</v>
      </c>
      <c r="F1036" s="4">
        <v>28890.0</v>
      </c>
      <c r="L1036" s="8">
        <f t="shared" si="3"/>
        <v>28890</v>
      </c>
    </row>
    <row r="1037">
      <c r="A1037" s="2" t="s">
        <v>3991</v>
      </c>
      <c r="C1037" s="14" t="s">
        <v>4034</v>
      </c>
      <c r="F1037" s="4">
        <v>28890.0</v>
      </c>
      <c r="L1037" s="8">
        <f t="shared" si="3"/>
        <v>28890</v>
      </c>
    </row>
    <row r="1038">
      <c r="A1038" s="2" t="s">
        <v>4036</v>
      </c>
      <c r="C1038" s="14" t="s">
        <v>4037</v>
      </c>
      <c r="F1038" s="4">
        <v>61890.0</v>
      </c>
      <c r="L1038" s="8">
        <f t="shared" si="3"/>
        <v>61890</v>
      </c>
    </row>
    <row r="1039">
      <c r="A1039" s="2" t="s">
        <v>4038</v>
      </c>
      <c r="C1039" s="14" t="s">
        <v>4039</v>
      </c>
      <c r="F1039" s="2">
        <v>61890.0</v>
      </c>
      <c r="L1039" s="8">
        <f t="shared" si="3"/>
        <v>61890</v>
      </c>
    </row>
    <row r="1040">
      <c r="A1040" s="2" t="s">
        <v>4041</v>
      </c>
      <c r="C1040" s="14" t="s">
        <v>4042</v>
      </c>
      <c r="F1040" s="4">
        <v>61890.0</v>
      </c>
      <c r="L1040" s="8">
        <f t="shared" si="3"/>
        <v>61890</v>
      </c>
    </row>
    <row r="1041">
      <c r="A1041" s="2" t="s">
        <v>4043</v>
      </c>
      <c r="C1041" s="14" t="s">
        <v>4044</v>
      </c>
      <c r="F1041" s="4">
        <v>61890.0</v>
      </c>
      <c r="L1041" s="8">
        <f t="shared" si="3"/>
        <v>61890</v>
      </c>
    </row>
    <row r="1042">
      <c r="A1042" s="2" t="s">
        <v>4045</v>
      </c>
      <c r="C1042" s="14" t="s">
        <v>4046</v>
      </c>
      <c r="F1042" s="4">
        <v>63390.0</v>
      </c>
      <c r="L1042" s="8">
        <f t="shared" si="3"/>
        <v>63390</v>
      </c>
    </row>
    <row r="1043">
      <c r="A1043" s="2" t="s">
        <v>4047</v>
      </c>
      <c r="C1043" s="14" t="s">
        <v>4048</v>
      </c>
      <c r="F1043" s="4">
        <v>63390.0</v>
      </c>
      <c r="L1043" s="8">
        <f t="shared" si="3"/>
        <v>63390</v>
      </c>
    </row>
    <row r="1044">
      <c r="A1044" s="2" t="s">
        <v>4050</v>
      </c>
      <c r="C1044" s="14" t="s">
        <v>4051</v>
      </c>
      <c r="F1044" s="4">
        <v>63890.0</v>
      </c>
      <c r="L1044" s="8">
        <f t="shared" si="3"/>
        <v>63890</v>
      </c>
    </row>
    <row r="1045">
      <c r="A1045" s="2" t="s">
        <v>4053</v>
      </c>
      <c r="C1045" s="14" t="s">
        <v>4054</v>
      </c>
      <c r="F1045" s="4">
        <v>64390.0</v>
      </c>
      <c r="L1045" s="8">
        <f t="shared" si="3"/>
        <v>64390</v>
      </c>
    </row>
    <row r="1046">
      <c r="A1046" s="2" t="s">
        <v>4055</v>
      </c>
      <c r="C1046" s="14" t="s">
        <v>4056</v>
      </c>
      <c r="F1046" s="4">
        <v>64390.0</v>
      </c>
      <c r="L1046" s="8">
        <f t="shared" si="3"/>
        <v>64390</v>
      </c>
    </row>
    <row r="1047">
      <c r="A1047" s="5" t="s">
        <v>698</v>
      </c>
      <c r="C1047" s="14" t="s">
        <v>4057</v>
      </c>
      <c r="F1047" s="4">
        <v>64390.0</v>
      </c>
      <c r="L1047" s="8">
        <f t="shared" si="3"/>
        <v>64390</v>
      </c>
    </row>
    <row r="1048">
      <c r="A1048" s="2" t="s">
        <v>4058</v>
      </c>
      <c r="C1048" s="14" t="s">
        <v>4059</v>
      </c>
      <c r="F1048" s="4">
        <v>64390.0</v>
      </c>
      <c r="L1048" s="8">
        <f t="shared" si="3"/>
        <v>64390</v>
      </c>
    </row>
    <row r="1049">
      <c r="A1049" s="5" t="s">
        <v>701</v>
      </c>
      <c r="C1049" s="14" t="s">
        <v>4060</v>
      </c>
      <c r="F1049" s="4">
        <v>64390.0</v>
      </c>
      <c r="L1049" s="8">
        <f t="shared" si="3"/>
        <v>64390</v>
      </c>
    </row>
    <row r="1050">
      <c r="A1050" s="2" t="s">
        <v>4062</v>
      </c>
      <c r="C1050" s="14" t="s">
        <v>4063</v>
      </c>
      <c r="F1050" s="4">
        <v>64390.0</v>
      </c>
      <c r="L1050" s="8">
        <f t="shared" si="3"/>
        <v>64390</v>
      </c>
    </row>
    <row r="1051">
      <c r="A1051" s="2" t="s">
        <v>4065</v>
      </c>
      <c r="C1051" s="14" t="s">
        <v>4066</v>
      </c>
      <c r="F1051" s="4">
        <v>64390.0</v>
      </c>
      <c r="L1051" s="8">
        <f t="shared" si="3"/>
        <v>64390</v>
      </c>
    </row>
    <row r="1052">
      <c r="A1052" s="2" t="s">
        <v>4068</v>
      </c>
      <c r="C1052" s="14" t="s">
        <v>4069</v>
      </c>
      <c r="F1052" s="4">
        <v>64390.0</v>
      </c>
      <c r="L1052" s="8">
        <f t="shared" si="3"/>
        <v>64390</v>
      </c>
    </row>
    <row r="1053">
      <c r="A1053" s="5" t="s">
        <v>703</v>
      </c>
      <c r="C1053" s="14" t="s">
        <v>4071</v>
      </c>
      <c r="F1053" s="4">
        <v>64390.0</v>
      </c>
      <c r="L1053" s="8">
        <f t="shared" si="3"/>
        <v>64390</v>
      </c>
    </row>
    <row r="1054">
      <c r="A1054" s="2" t="s">
        <v>4072</v>
      </c>
      <c r="C1054" s="14" t="s">
        <v>4073</v>
      </c>
      <c r="F1054" s="4">
        <v>64390.0</v>
      </c>
      <c r="L1054" s="8">
        <f t="shared" si="3"/>
        <v>64390</v>
      </c>
    </row>
    <row r="1055">
      <c r="A1055" s="2" t="s">
        <v>4074</v>
      </c>
      <c r="C1055" s="14" t="s">
        <v>4075</v>
      </c>
      <c r="F1055" s="4">
        <v>64390.0</v>
      </c>
      <c r="L1055" s="8">
        <f t="shared" si="3"/>
        <v>64390</v>
      </c>
    </row>
    <row r="1056">
      <c r="A1056" s="2" t="s">
        <v>4076</v>
      </c>
      <c r="C1056" s="14" t="s">
        <v>4077</v>
      </c>
      <c r="F1056" s="4">
        <v>64390.0</v>
      </c>
      <c r="L1056" s="8">
        <f t="shared" si="3"/>
        <v>64390</v>
      </c>
    </row>
    <row r="1057">
      <c r="A1057" s="2" t="s">
        <v>4078</v>
      </c>
      <c r="C1057" s="14" t="s">
        <v>4079</v>
      </c>
      <c r="F1057" s="4">
        <v>64390.0</v>
      </c>
      <c r="L1057" s="8">
        <f t="shared" si="3"/>
        <v>64390</v>
      </c>
    </row>
    <row r="1058">
      <c r="A1058" s="2" t="s">
        <v>4080</v>
      </c>
      <c r="C1058" s="14" t="s">
        <v>4081</v>
      </c>
      <c r="F1058" s="4">
        <v>64390.0</v>
      </c>
      <c r="L1058" s="8">
        <f t="shared" si="3"/>
        <v>64390</v>
      </c>
    </row>
    <row r="1059">
      <c r="A1059" s="2" t="s">
        <v>4082</v>
      </c>
      <c r="C1059" s="14" t="s">
        <v>4083</v>
      </c>
      <c r="F1059" s="4">
        <v>64390.0</v>
      </c>
      <c r="L1059" s="8">
        <f t="shared" si="3"/>
        <v>64390</v>
      </c>
    </row>
    <row r="1060">
      <c r="A1060" s="2" t="s">
        <v>4085</v>
      </c>
      <c r="C1060" s="14" t="s">
        <v>4086</v>
      </c>
      <c r="F1060" s="4">
        <v>64390.0</v>
      </c>
      <c r="L1060" s="8">
        <f t="shared" si="3"/>
        <v>64390</v>
      </c>
    </row>
    <row r="1061">
      <c r="A1061" s="2" t="s">
        <v>4088</v>
      </c>
      <c r="C1061" s="14" t="s">
        <v>4089</v>
      </c>
      <c r="F1061" s="4">
        <v>64390.0</v>
      </c>
      <c r="L1061" s="8">
        <f t="shared" si="3"/>
        <v>64390</v>
      </c>
    </row>
    <row r="1062">
      <c r="A1062" s="2" t="s">
        <v>4090</v>
      </c>
      <c r="C1062" s="14" t="s">
        <v>4091</v>
      </c>
      <c r="F1062" s="4">
        <v>64390.0</v>
      </c>
      <c r="L1062" s="8">
        <f t="shared" si="3"/>
        <v>64390</v>
      </c>
    </row>
    <row r="1063">
      <c r="A1063" s="2" t="s">
        <v>4092</v>
      </c>
      <c r="C1063" s="14" t="s">
        <v>4093</v>
      </c>
      <c r="F1063" s="4">
        <v>64390.0</v>
      </c>
      <c r="L1063" s="8">
        <f t="shared" si="3"/>
        <v>64390</v>
      </c>
    </row>
    <row r="1064">
      <c r="A1064" s="2" t="s">
        <v>4094</v>
      </c>
      <c r="C1064" s="14" t="s">
        <v>4095</v>
      </c>
      <c r="F1064" s="4">
        <v>64390.0</v>
      </c>
      <c r="L1064" s="8">
        <f t="shared" si="3"/>
        <v>64390</v>
      </c>
    </row>
    <row r="1065">
      <c r="A1065" s="2" t="s">
        <v>4096</v>
      </c>
      <c r="C1065" s="14" t="s">
        <v>4097</v>
      </c>
      <c r="F1065" s="4">
        <v>64390.0</v>
      </c>
      <c r="L1065" s="8">
        <f t="shared" si="3"/>
        <v>64390</v>
      </c>
    </row>
    <row r="1066">
      <c r="A1066" s="2" t="s">
        <v>4098</v>
      </c>
      <c r="C1066" s="14" t="s">
        <v>4099</v>
      </c>
      <c r="F1066" s="4">
        <v>64390.0</v>
      </c>
      <c r="L1066" s="8">
        <f t="shared" si="3"/>
        <v>64390</v>
      </c>
    </row>
    <row r="1067">
      <c r="A1067" s="2" t="s">
        <v>4100</v>
      </c>
      <c r="C1067" s="14" t="s">
        <v>4101</v>
      </c>
      <c r="F1067" s="4">
        <v>64390.0</v>
      </c>
      <c r="L1067" s="8">
        <f t="shared" si="3"/>
        <v>64390</v>
      </c>
    </row>
    <row r="1068">
      <c r="A1068" s="2" t="s">
        <v>4102</v>
      </c>
      <c r="C1068" s="14" t="s">
        <v>4103</v>
      </c>
      <c r="F1068" s="4">
        <v>64390.0</v>
      </c>
      <c r="L1068" s="8">
        <f t="shared" si="3"/>
        <v>64390</v>
      </c>
    </row>
    <row r="1069">
      <c r="A1069" s="2" t="s">
        <v>4104</v>
      </c>
      <c r="C1069" s="14" t="s">
        <v>4105</v>
      </c>
      <c r="F1069" s="4">
        <v>64390.0</v>
      </c>
      <c r="L1069" s="8">
        <f t="shared" si="3"/>
        <v>64390</v>
      </c>
    </row>
    <row r="1070">
      <c r="A1070" s="2" t="s">
        <v>4106</v>
      </c>
      <c r="C1070" s="14" t="s">
        <v>4107</v>
      </c>
      <c r="F1070" s="4">
        <v>64390.0</v>
      </c>
      <c r="L1070" s="8">
        <f t="shared" si="3"/>
        <v>64390</v>
      </c>
    </row>
    <row r="1071">
      <c r="A1071" s="2" t="s">
        <v>4108</v>
      </c>
      <c r="C1071" s="14" t="s">
        <v>4109</v>
      </c>
      <c r="F1071" s="4">
        <v>64390.0</v>
      </c>
      <c r="L1071" s="8">
        <f t="shared" si="3"/>
        <v>64390</v>
      </c>
    </row>
    <row r="1072">
      <c r="A1072" s="2" t="s">
        <v>4110</v>
      </c>
      <c r="C1072" s="14" t="s">
        <v>4111</v>
      </c>
      <c r="F1072" s="4">
        <v>64390.0</v>
      </c>
      <c r="L1072" s="8">
        <f t="shared" si="3"/>
        <v>64390</v>
      </c>
    </row>
    <row r="1073">
      <c r="A1073" s="2" t="s">
        <v>4112</v>
      </c>
      <c r="C1073" s="14" t="s">
        <v>4113</v>
      </c>
      <c r="F1073" s="4">
        <v>64390.0</v>
      </c>
      <c r="L1073" s="8">
        <f t="shared" si="3"/>
        <v>64390</v>
      </c>
    </row>
    <row r="1074">
      <c r="A1074" s="2" t="s">
        <v>4114</v>
      </c>
      <c r="C1074" s="14" t="s">
        <v>4115</v>
      </c>
      <c r="F1074" s="4">
        <v>64390.0</v>
      </c>
      <c r="L1074" s="8">
        <f t="shared" si="3"/>
        <v>64390</v>
      </c>
    </row>
    <row r="1075">
      <c r="A1075" s="2" t="s">
        <v>4116</v>
      </c>
      <c r="C1075" s="14" t="s">
        <v>4117</v>
      </c>
      <c r="F1075" s="4">
        <v>64390.0</v>
      </c>
      <c r="L1075" s="8">
        <f t="shared" si="3"/>
        <v>64390</v>
      </c>
    </row>
    <row r="1076">
      <c r="A1076" s="2" t="s">
        <v>4118</v>
      </c>
      <c r="C1076" s="14" t="s">
        <v>4119</v>
      </c>
      <c r="F1076" s="4">
        <v>64390.0</v>
      </c>
      <c r="L1076" s="8">
        <f t="shared" si="3"/>
        <v>64390</v>
      </c>
    </row>
    <row r="1077">
      <c r="A1077" s="2" t="s">
        <v>4120</v>
      </c>
      <c r="C1077" s="14" t="s">
        <v>4121</v>
      </c>
      <c r="F1077" s="4">
        <v>64390.0</v>
      </c>
      <c r="L1077" s="8">
        <f t="shared" si="3"/>
        <v>64390</v>
      </c>
    </row>
    <row r="1078">
      <c r="A1078" s="2" t="s">
        <v>4122</v>
      </c>
      <c r="C1078" s="14" t="s">
        <v>4123</v>
      </c>
      <c r="F1078" s="4">
        <v>64390.0</v>
      </c>
      <c r="L1078" s="8">
        <f t="shared" si="3"/>
        <v>64390</v>
      </c>
    </row>
    <row r="1079">
      <c r="A1079" s="2" t="s">
        <v>4126</v>
      </c>
      <c r="C1079" s="14" t="s">
        <v>4127</v>
      </c>
      <c r="F1079" s="4">
        <v>64390.0</v>
      </c>
      <c r="L1079" s="8">
        <f t="shared" si="3"/>
        <v>64390</v>
      </c>
    </row>
    <row r="1080">
      <c r="A1080" s="2" t="s">
        <v>4129</v>
      </c>
      <c r="C1080" s="14" t="s">
        <v>4130</v>
      </c>
      <c r="F1080" s="4">
        <v>64390.0</v>
      </c>
      <c r="L1080" s="8">
        <f t="shared" si="3"/>
        <v>64390</v>
      </c>
    </row>
    <row r="1081">
      <c r="A1081" s="2" t="s">
        <v>4132</v>
      </c>
      <c r="C1081" s="14" t="s">
        <v>4133</v>
      </c>
      <c r="F1081" s="4">
        <v>61390.0</v>
      </c>
      <c r="L1081" s="8">
        <f t="shared" si="3"/>
        <v>61390</v>
      </c>
    </row>
    <row r="1082">
      <c r="A1082" s="2" t="s">
        <v>4135</v>
      </c>
      <c r="C1082" s="14" t="s">
        <v>4136</v>
      </c>
      <c r="F1082" s="4">
        <v>65390.0</v>
      </c>
      <c r="L1082" s="8">
        <f t="shared" si="3"/>
        <v>65390</v>
      </c>
    </row>
    <row r="1083">
      <c r="A1083" s="2" t="s">
        <v>4138</v>
      </c>
      <c r="C1083" s="14" t="s">
        <v>4139</v>
      </c>
      <c r="F1083" s="4">
        <v>65390.0</v>
      </c>
      <c r="L1083" s="8">
        <f t="shared" si="3"/>
        <v>65390</v>
      </c>
    </row>
    <row r="1084">
      <c r="A1084" s="2" t="s">
        <v>4141</v>
      </c>
      <c r="C1084" s="14" t="s">
        <v>4142</v>
      </c>
      <c r="F1084" s="4">
        <v>66390.0</v>
      </c>
      <c r="L1084" s="8">
        <f t="shared" si="3"/>
        <v>66390</v>
      </c>
    </row>
    <row r="1085">
      <c r="A1085" s="2" t="s">
        <v>4050</v>
      </c>
      <c r="C1085" s="14" t="s">
        <v>4144</v>
      </c>
      <c r="F1085" s="4">
        <v>66890.0</v>
      </c>
      <c r="L1085" s="8">
        <f t="shared" si="3"/>
        <v>66890</v>
      </c>
    </row>
    <row r="1086">
      <c r="A1086" s="2" t="s">
        <v>4146</v>
      </c>
      <c r="C1086" s="14" t="s">
        <v>4147</v>
      </c>
      <c r="F1086" s="4">
        <v>66890.0</v>
      </c>
      <c r="L1086" s="8">
        <f t="shared" si="3"/>
        <v>66890</v>
      </c>
    </row>
    <row r="1087">
      <c r="A1087" s="2" t="s">
        <v>4149</v>
      </c>
      <c r="C1087" s="14" t="s">
        <v>4150</v>
      </c>
      <c r="F1087" s="4">
        <v>66890.0</v>
      </c>
      <c r="L1087" s="8">
        <f t="shared" si="3"/>
        <v>66890</v>
      </c>
    </row>
    <row r="1088">
      <c r="A1088" s="2" t="s">
        <v>1898</v>
      </c>
      <c r="C1088" s="14" t="s">
        <v>4154</v>
      </c>
      <c r="F1088" s="4">
        <v>68390.0</v>
      </c>
      <c r="L1088" s="8">
        <f t="shared" si="3"/>
        <v>68390</v>
      </c>
    </row>
    <row r="1089">
      <c r="A1089" s="2" t="s">
        <v>4157</v>
      </c>
      <c r="C1089" s="14" t="s">
        <v>4158</v>
      </c>
      <c r="F1089" s="4">
        <v>71390.0</v>
      </c>
      <c r="L1089" s="8">
        <f t="shared" si="3"/>
        <v>71390</v>
      </c>
    </row>
    <row r="1090">
      <c r="A1090" s="2" t="s">
        <v>4161</v>
      </c>
      <c r="C1090" s="14" t="s">
        <v>4162</v>
      </c>
      <c r="F1090" s="4">
        <v>71390.0</v>
      </c>
      <c r="L1090" s="8">
        <f t="shared" si="3"/>
        <v>71390</v>
      </c>
    </row>
    <row r="1091">
      <c r="A1091" s="2" t="s">
        <v>4166</v>
      </c>
      <c r="C1091" s="14" t="s">
        <v>4167</v>
      </c>
      <c r="F1091" s="4">
        <v>71390.0</v>
      </c>
      <c r="L1091" s="8">
        <f t="shared" si="3"/>
        <v>71390</v>
      </c>
    </row>
    <row r="1092">
      <c r="A1092" s="2" t="s">
        <v>4169</v>
      </c>
      <c r="C1092" s="14" t="s">
        <v>4170</v>
      </c>
      <c r="F1092" s="4">
        <v>73890.0</v>
      </c>
      <c r="L1092" s="8">
        <f t="shared" si="3"/>
        <v>73890</v>
      </c>
    </row>
    <row r="1093">
      <c r="A1093" s="2" t="s">
        <v>4177</v>
      </c>
      <c r="C1093" s="14" t="s">
        <v>4179</v>
      </c>
      <c r="F1093" s="4">
        <v>75890.0</v>
      </c>
      <c r="L1093" s="8">
        <f t="shared" si="3"/>
        <v>75890</v>
      </c>
    </row>
    <row r="1094">
      <c r="A1094" s="2" t="s">
        <v>4187</v>
      </c>
      <c r="C1094" s="14" t="s">
        <v>4188</v>
      </c>
      <c r="F1094" s="4">
        <v>76390.0</v>
      </c>
      <c r="L1094" s="8">
        <f t="shared" si="3"/>
        <v>76390</v>
      </c>
    </row>
    <row r="1095">
      <c r="A1095" s="2" t="s">
        <v>4189</v>
      </c>
      <c r="C1095" s="14" t="s">
        <v>4190</v>
      </c>
      <c r="F1095" s="4">
        <v>76390.0</v>
      </c>
      <c r="L1095" s="8">
        <f t="shared" si="3"/>
        <v>76390</v>
      </c>
    </row>
    <row r="1096">
      <c r="A1096" s="2" t="s">
        <v>4191</v>
      </c>
      <c r="C1096" s="14" t="s">
        <v>4192</v>
      </c>
      <c r="F1096" s="4">
        <v>78390.0</v>
      </c>
      <c r="L1096" s="8">
        <f t="shared" si="3"/>
        <v>78390</v>
      </c>
    </row>
    <row r="1097">
      <c r="A1097" s="2" t="s">
        <v>4193</v>
      </c>
      <c r="C1097" s="14" t="s">
        <v>4194</v>
      </c>
      <c r="F1097" s="4">
        <v>80390.0</v>
      </c>
      <c r="L1097" s="8">
        <f t="shared" si="3"/>
        <v>80390</v>
      </c>
    </row>
    <row r="1098">
      <c r="A1098" s="2" t="s">
        <v>4195</v>
      </c>
      <c r="C1098" s="14" t="s">
        <v>4196</v>
      </c>
      <c r="F1098" s="2">
        <v>57890.0</v>
      </c>
      <c r="L1098" s="8">
        <f t="shared" si="3"/>
        <v>57890</v>
      </c>
    </row>
    <row r="1099">
      <c r="A1099" s="2" t="s">
        <v>4197</v>
      </c>
      <c r="C1099" s="14" t="s">
        <v>4198</v>
      </c>
      <c r="F1099" s="2">
        <v>57890.0</v>
      </c>
      <c r="L1099" s="8">
        <f t="shared" si="3"/>
        <v>57890</v>
      </c>
    </row>
    <row r="1100">
      <c r="A1100" s="2" t="s">
        <v>4199</v>
      </c>
      <c r="C1100" s="14" t="s">
        <v>4200</v>
      </c>
      <c r="F1100" s="2">
        <v>57890.0</v>
      </c>
      <c r="L1100" s="8">
        <f t="shared" si="3"/>
        <v>57890</v>
      </c>
    </row>
    <row r="1101">
      <c r="A1101" s="2" t="s">
        <v>4201</v>
      </c>
      <c r="C1101" s="14" t="s">
        <v>4202</v>
      </c>
      <c r="F1101" s="2">
        <v>86390.0</v>
      </c>
      <c r="L1101" s="8">
        <f t="shared" si="3"/>
        <v>86390</v>
      </c>
    </row>
    <row r="1102">
      <c r="A1102" s="2" t="s">
        <v>4201</v>
      </c>
      <c r="C1102" s="14" t="s">
        <v>4203</v>
      </c>
      <c r="F1102" s="2">
        <v>86390.0</v>
      </c>
      <c r="L1102" s="8">
        <f t="shared" si="3"/>
        <v>86390</v>
      </c>
    </row>
    <row r="1103">
      <c r="A1103" s="5" t="s">
        <v>2886</v>
      </c>
      <c r="C1103" s="2"/>
    </row>
    <row r="1104">
      <c r="A1104" s="5" t="s">
        <v>2887</v>
      </c>
      <c r="C1104" s="2"/>
    </row>
    <row r="1105">
      <c r="A1105" s="5" t="s">
        <v>2890</v>
      </c>
      <c r="C1105" s="2"/>
    </row>
    <row r="1106">
      <c r="A1106" s="5" t="s">
        <v>2891</v>
      </c>
      <c r="C1106" s="2"/>
    </row>
    <row r="1107">
      <c r="A1107" s="5" t="s">
        <v>2894</v>
      </c>
      <c r="C1107" s="2"/>
    </row>
    <row r="1108">
      <c r="A1108" s="5" t="s">
        <v>2895</v>
      </c>
      <c r="C1108" s="2"/>
    </row>
    <row r="1109">
      <c r="A1109" s="5" t="s">
        <v>2898</v>
      </c>
      <c r="C1109" s="2"/>
    </row>
    <row r="1110">
      <c r="A1110" s="5" t="s">
        <v>2899</v>
      </c>
      <c r="C1110" s="2"/>
    </row>
    <row r="1111">
      <c r="A1111" s="5" t="s">
        <v>2902</v>
      </c>
      <c r="C1111" s="2"/>
    </row>
    <row r="1112">
      <c r="A1112" s="5" t="s">
        <v>2905</v>
      </c>
      <c r="C1112" s="2"/>
    </row>
    <row r="1113">
      <c r="A1113" s="5" t="s">
        <v>2906</v>
      </c>
      <c r="C1113" s="2"/>
    </row>
    <row r="1114">
      <c r="A1114" s="5" t="s">
        <v>2909</v>
      </c>
      <c r="C1114" s="2"/>
    </row>
    <row r="1115">
      <c r="A1115" s="5" t="s">
        <v>2910</v>
      </c>
      <c r="C1115" s="2"/>
    </row>
    <row r="1116">
      <c r="A1116" s="5" t="s">
        <v>2913</v>
      </c>
      <c r="C1116" s="2"/>
    </row>
    <row r="1117">
      <c r="A1117" s="5" t="s">
        <v>2914</v>
      </c>
      <c r="C1117" s="2"/>
    </row>
    <row r="1118">
      <c r="A1118" s="5" t="s">
        <v>2917</v>
      </c>
      <c r="C1118" s="2"/>
    </row>
    <row r="1119">
      <c r="A1119" s="5" t="s">
        <v>2918</v>
      </c>
      <c r="C1119" s="2"/>
    </row>
    <row r="1120">
      <c r="A1120" s="5" t="s">
        <v>2921</v>
      </c>
      <c r="C1120" s="2"/>
    </row>
    <row r="1121">
      <c r="A1121" s="5" t="s">
        <v>2924</v>
      </c>
      <c r="C1121" s="2"/>
    </row>
    <row r="1122">
      <c r="A1122" s="5" t="s">
        <v>2925</v>
      </c>
      <c r="C1122" s="2"/>
    </row>
    <row r="1123">
      <c r="A1123" s="5" t="s">
        <v>2928</v>
      </c>
      <c r="C1123" s="2"/>
    </row>
    <row r="1124">
      <c r="A1124" s="5" t="s">
        <v>2929</v>
      </c>
      <c r="C1124" s="2"/>
    </row>
    <row r="1125">
      <c r="A1125" s="5" t="s">
        <v>2932</v>
      </c>
      <c r="C1125" s="2"/>
    </row>
    <row r="1126">
      <c r="A1126" s="5" t="s">
        <v>2933</v>
      </c>
      <c r="C1126" s="2"/>
    </row>
    <row r="1127">
      <c r="A1127" s="2" t="s">
        <v>4204</v>
      </c>
      <c r="C1127" s="2"/>
      <c r="L1127" s="8" t="str">
        <f t="shared" ref="L1127:L1449" si="4">F1127</f>
        <v/>
      </c>
    </row>
    <row r="1128">
      <c r="A1128" s="2" t="s">
        <v>4205</v>
      </c>
      <c r="C1128" s="14" t="s">
        <v>4206</v>
      </c>
      <c r="F1128" s="4">
        <v>33390.0</v>
      </c>
      <c r="L1128" s="8">
        <f t="shared" si="4"/>
        <v>33390</v>
      </c>
    </row>
    <row r="1129">
      <c r="A1129" s="2" t="s">
        <v>4207</v>
      </c>
      <c r="C1129" s="14" t="s">
        <v>4208</v>
      </c>
      <c r="F1129" s="4">
        <v>20390.0</v>
      </c>
      <c r="L1129" s="8">
        <f t="shared" si="4"/>
        <v>20390</v>
      </c>
    </row>
    <row r="1130">
      <c r="A1130" s="2" t="s">
        <v>4209</v>
      </c>
      <c r="C1130" s="14" t="s">
        <v>4211</v>
      </c>
      <c r="F1130" s="4">
        <v>20390.0</v>
      </c>
      <c r="L1130" s="8">
        <f t="shared" si="4"/>
        <v>20390</v>
      </c>
    </row>
    <row r="1131">
      <c r="A1131" s="2" t="s">
        <v>4213</v>
      </c>
      <c r="C1131" s="14" t="s">
        <v>4214</v>
      </c>
      <c r="F1131" s="4">
        <v>25390.0</v>
      </c>
      <c r="L1131" s="8">
        <f t="shared" si="4"/>
        <v>25390</v>
      </c>
    </row>
    <row r="1132">
      <c r="A1132" s="2" t="s">
        <v>4216</v>
      </c>
      <c r="C1132" s="14" t="s">
        <v>4218</v>
      </c>
      <c r="F1132" s="4">
        <v>20390.0</v>
      </c>
      <c r="L1132" s="8">
        <f t="shared" si="4"/>
        <v>20390</v>
      </c>
    </row>
    <row r="1133">
      <c r="A1133" s="2" t="s">
        <v>4219</v>
      </c>
      <c r="C1133" s="14" t="s">
        <v>4220</v>
      </c>
      <c r="F1133" s="4">
        <v>33390.0</v>
      </c>
      <c r="L1133" s="8">
        <f t="shared" si="4"/>
        <v>33390</v>
      </c>
    </row>
    <row r="1134">
      <c r="A1134" s="2" t="s">
        <v>4221</v>
      </c>
      <c r="C1134" s="14" t="s">
        <v>4222</v>
      </c>
      <c r="F1134" s="4">
        <v>25890.0</v>
      </c>
      <c r="L1134" s="8">
        <f t="shared" si="4"/>
        <v>25890</v>
      </c>
    </row>
    <row r="1135">
      <c r="A1135" s="2" t="s">
        <v>4223</v>
      </c>
      <c r="C1135" s="14" t="s">
        <v>4224</v>
      </c>
      <c r="F1135" s="4">
        <v>30890.0</v>
      </c>
      <c r="L1135" s="8">
        <f t="shared" si="4"/>
        <v>30890</v>
      </c>
    </row>
    <row r="1136">
      <c r="A1136" s="2" t="s">
        <v>4225</v>
      </c>
      <c r="C1136" s="14" t="s">
        <v>4226</v>
      </c>
      <c r="F1136" s="4">
        <v>33390.0</v>
      </c>
      <c r="L1136" s="8">
        <f t="shared" si="4"/>
        <v>33390</v>
      </c>
    </row>
    <row r="1137">
      <c r="A1137" s="2" t="s">
        <v>4227</v>
      </c>
      <c r="C1137" s="14" t="s">
        <v>4228</v>
      </c>
      <c r="F1137" s="4">
        <v>33390.0</v>
      </c>
      <c r="L1137" s="8">
        <f t="shared" si="4"/>
        <v>33390</v>
      </c>
    </row>
    <row r="1138">
      <c r="A1138" s="2" t="s">
        <v>4229</v>
      </c>
      <c r="C1138" s="14" t="s">
        <v>4230</v>
      </c>
      <c r="F1138" s="4">
        <v>33390.0</v>
      </c>
      <c r="L1138" s="8">
        <f t="shared" si="4"/>
        <v>33390</v>
      </c>
    </row>
    <row r="1139">
      <c r="A1139" s="2" t="s">
        <v>4231</v>
      </c>
      <c r="C1139" s="14" t="s">
        <v>4232</v>
      </c>
      <c r="F1139" s="4">
        <v>33390.0</v>
      </c>
      <c r="L1139" s="8">
        <f t="shared" si="4"/>
        <v>33390</v>
      </c>
    </row>
    <row r="1140">
      <c r="A1140" s="2" t="s">
        <v>4233</v>
      </c>
      <c r="C1140" s="14" t="s">
        <v>4234</v>
      </c>
      <c r="F1140" s="4">
        <v>30890.0</v>
      </c>
      <c r="L1140" s="8">
        <f t="shared" si="4"/>
        <v>30890</v>
      </c>
    </row>
    <row r="1141">
      <c r="A1141" s="2" t="s">
        <v>4235</v>
      </c>
      <c r="C1141" s="2"/>
      <c r="L1141" s="8" t="str">
        <f t="shared" si="4"/>
        <v/>
      </c>
    </row>
    <row r="1142">
      <c r="A1142" s="2" t="s">
        <v>4236</v>
      </c>
      <c r="C1142" s="14" t="s">
        <v>4237</v>
      </c>
      <c r="F1142" s="4">
        <v>18390.0</v>
      </c>
      <c r="L1142" s="8">
        <f t="shared" si="4"/>
        <v>18390</v>
      </c>
    </row>
    <row r="1143">
      <c r="A1143" s="2" t="s">
        <v>4238</v>
      </c>
      <c r="C1143" s="14" t="s">
        <v>4239</v>
      </c>
      <c r="F1143" s="4">
        <v>24390.0</v>
      </c>
      <c r="L1143" s="8">
        <f t="shared" si="4"/>
        <v>24390</v>
      </c>
    </row>
    <row r="1144">
      <c r="A1144" s="2" t="s">
        <v>4240</v>
      </c>
      <c r="C1144" s="14" t="s">
        <v>4241</v>
      </c>
      <c r="F1144" s="4">
        <v>33890.0</v>
      </c>
      <c r="L1144" s="8">
        <f t="shared" si="4"/>
        <v>33890</v>
      </c>
    </row>
    <row r="1145">
      <c r="A1145" s="2" t="s">
        <v>4242</v>
      </c>
      <c r="C1145" s="2"/>
      <c r="L1145" s="8" t="str">
        <f t="shared" si="4"/>
        <v/>
      </c>
    </row>
    <row r="1146">
      <c r="A1146" s="2" t="s">
        <v>4243</v>
      </c>
      <c r="C1146" s="14" t="s">
        <v>4244</v>
      </c>
      <c r="F1146" s="4">
        <v>11890.0</v>
      </c>
      <c r="L1146" s="8">
        <f t="shared" si="4"/>
        <v>11890</v>
      </c>
    </row>
    <row r="1147">
      <c r="A1147" s="2" t="s">
        <v>4245</v>
      </c>
      <c r="C1147" s="14" t="s">
        <v>4246</v>
      </c>
      <c r="F1147" s="4">
        <v>12890.0</v>
      </c>
      <c r="L1147" s="8">
        <f t="shared" si="4"/>
        <v>12890</v>
      </c>
    </row>
    <row r="1148">
      <c r="A1148" s="2" t="s">
        <v>4247</v>
      </c>
      <c r="C1148" s="14" t="s">
        <v>4248</v>
      </c>
      <c r="F1148" s="4">
        <v>12890.0</v>
      </c>
      <c r="L1148" s="8">
        <f t="shared" si="4"/>
        <v>12890</v>
      </c>
    </row>
    <row r="1149">
      <c r="A1149" s="2" t="s">
        <v>4249</v>
      </c>
      <c r="C1149" s="14" t="s">
        <v>4250</v>
      </c>
      <c r="F1149" s="4">
        <v>22390.0</v>
      </c>
      <c r="L1149" s="8">
        <f t="shared" si="4"/>
        <v>22390</v>
      </c>
    </row>
    <row r="1150">
      <c r="A1150" s="2" t="s">
        <v>4251</v>
      </c>
      <c r="C1150" s="14" t="s">
        <v>4252</v>
      </c>
      <c r="F1150" s="4">
        <v>27890.0</v>
      </c>
      <c r="L1150" s="8">
        <f t="shared" si="4"/>
        <v>27890</v>
      </c>
    </row>
    <row r="1151">
      <c r="A1151" s="2" t="s">
        <v>4253</v>
      </c>
      <c r="C1151" s="14" t="s">
        <v>4254</v>
      </c>
      <c r="F1151" s="4">
        <v>27890.0</v>
      </c>
      <c r="L1151" s="8">
        <f t="shared" si="4"/>
        <v>27890</v>
      </c>
    </row>
    <row r="1152">
      <c r="A1152" s="2" t="s">
        <v>4255</v>
      </c>
      <c r="C1152" s="14" t="s">
        <v>4256</v>
      </c>
      <c r="F1152" s="4">
        <v>27890.0</v>
      </c>
      <c r="L1152" s="8">
        <f t="shared" si="4"/>
        <v>27890</v>
      </c>
    </row>
    <row r="1153">
      <c r="A1153" s="2" t="s">
        <v>4257</v>
      </c>
      <c r="C1153" s="14" t="s">
        <v>4258</v>
      </c>
      <c r="F1153" s="4">
        <v>27890.0</v>
      </c>
      <c r="L1153" s="8">
        <f t="shared" si="4"/>
        <v>27890</v>
      </c>
    </row>
    <row r="1154">
      <c r="A1154" s="2" t="s">
        <v>4260</v>
      </c>
      <c r="C1154" s="14" t="s">
        <v>4261</v>
      </c>
      <c r="F1154" s="4">
        <v>28890.0</v>
      </c>
      <c r="L1154" s="8">
        <f t="shared" si="4"/>
        <v>28890</v>
      </c>
    </row>
    <row r="1155">
      <c r="A1155" s="2" t="s">
        <v>4266</v>
      </c>
      <c r="C1155" s="14" t="s">
        <v>4267</v>
      </c>
      <c r="F1155" s="4">
        <v>28890.0</v>
      </c>
      <c r="L1155" s="8">
        <f t="shared" si="4"/>
        <v>28890</v>
      </c>
    </row>
    <row r="1156">
      <c r="A1156" s="2" t="s">
        <v>4270</v>
      </c>
      <c r="C1156" s="14" t="s">
        <v>4271</v>
      </c>
      <c r="F1156" s="4">
        <v>28890.0</v>
      </c>
      <c r="L1156" s="8">
        <f t="shared" si="4"/>
        <v>28890</v>
      </c>
    </row>
    <row r="1157">
      <c r="A1157" s="2" t="s">
        <v>4274</v>
      </c>
      <c r="C1157" s="14" t="s">
        <v>4275</v>
      </c>
      <c r="F1157" s="4">
        <v>28890.0</v>
      </c>
      <c r="L1157" s="8">
        <f t="shared" si="4"/>
        <v>28890</v>
      </c>
    </row>
    <row r="1158">
      <c r="A1158" s="2" t="s">
        <v>4278</v>
      </c>
      <c r="C1158" s="14" t="s">
        <v>4280</v>
      </c>
      <c r="F1158" s="4">
        <v>28890.0</v>
      </c>
      <c r="L1158" s="8">
        <f t="shared" si="4"/>
        <v>28890</v>
      </c>
    </row>
    <row r="1159">
      <c r="A1159" s="2" t="s">
        <v>4283</v>
      </c>
      <c r="C1159" s="14" t="s">
        <v>4284</v>
      </c>
      <c r="F1159" s="4">
        <v>2190.0</v>
      </c>
      <c r="L1159" s="8">
        <f t="shared" si="4"/>
        <v>2190</v>
      </c>
    </row>
    <row r="1160">
      <c r="A1160" s="2" t="s">
        <v>4287</v>
      </c>
      <c r="C1160" s="14" t="s">
        <v>4288</v>
      </c>
      <c r="F1160" s="4">
        <v>2190.0</v>
      </c>
      <c r="L1160" s="8">
        <f t="shared" si="4"/>
        <v>2190</v>
      </c>
    </row>
    <row r="1161">
      <c r="A1161" s="2" t="s">
        <v>4291</v>
      </c>
      <c r="C1161" s="2"/>
      <c r="L1161" s="8" t="str">
        <f t="shared" si="4"/>
        <v/>
      </c>
    </row>
    <row r="1162">
      <c r="A1162" s="5" t="s">
        <v>1299</v>
      </c>
      <c r="C1162" s="14" t="s">
        <v>4293</v>
      </c>
      <c r="F1162" s="4">
        <v>156390.0</v>
      </c>
      <c r="L1162" s="8">
        <f t="shared" si="4"/>
        <v>156390</v>
      </c>
    </row>
    <row r="1163">
      <c r="A1163" s="5" t="s">
        <v>1303</v>
      </c>
      <c r="C1163" s="14" t="s">
        <v>4296</v>
      </c>
      <c r="F1163" s="4">
        <v>156390.0</v>
      </c>
      <c r="L1163" s="8">
        <f t="shared" si="4"/>
        <v>156390</v>
      </c>
    </row>
    <row r="1164">
      <c r="A1164" s="2" t="s">
        <v>4299</v>
      </c>
      <c r="C1164" s="14" t="s">
        <v>4300</v>
      </c>
      <c r="F1164" s="4">
        <v>162390.0</v>
      </c>
      <c r="L1164" s="8">
        <f t="shared" si="4"/>
        <v>162390</v>
      </c>
    </row>
    <row r="1165">
      <c r="A1165" s="2" t="s">
        <v>4303</v>
      </c>
      <c r="C1165" s="14" t="s">
        <v>4304</v>
      </c>
      <c r="F1165" s="4">
        <v>175890.0</v>
      </c>
      <c r="L1165" s="8">
        <f t="shared" si="4"/>
        <v>175890</v>
      </c>
    </row>
    <row r="1166">
      <c r="A1166" s="2" t="s">
        <v>4307</v>
      </c>
      <c r="C1166" s="14" t="s">
        <v>4308</v>
      </c>
      <c r="F1166" s="4">
        <v>192390.0</v>
      </c>
      <c r="L1166" s="8">
        <f t="shared" si="4"/>
        <v>192390</v>
      </c>
    </row>
    <row r="1167">
      <c r="A1167" s="2" t="s">
        <v>4309</v>
      </c>
      <c r="C1167" s="14" t="s">
        <v>4310</v>
      </c>
      <c r="F1167" s="4">
        <v>195390.0</v>
      </c>
      <c r="L1167" s="8">
        <f t="shared" si="4"/>
        <v>195390</v>
      </c>
    </row>
    <row r="1168">
      <c r="A1168" s="2" t="s">
        <v>4311</v>
      </c>
      <c r="C1168" s="14" t="s">
        <v>4312</v>
      </c>
      <c r="F1168" s="4">
        <v>198890.0</v>
      </c>
      <c r="L1168" s="8">
        <f t="shared" si="4"/>
        <v>198890</v>
      </c>
    </row>
    <row r="1169">
      <c r="A1169" s="2" t="s">
        <v>4313</v>
      </c>
      <c r="C1169" s="14" t="s">
        <v>4314</v>
      </c>
      <c r="F1169" s="4">
        <v>198890.0</v>
      </c>
      <c r="L1169" s="8">
        <f t="shared" si="4"/>
        <v>198890</v>
      </c>
    </row>
    <row r="1170">
      <c r="A1170" s="2" t="s">
        <v>4315</v>
      </c>
      <c r="C1170" s="14" t="s">
        <v>4316</v>
      </c>
      <c r="F1170" s="4">
        <v>199890.0</v>
      </c>
      <c r="L1170" s="8">
        <f t="shared" si="4"/>
        <v>199890</v>
      </c>
    </row>
    <row r="1171">
      <c r="A1171" s="2" t="s">
        <v>4317</v>
      </c>
      <c r="C1171" s="14" t="s">
        <v>4318</v>
      </c>
      <c r="F1171" s="4">
        <v>216390.0</v>
      </c>
      <c r="L1171" s="8">
        <f t="shared" si="4"/>
        <v>216390</v>
      </c>
    </row>
    <row r="1172">
      <c r="A1172" s="2" t="s">
        <v>4319</v>
      </c>
      <c r="C1172" s="14" t="s">
        <v>4320</v>
      </c>
      <c r="F1172" s="4">
        <v>216390.0</v>
      </c>
      <c r="L1172" s="8">
        <f t="shared" si="4"/>
        <v>216390</v>
      </c>
    </row>
    <row r="1173">
      <c r="A1173" s="2" t="s">
        <v>4321</v>
      </c>
      <c r="C1173" s="14" t="s">
        <v>4322</v>
      </c>
      <c r="F1173" s="4">
        <v>219890.0</v>
      </c>
      <c r="L1173" s="8">
        <f t="shared" si="4"/>
        <v>219890</v>
      </c>
    </row>
    <row r="1174">
      <c r="A1174" s="2" t="s">
        <v>4323</v>
      </c>
      <c r="C1174" s="14" t="s">
        <v>4324</v>
      </c>
      <c r="F1174" s="4">
        <v>227890.0</v>
      </c>
      <c r="L1174" s="8">
        <f t="shared" si="4"/>
        <v>227890</v>
      </c>
    </row>
    <row r="1175">
      <c r="A1175" s="5" t="s">
        <v>1310</v>
      </c>
      <c r="C1175" s="14" t="s">
        <v>4325</v>
      </c>
      <c r="F1175" s="4">
        <v>229890.0</v>
      </c>
      <c r="L1175" s="8">
        <f t="shared" si="4"/>
        <v>229890</v>
      </c>
    </row>
    <row r="1176">
      <c r="A1176" s="5" t="s">
        <v>1319</v>
      </c>
      <c r="C1176" s="14" t="s">
        <v>4326</v>
      </c>
      <c r="F1176" s="4">
        <v>214890.0</v>
      </c>
      <c r="L1176" s="8">
        <f t="shared" si="4"/>
        <v>214890</v>
      </c>
    </row>
    <row r="1177">
      <c r="A1177" s="5" t="s">
        <v>1315</v>
      </c>
      <c r="C1177" s="14" t="s">
        <v>4327</v>
      </c>
      <c r="F1177" s="4">
        <v>233390.0</v>
      </c>
      <c r="L1177" s="8">
        <f t="shared" si="4"/>
        <v>233390</v>
      </c>
    </row>
    <row r="1178">
      <c r="A1178" s="2" t="s">
        <v>4328</v>
      </c>
      <c r="C1178" s="14" t="s">
        <v>4329</v>
      </c>
      <c r="F1178" s="4">
        <v>236890.0</v>
      </c>
      <c r="L1178" s="8">
        <f t="shared" si="4"/>
        <v>236890</v>
      </c>
    </row>
    <row r="1179">
      <c r="A1179" s="2" t="s">
        <v>4330</v>
      </c>
      <c r="C1179" s="14" t="s">
        <v>4331</v>
      </c>
      <c r="F1179" s="4">
        <v>236890.0</v>
      </c>
      <c r="L1179" s="8">
        <f t="shared" si="4"/>
        <v>236890</v>
      </c>
    </row>
    <row r="1180">
      <c r="A1180" s="2" t="s">
        <v>4332</v>
      </c>
      <c r="C1180" s="14" t="s">
        <v>4333</v>
      </c>
      <c r="F1180" s="4">
        <v>287390.0</v>
      </c>
      <c r="L1180" s="8">
        <f t="shared" si="4"/>
        <v>287390</v>
      </c>
    </row>
    <row r="1181">
      <c r="A1181" s="5" t="s">
        <v>1322</v>
      </c>
      <c r="C1181" s="14" t="s">
        <v>4334</v>
      </c>
      <c r="F1181" s="4">
        <v>293890.0</v>
      </c>
      <c r="L1181" s="8">
        <f t="shared" si="4"/>
        <v>293890</v>
      </c>
    </row>
    <row r="1182">
      <c r="A1182" s="2" t="s">
        <v>4335</v>
      </c>
      <c r="C1182" s="14" t="s">
        <v>4336</v>
      </c>
      <c r="F1182" s="4">
        <v>303890.0</v>
      </c>
      <c r="L1182" s="8">
        <f t="shared" si="4"/>
        <v>303890</v>
      </c>
    </row>
    <row r="1183">
      <c r="A1183" s="5" t="s">
        <v>1325</v>
      </c>
      <c r="C1183" s="14" t="s">
        <v>4338</v>
      </c>
      <c r="F1183" s="4">
        <v>309390.0</v>
      </c>
      <c r="L1183" s="8">
        <f t="shared" si="4"/>
        <v>309390</v>
      </c>
    </row>
    <row r="1184">
      <c r="A1184" s="2" t="s">
        <v>4339</v>
      </c>
      <c r="C1184" s="14" t="s">
        <v>4340</v>
      </c>
      <c r="F1184" s="4">
        <v>311890.0</v>
      </c>
      <c r="L1184" s="8">
        <f t="shared" si="4"/>
        <v>311890</v>
      </c>
    </row>
    <row r="1185">
      <c r="A1185" s="2" t="s">
        <v>4341</v>
      </c>
      <c r="C1185" s="14" t="s">
        <v>4342</v>
      </c>
      <c r="F1185" s="4">
        <v>312890.0</v>
      </c>
      <c r="L1185" s="8">
        <f t="shared" si="4"/>
        <v>312890</v>
      </c>
    </row>
    <row r="1186">
      <c r="A1186" s="2" t="s">
        <v>4343</v>
      </c>
      <c r="C1186" s="14" t="s">
        <v>4344</v>
      </c>
      <c r="F1186" s="4">
        <v>341390.0</v>
      </c>
      <c r="L1186" s="8">
        <f t="shared" si="4"/>
        <v>341390</v>
      </c>
    </row>
    <row r="1187">
      <c r="A1187" s="2" t="s">
        <v>4345</v>
      </c>
      <c r="C1187" s="14" t="s">
        <v>4346</v>
      </c>
      <c r="F1187" s="4">
        <v>350390.0</v>
      </c>
      <c r="L1187" s="8">
        <f t="shared" si="4"/>
        <v>350390</v>
      </c>
    </row>
    <row r="1188">
      <c r="A1188" s="2" t="s">
        <v>4347</v>
      </c>
      <c r="C1188" s="14" t="s">
        <v>4348</v>
      </c>
      <c r="F1188" s="4">
        <v>375390.0</v>
      </c>
      <c r="L1188" s="8">
        <f t="shared" si="4"/>
        <v>375390</v>
      </c>
    </row>
    <row r="1189">
      <c r="A1189" s="2" t="s">
        <v>4349</v>
      </c>
      <c r="C1189" s="14" t="s">
        <v>4350</v>
      </c>
      <c r="F1189" s="4">
        <v>462890.0</v>
      </c>
      <c r="L1189" s="8">
        <f t="shared" si="4"/>
        <v>462890</v>
      </c>
    </row>
    <row r="1190">
      <c r="A1190" s="2" t="s">
        <v>4351</v>
      </c>
      <c r="C1190" s="14" t="s">
        <v>4352</v>
      </c>
      <c r="F1190" s="4">
        <v>166890.0</v>
      </c>
      <c r="L1190" s="8">
        <f t="shared" si="4"/>
        <v>166890</v>
      </c>
    </row>
    <row r="1191">
      <c r="A1191" s="2" t="s">
        <v>4353</v>
      </c>
      <c r="C1191" s="14" t="s">
        <v>4354</v>
      </c>
      <c r="F1191" s="4">
        <v>166890.0</v>
      </c>
      <c r="L1191" s="8">
        <f t="shared" si="4"/>
        <v>166890</v>
      </c>
    </row>
    <row r="1192">
      <c r="A1192" s="2" t="s">
        <v>4355</v>
      </c>
      <c r="C1192" s="14" t="s">
        <v>4356</v>
      </c>
      <c r="F1192" s="4">
        <v>166890.0</v>
      </c>
      <c r="L1192" s="8">
        <f t="shared" si="4"/>
        <v>166890</v>
      </c>
    </row>
    <row r="1193">
      <c r="A1193" s="2" t="s">
        <v>4357</v>
      </c>
      <c r="C1193" s="14" t="s">
        <v>4358</v>
      </c>
      <c r="F1193" s="4">
        <v>166890.0</v>
      </c>
      <c r="L1193" s="8">
        <f t="shared" si="4"/>
        <v>166890</v>
      </c>
    </row>
    <row r="1194">
      <c r="A1194" s="2" t="s">
        <v>4359</v>
      </c>
      <c r="C1194" s="14" t="s">
        <v>4360</v>
      </c>
      <c r="F1194" s="4">
        <v>166890.0</v>
      </c>
      <c r="L1194" s="8">
        <f t="shared" si="4"/>
        <v>166890</v>
      </c>
    </row>
    <row r="1195">
      <c r="A1195" s="2" t="s">
        <v>4361</v>
      </c>
      <c r="C1195" s="14" t="s">
        <v>4362</v>
      </c>
      <c r="F1195" s="4">
        <v>167890.0</v>
      </c>
      <c r="L1195" s="8">
        <f t="shared" si="4"/>
        <v>167890</v>
      </c>
    </row>
    <row r="1196">
      <c r="A1196" s="2" t="s">
        <v>4363</v>
      </c>
      <c r="C1196" s="14" t="s">
        <v>4364</v>
      </c>
      <c r="F1196" s="4">
        <v>176890.0</v>
      </c>
      <c r="L1196" s="8">
        <f t="shared" si="4"/>
        <v>176890</v>
      </c>
    </row>
    <row r="1197">
      <c r="A1197" s="2" t="s">
        <v>4365</v>
      </c>
      <c r="C1197" s="14" t="s">
        <v>4366</v>
      </c>
      <c r="F1197" s="4">
        <v>191890.0</v>
      </c>
      <c r="L1197" s="8">
        <f t="shared" si="4"/>
        <v>191890</v>
      </c>
    </row>
    <row r="1198">
      <c r="A1198" s="2" t="s">
        <v>4367</v>
      </c>
      <c r="C1198" s="14" t="s">
        <v>4368</v>
      </c>
      <c r="F1198" s="4">
        <v>191890.0</v>
      </c>
      <c r="L1198" s="8">
        <f t="shared" si="4"/>
        <v>191890</v>
      </c>
    </row>
    <row r="1199">
      <c r="A1199" s="2" t="s">
        <v>4369</v>
      </c>
      <c r="C1199" s="14" t="s">
        <v>4370</v>
      </c>
      <c r="F1199" s="4">
        <v>191890.0</v>
      </c>
      <c r="L1199" s="8">
        <f t="shared" si="4"/>
        <v>191890</v>
      </c>
    </row>
    <row r="1200">
      <c r="A1200" s="2" t="s">
        <v>4371</v>
      </c>
      <c r="C1200" s="14" t="s">
        <v>4372</v>
      </c>
      <c r="F1200" s="4">
        <v>191890.0</v>
      </c>
      <c r="L1200" s="8">
        <f t="shared" si="4"/>
        <v>191890</v>
      </c>
    </row>
    <row r="1201">
      <c r="A1201" s="2" t="s">
        <v>4373</v>
      </c>
      <c r="C1201" s="14" t="s">
        <v>4374</v>
      </c>
      <c r="F1201" s="4">
        <v>191890.0</v>
      </c>
      <c r="L1201" s="8">
        <f t="shared" si="4"/>
        <v>191890</v>
      </c>
    </row>
    <row r="1202">
      <c r="A1202" s="2" t="s">
        <v>4375</v>
      </c>
      <c r="C1202" s="14" t="s">
        <v>4376</v>
      </c>
      <c r="F1202" s="4">
        <v>191890.0</v>
      </c>
      <c r="L1202" s="8">
        <f t="shared" si="4"/>
        <v>191890</v>
      </c>
    </row>
    <row r="1203">
      <c r="A1203" s="2" t="s">
        <v>4378</v>
      </c>
      <c r="C1203" s="14" t="s">
        <v>4379</v>
      </c>
      <c r="F1203" s="4">
        <v>191890.0</v>
      </c>
      <c r="L1203" s="8">
        <f t="shared" si="4"/>
        <v>191890</v>
      </c>
    </row>
    <row r="1204">
      <c r="A1204" s="2" t="s">
        <v>4380</v>
      </c>
      <c r="C1204" s="14" t="s">
        <v>4381</v>
      </c>
      <c r="F1204" s="4">
        <v>236390.0</v>
      </c>
      <c r="L1204" s="8">
        <f t="shared" si="4"/>
        <v>236390</v>
      </c>
    </row>
    <row r="1205">
      <c r="A1205" s="2" t="s">
        <v>4382</v>
      </c>
      <c r="C1205" s="14" t="s">
        <v>4383</v>
      </c>
      <c r="F1205" s="4">
        <v>236390.0</v>
      </c>
      <c r="L1205" s="8">
        <f t="shared" si="4"/>
        <v>236390</v>
      </c>
    </row>
    <row r="1206">
      <c r="A1206" s="2" t="s">
        <v>4384</v>
      </c>
      <c r="C1206" s="14" t="s">
        <v>4385</v>
      </c>
      <c r="F1206" s="4">
        <v>236390.0</v>
      </c>
      <c r="L1206" s="8">
        <f t="shared" si="4"/>
        <v>236390</v>
      </c>
    </row>
    <row r="1207">
      <c r="A1207" s="2" t="s">
        <v>4386</v>
      </c>
      <c r="C1207" s="14" t="s">
        <v>4387</v>
      </c>
      <c r="F1207" s="4">
        <v>236390.0</v>
      </c>
      <c r="L1207" s="8">
        <f t="shared" si="4"/>
        <v>236390</v>
      </c>
    </row>
    <row r="1208">
      <c r="A1208" s="2" t="s">
        <v>4388</v>
      </c>
      <c r="C1208" s="14" t="s">
        <v>4389</v>
      </c>
      <c r="F1208" s="4">
        <v>236390.0</v>
      </c>
      <c r="L1208" s="8">
        <f t="shared" si="4"/>
        <v>236390</v>
      </c>
    </row>
    <row r="1209">
      <c r="A1209" s="2" t="s">
        <v>4390</v>
      </c>
      <c r="C1209" s="14" t="s">
        <v>4391</v>
      </c>
      <c r="F1209" s="4">
        <v>236390.0</v>
      </c>
      <c r="L1209" s="8">
        <f t="shared" si="4"/>
        <v>236390</v>
      </c>
    </row>
    <row r="1210">
      <c r="A1210" s="2" t="s">
        <v>4392</v>
      </c>
      <c r="C1210" s="14" t="s">
        <v>4393</v>
      </c>
      <c r="F1210" s="4">
        <v>236390.0</v>
      </c>
      <c r="L1210" s="8">
        <f t="shared" si="4"/>
        <v>236390</v>
      </c>
    </row>
    <row r="1211">
      <c r="A1211" s="2" t="s">
        <v>4394</v>
      </c>
      <c r="C1211" s="14" t="s">
        <v>4395</v>
      </c>
      <c r="F1211" s="4">
        <v>240890.0</v>
      </c>
      <c r="L1211" s="8">
        <f t="shared" si="4"/>
        <v>240890</v>
      </c>
    </row>
    <row r="1212">
      <c r="A1212" s="2" t="s">
        <v>4396</v>
      </c>
      <c r="C1212" s="14" t="s">
        <v>4397</v>
      </c>
      <c r="F1212" s="4">
        <v>250390.0</v>
      </c>
      <c r="L1212" s="8">
        <f t="shared" si="4"/>
        <v>250390</v>
      </c>
    </row>
    <row r="1213">
      <c r="A1213" s="2" t="s">
        <v>4398</v>
      </c>
      <c r="C1213" s="14" t="s">
        <v>4399</v>
      </c>
      <c r="F1213" s="4">
        <v>250390.0</v>
      </c>
      <c r="L1213" s="8">
        <f t="shared" si="4"/>
        <v>250390</v>
      </c>
    </row>
    <row r="1214">
      <c r="A1214" s="2" t="s">
        <v>4400</v>
      </c>
      <c r="C1214" s="14" t="s">
        <v>4401</v>
      </c>
      <c r="F1214" s="4">
        <v>250390.0</v>
      </c>
      <c r="L1214" s="8">
        <f t="shared" si="4"/>
        <v>250390</v>
      </c>
    </row>
    <row r="1215">
      <c r="A1215" s="2" t="s">
        <v>4404</v>
      </c>
      <c r="C1215" s="14" t="s">
        <v>4405</v>
      </c>
      <c r="F1215" s="4">
        <v>250390.0</v>
      </c>
      <c r="L1215" s="8">
        <f t="shared" si="4"/>
        <v>250390</v>
      </c>
    </row>
    <row r="1216">
      <c r="A1216" s="2" t="s">
        <v>4407</v>
      </c>
      <c r="C1216" s="14" t="s">
        <v>4408</v>
      </c>
      <c r="F1216" s="4">
        <v>250390.0</v>
      </c>
      <c r="L1216" s="8">
        <f t="shared" si="4"/>
        <v>250390</v>
      </c>
    </row>
    <row r="1217">
      <c r="A1217" s="2" t="s">
        <v>4409</v>
      </c>
      <c r="C1217" s="14" t="s">
        <v>4410</v>
      </c>
      <c r="F1217" s="4">
        <v>250390.0</v>
      </c>
      <c r="L1217" s="8">
        <f t="shared" si="4"/>
        <v>250390</v>
      </c>
    </row>
    <row r="1218">
      <c r="A1218" s="5" t="s">
        <v>2599</v>
      </c>
      <c r="C1218" s="14" t="s">
        <v>4414</v>
      </c>
      <c r="F1218" s="4">
        <v>78390.0</v>
      </c>
      <c r="L1218" s="8">
        <f t="shared" si="4"/>
        <v>78390</v>
      </c>
    </row>
    <row r="1219">
      <c r="A1219" s="5" t="s">
        <v>2584</v>
      </c>
      <c r="C1219" s="14" t="s">
        <v>4415</v>
      </c>
      <c r="F1219" s="4">
        <v>68890.0</v>
      </c>
      <c r="L1219" s="8">
        <f t="shared" si="4"/>
        <v>68890</v>
      </c>
    </row>
    <row r="1220">
      <c r="A1220" s="5" t="s">
        <v>2591</v>
      </c>
      <c r="C1220" s="14" t="s">
        <v>4417</v>
      </c>
      <c r="F1220" s="4">
        <v>67390.0</v>
      </c>
      <c r="L1220" s="8">
        <f t="shared" si="4"/>
        <v>67390</v>
      </c>
    </row>
    <row r="1221">
      <c r="A1221" s="5" t="s">
        <v>2585</v>
      </c>
      <c r="C1221" s="14" t="s">
        <v>4419</v>
      </c>
      <c r="F1221" s="4">
        <v>67890.0</v>
      </c>
      <c r="L1221" s="8">
        <f t="shared" si="4"/>
        <v>67890</v>
      </c>
    </row>
    <row r="1222">
      <c r="A1222" s="5" t="s">
        <v>2589</v>
      </c>
      <c r="C1222" s="14" t="s">
        <v>4421</v>
      </c>
      <c r="F1222" s="4">
        <v>68890.0</v>
      </c>
      <c r="L1222" s="8">
        <f t="shared" si="4"/>
        <v>68890</v>
      </c>
    </row>
    <row r="1223">
      <c r="A1223" s="5" t="s">
        <v>2593</v>
      </c>
      <c r="C1223" s="14" t="s">
        <v>4422</v>
      </c>
      <c r="F1223" s="4">
        <v>77390.0</v>
      </c>
      <c r="L1223" s="8">
        <f t="shared" si="4"/>
        <v>77390</v>
      </c>
    </row>
    <row r="1224">
      <c r="A1224" s="5" t="s">
        <v>2595</v>
      </c>
      <c r="C1224" s="14" t="s">
        <v>4423</v>
      </c>
      <c r="F1224" s="4">
        <v>77890.0</v>
      </c>
      <c r="L1224" s="8">
        <f t="shared" si="4"/>
        <v>77890</v>
      </c>
    </row>
    <row r="1225">
      <c r="A1225" s="5" t="s">
        <v>2601</v>
      </c>
      <c r="C1225" s="14" t="s">
        <v>4424</v>
      </c>
      <c r="F1225" s="4">
        <v>76890.0</v>
      </c>
      <c r="L1225" s="8">
        <f t="shared" si="4"/>
        <v>76890</v>
      </c>
    </row>
    <row r="1226">
      <c r="A1226" s="5" t="s">
        <v>1622</v>
      </c>
      <c r="C1226" s="14" t="s">
        <v>4425</v>
      </c>
      <c r="F1226" s="2">
        <v>144390.0</v>
      </c>
      <c r="L1226" s="8">
        <f t="shared" si="4"/>
        <v>144390</v>
      </c>
    </row>
    <row r="1227">
      <c r="A1227" s="5" t="s">
        <v>1619</v>
      </c>
      <c r="C1227" s="14" t="s">
        <v>4426</v>
      </c>
      <c r="F1227" s="2">
        <v>144390.0</v>
      </c>
      <c r="L1227" s="8">
        <f t="shared" si="4"/>
        <v>144390</v>
      </c>
    </row>
    <row r="1228">
      <c r="A1228" s="5" t="s">
        <v>1620</v>
      </c>
      <c r="C1228" s="14" t="s">
        <v>4427</v>
      </c>
      <c r="F1228" s="2">
        <v>144390.0</v>
      </c>
      <c r="L1228" s="8">
        <f t="shared" si="4"/>
        <v>144390</v>
      </c>
    </row>
    <row r="1229">
      <c r="A1229" s="5" t="s">
        <v>1617</v>
      </c>
      <c r="C1229" s="14" t="s">
        <v>4428</v>
      </c>
      <c r="F1229" s="2">
        <v>144390.0</v>
      </c>
      <c r="L1229" s="8">
        <f t="shared" si="4"/>
        <v>144390</v>
      </c>
    </row>
    <row r="1230">
      <c r="A1230" s="5" t="s">
        <v>1637</v>
      </c>
      <c r="C1230" s="14" t="s">
        <v>4429</v>
      </c>
      <c r="F1230" s="2">
        <v>166390.0</v>
      </c>
      <c r="L1230" s="8">
        <f t="shared" si="4"/>
        <v>166390</v>
      </c>
    </row>
    <row r="1231">
      <c r="A1231" s="5" t="s">
        <v>1640</v>
      </c>
      <c r="C1231" s="14" t="s">
        <v>4430</v>
      </c>
      <c r="F1231" s="2">
        <v>166390.0</v>
      </c>
      <c r="L1231" s="8">
        <f t="shared" si="4"/>
        <v>166390</v>
      </c>
    </row>
    <row r="1232">
      <c r="A1232" s="5" t="s">
        <v>1628</v>
      </c>
      <c r="C1232" s="14" t="s">
        <v>4431</v>
      </c>
      <c r="F1232" s="2">
        <v>166390.0</v>
      </c>
      <c r="L1232" s="8">
        <f t="shared" si="4"/>
        <v>166390</v>
      </c>
    </row>
    <row r="1233">
      <c r="A1233" s="5" t="s">
        <v>1639</v>
      </c>
      <c r="C1233" s="14" t="s">
        <v>4432</v>
      </c>
      <c r="F1233" s="2">
        <v>166390.0</v>
      </c>
      <c r="L1233" s="8">
        <f t="shared" si="4"/>
        <v>166390</v>
      </c>
    </row>
    <row r="1234">
      <c r="A1234" s="5" t="s">
        <v>1642</v>
      </c>
      <c r="C1234" s="14" t="s">
        <v>4433</v>
      </c>
      <c r="F1234" s="2">
        <v>166390.0</v>
      </c>
      <c r="L1234" s="8">
        <f t="shared" si="4"/>
        <v>166390</v>
      </c>
    </row>
    <row r="1235">
      <c r="A1235" s="5" t="s">
        <v>1627</v>
      </c>
      <c r="C1235" s="14" t="s">
        <v>4434</v>
      </c>
      <c r="F1235" s="2">
        <v>166390.0</v>
      </c>
      <c r="L1235" s="8">
        <f t="shared" si="4"/>
        <v>166390</v>
      </c>
    </row>
    <row r="1236">
      <c r="A1236" s="5" t="s">
        <v>1625</v>
      </c>
      <c r="C1236" s="14" t="s">
        <v>4435</v>
      </c>
      <c r="F1236" s="2">
        <v>166390.0</v>
      </c>
      <c r="L1236" s="8">
        <f t="shared" si="4"/>
        <v>166390</v>
      </c>
    </row>
    <row r="1237">
      <c r="A1237" s="5" t="s">
        <v>1624</v>
      </c>
      <c r="C1237" s="14" t="s">
        <v>4436</v>
      </c>
      <c r="F1237" s="2">
        <v>166390.0</v>
      </c>
      <c r="L1237" s="8">
        <f t="shared" si="4"/>
        <v>166390</v>
      </c>
    </row>
    <row r="1238">
      <c r="A1238" s="5" t="s">
        <v>1635</v>
      </c>
      <c r="C1238" s="14" t="s">
        <v>4437</v>
      </c>
      <c r="F1238" s="2">
        <v>188390.0</v>
      </c>
      <c r="L1238" s="8">
        <f t="shared" si="4"/>
        <v>188390</v>
      </c>
    </row>
    <row r="1239">
      <c r="A1239" s="5" t="s">
        <v>1630</v>
      </c>
      <c r="C1239" s="14" t="s">
        <v>4438</v>
      </c>
      <c r="F1239" s="2">
        <v>188390.0</v>
      </c>
      <c r="L1239" s="8">
        <f t="shared" si="4"/>
        <v>188390</v>
      </c>
    </row>
    <row r="1240">
      <c r="A1240" s="5" t="s">
        <v>1634</v>
      </c>
      <c r="C1240" s="14" t="s">
        <v>4439</v>
      </c>
      <c r="F1240" s="2">
        <v>188390.0</v>
      </c>
      <c r="L1240" s="8">
        <f t="shared" si="4"/>
        <v>188390</v>
      </c>
    </row>
    <row r="1241">
      <c r="A1241" s="5" t="s">
        <v>1645</v>
      </c>
      <c r="C1241" s="14" t="s">
        <v>4440</v>
      </c>
      <c r="F1241" s="2">
        <v>188390.0</v>
      </c>
      <c r="L1241" s="8">
        <f t="shared" si="4"/>
        <v>188390</v>
      </c>
    </row>
    <row r="1242">
      <c r="A1242" s="5" t="s">
        <v>1632</v>
      </c>
      <c r="C1242" s="14" t="s">
        <v>4441</v>
      </c>
      <c r="F1242" s="2">
        <v>188390.0</v>
      </c>
      <c r="L1242" s="8">
        <f t="shared" si="4"/>
        <v>188390</v>
      </c>
    </row>
    <row r="1243">
      <c r="A1243" s="5" t="s">
        <v>1643</v>
      </c>
      <c r="C1243" s="14" t="s">
        <v>4442</v>
      </c>
      <c r="F1243" s="2">
        <v>188390.0</v>
      </c>
      <c r="L1243" s="8">
        <f t="shared" si="4"/>
        <v>188390</v>
      </c>
    </row>
    <row r="1244">
      <c r="A1244" s="5" t="s">
        <v>1646</v>
      </c>
      <c r="C1244" s="14" t="s">
        <v>4443</v>
      </c>
      <c r="F1244" s="2">
        <v>188390.0</v>
      </c>
      <c r="L1244" s="8">
        <f t="shared" si="4"/>
        <v>188390</v>
      </c>
    </row>
    <row r="1245">
      <c r="A1245" s="5" t="s">
        <v>1648</v>
      </c>
      <c r="C1245" s="14" t="s">
        <v>4444</v>
      </c>
      <c r="F1245" s="2">
        <v>188390.0</v>
      </c>
      <c r="L1245" s="8">
        <f t="shared" si="4"/>
        <v>188390</v>
      </c>
    </row>
    <row r="1246">
      <c r="A1246" s="5" t="s">
        <v>1652</v>
      </c>
      <c r="C1246" s="14" t="s">
        <v>4445</v>
      </c>
      <c r="F1246" s="2">
        <v>210390.0</v>
      </c>
      <c r="L1246" s="8">
        <f t="shared" si="4"/>
        <v>210390</v>
      </c>
    </row>
    <row r="1247">
      <c r="A1247" s="5" t="s">
        <v>1649</v>
      </c>
      <c r="C1247" s="14" t="s">
        <v>4446</v>
      </c>
      <c r="F1247" s="2">
        <v>210390.0</v>
      </c>
      <c r="L1247" s="8">
        <f t="shared" si="4"/>
        <v>210390</v>
      </c>
    </row>
    <row r="1248">
      <c r="A1248" s="5" t="s">
        <v>1654</v>
      </c>
      <c r="C1248" s="14" t="s">
        <v>4447</v>
      </c>
      <c r="F1248" s="2">
        <v>210390.0</v>
      </c>
      <c r="L1248" s="8">
        <f t="shared" si="4"/>
        <v>210390</v>
      </c>
    </row>
    <row r="1249">
      <c r="A1249" s="5" t="s">
        <v>1651</v>
      </c>
      <c r="C1249" s="14" t="s">
        <v>4448</v>
      </c>
      <c r="F1249" s="2">
        <v>210390.0</v>
      </c>
      <c r="L1249" s="8">
        <f t="shared" si="4"/>
        <v>210390</v>
      </c>
    </row>
    <row r="1250">
      <c r="A1250" s="5" t="s">
        <v>2623</v>
      </c>
      <c r="C1250" s="14" t="s">
        <v>4449</v>
      </c>
      <c r="F1250" s="2">
        <v>130390.0</v>
      </c>
      <c r="L1250" s="8">
        <f t="shared" si="4"/>
        <v>130390</v>
      </c>
    </row>
    <row r="1251">
      <c r="A1251" s="5" t="s">
        <v>2656</v>
      </c>
      <c r="C1251" s="14" t="s">
        <v>4450</v>
      </c>
      <c r="F1251" s="2">
        <v>158390.0</v>
      </c>
      <c r="L1251" s="8">
        <f t="shared" si="4"/>
        <v>158390</v>
      </c>
    </row>
    <row r="1252">
      <c r="A1252" s="5" t="s">
        <v>2624</v>
      </c>
      <c r="C1252" s="14" t="s">
        <v>4451</v>
      </c>
      <c r="F1252" s="2">
        <v>134390.0</v>
      </c>
      <c r="L1252" s="8">
        <f t="shared" si="4"/>
        <v>134390</v>
      </c>
    </row>
    <row r="1253">
      <c r="A1253" s="5" t="s">
        <v>2616</v>
      </c>
      <c r="C1253" s="14" t="s">
        <v>4452</v>
      </c>
      <c r="F1253" s="2">
        <v>134390.0</v>
      </c>
      <c r="L1253" s="8">
        <f t="shared" si="4"/>
        <v>134390</v>
      </c>
    </row>
    <row r="1254">
      <c r="A1254" s="5" t="s">
        <v>2620</v>
      </c>
      <c r="C1254" s="14" t="s">
        <v>4453</v>
      </c>
      <c r="F1254" s="2">
        <v>135890.0</v>
      </c>
      <c r="L1254" s="8">
        <f t="shared" si="4"/>
        <v>135890</v>
      </c>
    </row>
    <row r="1255">
      <c r="A1255" s="5" t="s">
        <v>2602</v>
      </c>
      <c r="C1255" s="14" t="s">
        <v>4454</v>
      </c>
      <c r="F1255" s="2">
        <v>152390.0</v>
      </c>
      <c r="L1255" s="8">
        <f t="shared" si="4"/>
        <v>152390</v>
      </c>
    </row>
    <row r="1256">
      <c r="A1256" s="5" t="s">
        <v>2608</v>
      </c>
      <c r="C1256" s="14" t="s">
        <v>4455</v>
      </c>
      <c r="F1256" s="2">
        <v>154890.0</v>
      </c>
      <c r="L1256" s="8">
        <f t="shared" si="4"/>
        <v>154890</v>
      </c>
    </row>
    <row r="1257">
      <c r="A1257" s="5" t="s">
        <v>2652</v>
      </c>
      <c r="C1257" s="14" t="s">
        <v>4456</v>
      </c>
      <c r="F1257" s="2">
        <v>154890.0</v>
      </c>
      <c r="L1257" s="8">
        <f t="shared" si="4"/>
        <v>154890</v>
      </c>
    </row>
    <row r="1258">
      <c r="A1258" s="5" t="s">
        <v>2614</v>
      </c>
      <c r="C1258" s="14" t="s">
        <v>4457</v>
      </c>
      <c r="F1258" s="2">
        <v>155890.0</v>
      </c>
      <c r="L1258" s="8">
        <f t="shared" si="4"/>
        <v>155890</v>
      </c>
    </row>
    <row r="1259">
      <c r="A1259" s="5" t="s">
        <v>2606</v>
      </c>
      <c r="C1259" s="14" t="s">
        <v>4458</v>
      </c>
      <c r="F1259" s="2">
        <v>159890.0</v>
      </c>
      <c r="L1259" s="8">
        <f t="shared" si="4"/>
        <v>159890</v>
      </c>
    </row>
    <row r="1260">
      <c r="A1260" s="5" t="s">
        <v>2660</v>
      </c>
      <c r="C1260" s="14" t="s">
        <v>4459</v>
      </c>
      <c r="F1260" s="2">
        <v>165890.0</v>
      </c>
      <c r="L1260" s="8">
        <f t="shared" si="4"/>
        <v>165890</v>
      </c>
    </row>
    <row r="1261">
      <c r="A1261" s="5" t="s">
        <v>2650</v>
      </c>
      <c r="C1261" s="14" t="s">
        <v>4460</v>
      </c>
      <c r="F1261" s="2">
        <v>165890.0</v>
      </c>
      <c r="L1261" s="8">
        <f t="shared" si="4"/>
        <v>165890</v>
      </c>
    </row>
    <row r="1262">
      <c r="A1262" s="5" t="s">
        <v>2627</v>
      </c>
      <c r="C1262" s="14" t="s">
        <v>4461</v>
      </c>
      <c r="F1262" s="2">
        <v>169390.0</v>
      </c>
      <c r="L1262" s="8">
        <f t="shared" si="4"/>
        <v>169390</v>
      </c>
    </row>
    <row r="1263">
      <c r="A1263" s="5" t="s">
        <v>2631</v>
      </c>
      <c r="C1263" s="14" t="s">
        <v>4462</v>
      </c>
      <c r="F1263" s="2">
        <v>170890.0</v>
      </c>
      <c r="L1263" s="8">
        <f t="shared" si="4"/>
        <v>170890</v>
      </c>
    </row>
    <row r="1264">
      <c r="A1264" s="5" t="s">
        <v>2632</v>
      </c>
      <c r="C1264" s="14" t="s">
        <v>4464</v>
      </c>
      <c r="F1264" s="2">
        <v>170890.0</v>
      </c>
      <c r="L1264" s="8">
        <f t="shared" si="4"/>
        <v>170890</v>
      </c>
    </row>
    <row r="1265">
      <c r="A1265" s="5" t="s">
        <v>2637</v>
      </c>
      <c r="C1265" s="14" t="s">
        <v>4466</v>
      </c>
      <c r="F1265" s="2">
        <v>170890.0</v>
      </c>
      <c r="L1265" s="8">
        <f t="shared" si="4"/>
        <v>170890</v>
      </c>
    </row>
    <row r="1266">
      <c r="A1266" s="5" t="s">
        <v>2646</v>
      </c>
      <c r="C1266" s="14" t="s">
        <v>4467</v>
      </c>
      <c r="F1266" s="2">
        <v>174390.0</v>
      </c>
      <c r="L1266" s="8">
        <f t="shared" si="4"/>
        <v>174390</v>
      </c>
    </row>
    <row r="1267">
      <c r="A1267" s="5" t="s">
        <v>2647</v>
      </c>
      <c r="C1267" s="14" t="s">
        <v>4468</v>
      </c>
      <c r="F1267" s="2">
        <v>176890.0</v>
      </c>
      <c r="L1267" s="8">
        <f t="shared" si="4"/>
        <v>176890</v>
      </c>
    </row>
    <row r="1268">
      <c r="A1268" s="5" t="s">
        <v>2641</v>
      </c>
      <c r="C1268" s="14" t="s">
        <v>4469</v>
      </c>
      <c r="F1268" s="2">
        <v>176890.0</v>
      </c>
      <c r="L1268" s="8">
        <f t="shared" si="4"/>
        <v>176890</v>
      </c>
    </row>
    <row r="1269">
      <c r="A1269" s="5" t="s">
        <v>2643</v>
      </c>
      <c r="C1269" s="14" t="s">
        <v>4471</v>
      </c>
      <c r="F1269" s="2">
        <v>176890.0</v>
      </c>
      <c r="L1269" s="8">
        <f t="shared" si="4"/>
        <v>176890</v>
      </c>
    </row>
    <row r="1270">
      <c r="A1270" s="5" t="s">
        <v>2670</v>
      </c>
      <c r="C1270" s="14" t="s">
        <v>4472</v>
      </c>
      <c r="F1270" s="2">
        <v>216390.0</v>
      </c>
      <c r="L1270" s="8">
        <f t="shared" si="4"/>
        <v>216390</v>
      </c>
    </row>
    <row r="1271">
      <c r="A1271" s="5" t="s">
        <v>2675</v>
      </c>
      <c r="C1271" s="14" t="s">
        <v>4473</v>
      </c>
      <c r="F1271" s="2">
        <v>216390.0</v>
      </c>
      <c r="L1271" s="8">
        <f t="shared" si="4"/>
        <v>216390</v>
      </c>
    </row>
    <row r="1272">
      <c r="A1272" s="5" t="s">
        <v>2665</v>
      </c>
      <c r="C1272" s="14" t="s">
        <v>4474</v>
      </c>
      <c r="F1272" s="2">
        <v>216390.0</v>
      </c>
      <c r="L1272" s="8">
        <f t="shared" si="4"/>
        <v>216390</v>
      </c>
    </row>
    <row r="1273">
      <c r="A1273" s="5" t="s">
        <v>2663</v>
      </c>
      <c r="C1273" s="14" t="s">
        <v>4475</v>
      </c>
      <c r="F1273" s="2">
        <v>216390.0</v>
      </c>
      <c r="L1273" s="8">
        <f t="shared" si="4"/>
        <v>216390</v>
      </c>
    </row>
    <row r="1274">
      <c r="A1274" s="2" t="s">
        <v>4476</v>
      </c>
      <c r="C1274" s="14" t="s">
        <v>4477</v>
      </c>
      <c r="F1274" s="4">
        <v>78890.0</v>
      </c>
      <c r="L1274" s="8">
        <f t="shared" si="4"/>
        <v>78890</v>
      </c>
    </row>
    <row r="1275">
      <c r="A1275" s="2" t="s">
        <v>4478</v>
      </c>
      <c r="C1275" s="14" t="s">
        <v>4479</v>
      </c>
      <c r="F1275" s="4">
        <v>89890.0</v>
      </c>
      <c r="L1275" s="8">
        <f t="shared" si="4"/>
        <v>89890</v>
      </c>
    </row>
    <row r="1276">
      <c r="A1276" s="2" t="s">
        <v>4480</v>
      </c>
      <c r="C1276" s="14" t="s">
        <v>4481</v>
      </c>
      <c r="F1276" s="4">
        <v>139390.0</v>
      </c>
      <c r="L1276" s="8">
        <f t="shared" si="4"/>
        <v>139390</v>
      </c>
    </row>
    <row r="1277">
      <c r="A1277" s="2" t="s">
        <v>4482</v>
      </c>
      <c r="C1277" s="14" t="s">
        <v>4483</v>
      </c>
      <c r="F1277" s="4">
        <v>170390.0</v>
      </c>
      <c r="L1277" s="8">
        <f t="shared" si="4"/>
        <v>170390</v>
      </c>
    </row>
    <row r="1278">
      <c r="A1278" s="5" t="s">
        <v>2265</v>
      </c>
      <c r="C1278" s="14" t="s">
        <v>4308</v>
      </c>
      <c r="F1278" s="4">
        <v>192390.0</v>
      </c>
      <c r="L1278" s="8">
        <f t="shared" si="4"/>
        <v>192390</v>
      </c>
    </row>
    <row r="1279">
      <c r="A1279" s="5" t="s">
        <v>2266</v>
      </c>
      <c r="C1279" s="14" t="s">
        <v>4310</v>
      </c>
      <c r="F1279" s="4">
        <v>195390.0</v>
      </c>
      <c r="L1279" s="8">
        <f t="shared" si="4"/>
        <v>195390</v>
      </c>
    </row>
    <row r="1280">
      <c r="A1280" s="5" t="s">
        <v>2270</v>
      </c>
      <c r="C1280" s="14" t="s">
        <v>4312</v>
      </c>
      <c r="F1280" s="4">
        <v>198890.0</v>
      </c>
      <c r="L1280" s="8">
        <f t="shared" si="4"/>
        <v>198890</v>
      </c>
    </row>
    <row r="1281">
      <c r="A1281" s="5" t="s">
        <v>2275</v>
      </c>
      <c r="C1281" s="14" t="s">
        <v>4314</v>
      </c>
      <c r="F1281" s="4">
        <v>198890.0</v>
      </c>
      <c r="L1281" s="8">
        <f t="shared" si="4"/>
        <v>198890</v>
      </c>
    </row>
    <row r="1282">
      <c r="A1282" s="5" t="s">
        <v>2278</v>
      </c>
      <c r="C1282" s="14" t="s">
        <v>4320</v>
      </c>
      <c r="F1282" s="4">
        <v>216390.0</v>
      </c>
      <c r="L1282" s="8">
        <f t="shared" si="4"/>
        <v>216390</v>
      </c>
    </row>
    <row r="1283">
      <c r="A1283" s="5" t="s">
        <v>2283</v>
      </c>
      <c r="C1283" s="14" t="s">
        <v>4318</v>
      </c>
      <c r="F1283" s="4">
        <v>216390.0</v>
      </c>
      <c r="L1283" s="8">
        <f t="shared" si="4"/>
        <v>216390</v>
      </c>
    </row>
    <row r="1284">
      <c r="A1284" s="2" t="s">
        <v>4484</v>
      </c>
      <c r="C1284" s="14" t="s">
        <v>4485</v>
      </c>
      <c r="F1284" s="4">
        <v>1690.0</v>
      </c>
      <c r="L1284" s="8">
        <f t="shared" si="4"/>
        <v>1690</v>
      </c>
    </row>
    <row r="1285">
      <c r="A1285" s="2" t="s">
        <v>4486</v>
      </c>
      <c r="C1285" s="14" t="s">
        <v>4487</v>
      </c>
      <c r="F1285" s="4">
        <v>1790.0</v>
      </c>
      <c r="L1285" s="8">
        <f t="shared" si="4"/>
        <v>1790</v>
      </c>
    </row>
    <row r="1286">
      <c r="A1286" s="5" t="s">
        <v>488</v>
      </c>
      <c r="C1286" s="14" t="s">
        <v>4488</v>
      </c>
      <c r="F1286" s="4">
        <v>9390.0</v>
      </c>
      <c r="L1286" s="8">
        <f t="shared" si="4"/>
        <v>9390</v>
      </c>
    </row>
    <row r="1287">
      <c r="A1287" s="2" t="s">
        <v>4489</v>
      </c>
      <c r="C1287" s="14" t="s">
        <v>4490</v>
      </c>
      <c r="F1287" s="4">
        <v>11890.0</v>
      </c>
      <c r="L1287" s="8">
        <f t="shared" si="4"/>
        <v>11890</v>
      </c>
    </row>
    <row r="1288">
      <c r="A1288" s="2" t="s">
        <v>4491</v>
      </c>
      <c r="C1288" s="14" t="s">
        <v>4492</v>
      </c>
      <c r="F1288" s="4">
        <v>16890.0</v>
      </c>
      <c r="L1288" s="8">
        <f t="shared" si="4"/>
        <v>16890</v>
      </c>
    </row>
    <row r="1289">
      <c r="A1289" s="2" t="s">
        <v>4493</v>
      </c>
      <c r="C1289" s="14" t="s">
        <v>4494</v>
      </c>
      <c r="F1289" s="4">
        <v>16890.0</v>
      </c>
      <c r="L1289" s="8">
        <f t="shared" si="4"/>
        <v>16890</v>
      </c>
    </row>
    <row r="1290">
      <c r="A1290" s="2" t="s">
        <v>4495</v>
      </c>
      <c r="C1290" s="14" t="s">
        <v>4496</v>
      </c>
      <c r="F1290" s="4">
        <v>19390.0</v>
      </c>
      <c r="L1290" s="8">
        <f t="shared" si="4"/>
        <v>19390</v>
      </c>
    </row>
    <row r="1291">
      <c r="A1291" s="2" t="s">
        <v>4497</v>
      </c>
      <c r="C1291" s="14" t="s">
        <v>4498</v>
      </c>
      <c r="F1291" s="4">
        <v>21390.0</v>
      </c>
      <c r="L1291" s="8">
        <f t="shared" si="4"/>
        <v>21390</v>
      </c>
    </row>
    <row r="1292">
      <c r="A1292" s="2" t="s">
        <v>4499</v>
      </c>
      <c r="C1292" s="14" t="s">
        <v>4500</v>
      </c>
      <c r="F1292" s="4">
        <v>23890.0</v>
      </c>
      <c r="L1292" s="8">
        <f t="shared" si="4"/>
        <v>23890</v>
      </c>
    </row>
    <row r="1293">
      <c r="A1293" s="2" t="s">
        <v>4501</v>
      </c>
      <c r="C1293" s="14" t="s">
        <v>4502</v>
      </c>
      <c r="F1293" s="4">
        <v>27390.0</v>
      </c>
      <c r="L1293" s="8">
        <f t="shared" si="4"/>
        <v>27390</v>
      </c>
    </row>
    <row r="1294">
      <c r="A1294" s="2" t="s">
        <v>4503</v>
      </c>
      <c r="C1294" s="14" t="s">
        <v>4504</v>
      </c>
      <c r="F1294" s="4">
        <v>27390.0</v>
      </c>
      <c r="L1294" s="8">
        <f t="shared" si="4"/>
        <v>27390</v>
      </c>
    </row>
    <row r="1295">
      <c r="A1295" s="2" t="s">
        <v>4505</v>
      </c>
      <c r="C1295" s="14" t="s">
        <v>4506</v>
      </c>
      <c r="F1295" s="4">
        <v>190.0</v>
      </c>
      <c r="L1295" s="8">
        <f t="shared" si="4"/>
        <v>190</v>
      </c>
    </row>
    <row r="1296">
      <c r="A1296" s="2" t="s">
        <v>4507</v>
      </c>
      <c r="C1296" s="2"/>
      <c r="L1296" s="8" t="str">
        <f t="shared" si="4"/>
        <v/>
      </c>
    </row>
    <row r="1297">
      <c r="A1297" s="2" t="s">
        <v>4508</v>
      </c>
      <c r="C1297" s="14" t="s">
        <v>4509</v>
      </c>
      <c r="F1297" s="4">
        <v>41890.0</v>
      </c>
      <c r="L1297" s="8">
        <f t="shared" si="4"/>
        <v>41890</v>
      </c>
    </row>
    <row r="1298">
      <c r="A1298" s="2" t="s">
        <v>4510</v>
      </c>
      <c r="C1298" s="14" t="s">
        <v>4511</v>
      </c>
      <c r="F1298" s="4">
        <v>44390.0</v>
      </c>
      <c r="L1298" s="8">
        <f t="shared" si="4"/>
        <v>44390</v>
      </c>
    </row>
    <row r="1299">
      <c r="A1299" s="2" t="s">
        <v>4512</v>
      </c>
      <c r="C1299" s="14" t="s">
        <v>4513</v>
      </c>
      <c r="F1299" s="4">
        <v>44390.0</v>
      </c>
      <c r="L1299" s="8">
        <f t="shared" si="4"/>
        <v>44390</v>
      </c>
    </row>
    <row r="1300">
      <c r="A1300" s="2" t="s">
        <v>4514</v>
      </c>
      <c r="C1300" s="14" t="s">
        <v>4515</v>
      </c>
      <c r="F1300" s="4">
        <v>46890.0</v>
      </c>
      <c r="L1300" s="8">
        <f t="shared" si="4"/>
        <v>46890</v>
      </c>
    </row>
    <row r="1301">
      <c r="A1301" s="2" t="s">
        <v>4516</v>
      </c>
      <c r="C1301" s="14" t="s">
        <v>4517</v>
      </c>
      <c r="F1301" s="4">
        <v>57390.0</v>
      </c>
      <c r="L1301" s="8">
        <f t="shared" si="4"/>
        <v>57390</v>
      </c>
    </row>
    <row r="1302">
      <c r="A1302" s="2" t="s">
        <v>4518</v>
      </c>
      <c r="C1302" s="14" t="s">
        <v>4519</v>
      </c>
      <c r="F1302" s="4">
        <v>50890.0</v>
      </c>
      <c r="L1302" s="8">
        <f t="shared" si="4"/>
        <v>50890</v>
      </c>
    </row>
    <row r="1303">
      <c r="A1303" s="2" t="s">
        <v>4520</v>
      </c>
      <c r="C1303" s="14" t="s">
        <v>4521</v>
      </c>
      <c r="F1303" s="4">
        <v>57390.0</v>
      </c>
      <c r="L1303" s="8">
        <f t="shared" si="4"/>
        <v>57390</v>
      </c>
    </row>
    <row r="1304">
      <c r="A1304" s="2" t="s">
        <v>4522</v>
      </c>
      <c r="C1304" s="14" t="s">
        <v>4523</v>
      </c>
      <c r="F1304" s="4">
        <v>52890.0</v>
      </c>
      <c r="L1304" s="8">
        <f t="shared" si="4"/>
        <v>52890</v>
      </c>
    </row>
    <row r="1305">
      <c r="A1305" s="2" t="s">
        <v>4524</v>
      </c>
      <c r="C1305" s="14" t="s">
        <v>4525</v>
      </c>
      <c r="F1305" s="4">
        <v>59890.0</v>
      </c>
      <c r="L1305" s="8">
        <f t="shared" si="4"/>
        <v>59890</v>
      </c>
    </row>
    <row r="1306">
      <c r="A1306" s="2" t="s">
        <v>1288</v>
      </c>
      <c r="C1306" s="14" t="s">
        <v>4526</v>
      </c>
      <c r="F1306" s="4">
        <v>53890.0</v>
      </c>
      <c r="L1306" s="8">
        <f t="shared" si="4"/>
        <v>53890</v>
      </c>
    </row>
    <row r="1307">
      <c r="A1307" s="2" t="s">
        <v>4527</v>
      </c>
      <c r="C1307" s="14" t="s">
        <v>4528</v>
      </c>
      <c r="F1307" s="4">
        <v>55890.0</v>
      </c>
      <c r="L1307" s="8">
        <f t="shared" si="4"/>
        <v>55890</v>
      </c>
    </row>
    <row r="1308">
      <c r="A1308" s="2" t="s">
        <v>4529</v>
      </c>
      <c r="C1308" s="14" t="s">
        <v>4530</v>
      </c>
      <c r="F1308" s="4">
        <v>64390.0</v>
      </c>
      <c r="L1308" s="8">
        <f t="shared" si="4"/>
        <v>64390</v>
      </c>
    </row>
    <row r="1309">
      <c r="A1309" s="2" t="s">
        <v>4531</v>
      </c>
      <c r="C1309" s="14" t="s">
        <v>4532</v>
      </c>
      <c r="F1309" s="4">
        <v>57390.0</v>
      </c>
      <c r="L1309" s="8">
        <f t="shared" si="4"/>
        <v>57390</v>
      </c>
    </row>
    <row r="1310">
      <c r="A1310" s="2" t="s">
        <v>4533</v>
      </c>
      <c r="C1310" s="14" t="s">
        <v>4534</v>
      </c>
      <c r="F1310" s="4">
        <v>57390.0</v>
      </c>
      <c r="L1310" s="8">
        <f t="shared" si="4"/>
        <v>57390</v>
      </c>
    </row>
    <row r="1311">
      <c r="A1311" s="2" t="s">
        <v>4535</v>
      </c>
      <c r="C1311" s="14" t="s">
        <v>4536</v>
      </c>
      <c r="F1311" s="4">
        <v>45390.0</v>
      </c>
      <c r="L1311" s="8">
        <f t="shared" si="4"/>
        <v>45390</v>
      </c>
    </row>
    <row r="1312">
      <c r="A1312" s="2" t="s">
        <v>4537</v>
      </c>
      <c r="C1312" s="14" t="s">
        <v>4538</v>
      </c>
      <c r="F1312" s="4">
        <v>58890.0</v>
      </c>
      <c r="L1312" s="8">
        <f t="shared" si="4"/>
        <v>58890</v>
      </c>
    </row>
    <row r="1313">
      <c r="A1313" s="2" t="s">
        <v>1291</v>
      </c>
      <c r="C1313" s="14" t="s">
        <v>4539</v>
      </c>
      <c r="F1313" s="4">
        <v>58390.0</v>
      </c>
      <c r="L1313" s="8">
        <f t="shared" si="4"/>
        <v>58390</v>
      </c>
    </row>
    <row r="1314">
      <c r="A1314" s="2" t="s">
        <v>4540</v>
      </c>
      <c r="C1314" s="14" t="s">
        <v>4541</v>
      </c>
      <c r="F1314" s="4">
        <v>57890.0</v>
      </c>
      <c r="L1314" s="8">
        <f t="shared" si="4"/>
        <v>57890</v>
      </c>
    </row>
    <row r="1315">
      <c r="A1315" s="2" t="s">
        <v>4542</v>
      </c>
      <c r="C1315" s="14" t="s">
        <v>4543</v>
      </c>
      <c r="F1315" s="4">
        <v>31890.0</v>
      </c>
      <c r="L1315" s="8">
        <f t="shared" si="4"/>
        <v>31890</v>
      </c>
    </row>
    <row r="1316">
      <c r="A1316" s="2" t="s">
        <v>4544</v>
      </c>
      <c r="C1316" s="14" t="s">
        <v>4545</v>
      </c>
      <c r="F1316" s="4">
        <v>58390.0</v>
      </c>
      <c r="L1316" s="8">
        <f t="shared" si="4"/>
        <v>58390</v>
      </c>
    </row>
    <row r="1317">
      <c r="A1317" s="2" t="s">
        <v>4546</v>
      </c>
      <c r="C1317" s="14" t="s">
        <v>4547</v>
      </c>
      <c r="F1317" s="4">
        <v>57890.0</v>
      </c>
      <c r="L1317" s="8">
        <f t="shared" si="4"/>
        <v>57890</v>
      </c>
    </row>
    <row r="1318">
      <c r="A1318" s="2" t="s">
        <v>4548</v>
      </c>
      <c r="C1318" s="14" t="s">
        <v>4549</v>
      </c>
      <c r="F1318" s="4">
        <v>51890.0</v>
      </c>
      <c r="L1318" s="8">
        <f t="shared" si="4"/>
        <v>51890</v>
      </c>
    </row>
    <row r="1319">
      <c r="A1319" s="2" t="s">
        <v>4551</v>
      </c>
      <c r="C1319" s="14" t="s">
        <v>4552</v>
      </c>
      <c r="F1319" s="4">
        <v>65890.0</v>
      </c>
      <c r="L1319" s="8">
        <f t="shared" si="4"/>
        <v>65890</v>
      </c>
    </row>
    <row r="1320">
      <c r="A1320" s="2" t="s">
        <v>1295</v>
      </c>
      <c r="C1320" s="14" t="s">
        <v>4553</v>
      </c>
      <c r="F1320" s="4">
        <v>66890.0</v>
      </c>
      <c r="L1320" s="8">
        <f t="shared" si="4"/>
        <v>66890</v>
      </c>
    </row>
    <row r="1321">
      <c r="A1321" s="2" t="s">
        <v>4554</v>
      </c>
      <c r="C1321" s="14" t="s">
        <v>4555</v>
      </c>
      <c r="F1321" s="4">
        <v>66890.0</v>
      </c>
      <c r="L1321" s="8">
        <f t="shared" si="4"/>
        <v>66890</v>
      </c>
    </row>
    <row r="1322">
      <c r="A1322" s="2" t="s">
        <v>4556</v>
      </c>
      <c r="C1322" s="14" t="s">
        <v>4557</v>
      </c>
      <c r="F1322" s="4">
        <v>66890.0</v>
      </c>
      <c r="L1322" s="8">
        <f t="shared" si="4"/>
        <v>66890</v>
      </c>
    </row>
    <row r="1323">
      <c r="A1323" s="2" t="s">
        <v>4558</v>
      </c>
      <c r="C1323" s="14" t="s">
        <v>4559</v>
      </c>
      <c r="F1323" s="4">
        <v>63890.0</v>
      </c>
      <c r="L1323" s="8">
        <f t="shared" si="4"/>
        <v>63890</v>
      </c>
    </row>
    <row r="1324">
      <c r="A1324" s="2" t="s">
        <v>4560</v>
      </c>
      <c r="C1324" s="14" t="s">
        <v>4561</v>
      </c>
      <c r="F1324" s="4">
        <v>68390.0</v>
      </c>
      <c r="L1324" s="8">
        <f t="shared" si="4"/>
        <v>68390</v>
      </c>
    </row>
    <row r="1325">
      <c r="A1325" s="2" t="s">
        <v>4562</v>
      </c>
      <c r="C1325" s="14" t="s">
        <v>4563</v>
      </c>
      <c r="F1325" s="4">
        <v>68890.0</v>
      </c>
      <c r="L1325" s="8">
        <f t="shared" si="4"/>
        <v>68890</v>
      </c>
    </row>
    <row r="1326">
      <c r="A1326" s="2" t="s">
        <v>4564</v>
      </c>
      <c r="C1326" s="14" t="s">
        <v>4565</v>
      </c>
      <c r="F1326" s="4">
        <v>63890.0</v>
      </c>
      <c r="L1326" s="8">
        <f t="shared" si="4"/>
        <v>63890</v>
      </c>
    </row>
    <row r="1327">
      <c r="A1327" s="2" t="s">
        <v>4566</v>
      </c>
      <c r="C1327" s="14" t="s">
        <v>4567</v>
      </c>
      <c r="F1327" s="4">
        <v>59890.0</v>
      </c>
      <c r="L1327" s="8">
        <f t="shared" si="4"/>
        <v>59890</v>
      </c>
    </row>
    <row r="1328">
      <c r="A1328" s="2" t="s">
        <v>4568</v>
      </c>
      <c r="C1328" s="14" t="s">
        <v>4569</v>
      </c>
      <c r="F1328" s="4">
        <v>81890.0</v>
      </c>
      <c r="L1328" s="8">
        <f t="shared" si="4"/>
        <v>81890</v>
      </c>
    </row>
    <row r="1329">
      <c r="A1329" s="2" t="s">
        <v>4571</v>
      </c>
      <c r="C1329" s="14" t="s">
        <v>4572</v>
      </c>
      <c r="F1329" s="4">
        <v>88390.0</v>
      </c>
      <c r="L1329" s="8">
        <f t="shared" si="4"/>
        <v>88390</v>
      </c>
    </row>
    <row r="1330">
      <c r="A1330" s="2" t="s">
        <v>4573</v>
      </c>
      <c r="C1330" s="14" t="s">
        <v>4574</v>
      </c>
      <c r="F1330" s="4">
        <v>107890.0</v>
      </c>
      <c r="L1330" s="8">
        <f t="shared" si="4"/>
        <v>107890</v>
      </c>
    </row>
    <row r="1331">
      <c r="A1331" s="2" t="s">
        <v>4575</v>
      </c>
      <c r="C1331" s="14" t="s">
        <v>4576</v>
      </c>
      <c r="F1331" s="2">
        <v>29890.0</v>
      </c>
      <c r="L1331" s="8">
        <f t="shared" si="4"/>
        <v>29890</v>
      </c>
    </row>
    <row r="1332">
      <c r="A1332" s="5" t="s">
        <v>1597</v>
      </c>
      <c r="C1332" s="14" t="s">
        <v>4578</v>
      </c>
      <c r="F1332" s="4">
        <v>35890.0</v>
      </c>
      <c r="L1332" s="8">
        <f t="shared" si="4"/>
        <v>35890</v>
      </c>
    </row>
    <row r="1333">
      <c r="A1333" s="5" t="s">
        <v>2143</v>
      </c>
      <c r="C1333" s="14" t="s">
        <v>4579</v>
      </c>
      <c r="F1333" s="4">
        <v>45890.0</v>
      </c>
      <c r="L1333" s="8">
        <f t="shared" si="4"/>
        <v>45890</v>
      </c>
    </row>
    <row r="1334">
      <c r="A1334" s="5" t="s">
        <v>491</v>
      </c>
      <c r="C1334" s="14" t="s">
        <v>4580</v>
      </c>
      <c r="F1334" s="4">
        <v>50890.0</v>
      </c>
      <c r="L1334" s="8">
        <f t="shared" si="4"/>
        <v>50890</v>
      </c>
    </row>
    <row r="1335">
      <c r="A1335" s="2" t="s">
        <v>4582</v>
      </c>
      <c r="C1335" s="14" t="s">
        <v>4583</v>
      </c>
      <c r="F1335" s="4">
        <v>29890.0</v>
      </c>
      <c r="L1335" s="8">
        <f t="shared" si="4"/>
        <v>29890</v>
      </c>
    </row>
    <row r="1336">
      <c r="A1336" s="2" t="s">
        <v>461</v>
      </c>
      <c r="C1336" s="14" t="s">
        <v>4584</v>
      </c>
      <c r="F1336" s="4">
        <v>30890.0</v>
      </c>
      <c r="L1336" s="8">
        <f t="shared" si="4"/>
        <v>30890</v>
      </c>
    </row>
    <row r="1337">
      <c r="A1337" s="5" t="s">
        <v>1591</v>
      </c>
      <c r="C1337" s="14" t="s">
        <v>4585</v>
      </c>
      <c r="F1337" s="4">
        <v>29890.0</v>
      </c>
      <c r="L1337" s="8">
        <f t="shared" si="4"/>
        <v>29890</v>
      </c>
    </row>
    <row r="1338">
      <c r="A1338" s="2" t="s">
        <v>4586</v>
      </c>
      <c r="C1338" s="14" t="s">
        <v>4587</v>
      </c>
      <c r="F1338" s="4">
        <v>34890.0</v>
      </c>
      <c r="L1338" s="8">
        <f t="shared" si="4"/>
        <v>34890</v>
      </c>
    </row>
    <row r="1339">
      <c r="A1339" s="5" t="s">
        <v>477</v>
      </c>
      <c r="C1339" s="14" t="s">
        <v>4588</v>
      </c>
      <c r="F1339" s="4">
        <v>35390.0</v>
      </c>
      <c r="L1339" s="8">
        <f t="shared" si="4"/>
        <v>35390</v>
      </c>
    </row>
    <row r="1340">
      <c r="A1340" s="2" t="s">
        <v>4589</v>
      </c>
      <c r="C1340" s="14" t="s">
        <v>4590</v>
      </c>
      <c r="F1340" s="4">
        <v>38890.0</v>
      </c>
      <c r="L1340" s="8">
        <f t="shared" si="4"/>
        <v>38890</v>
      </c>
    </row>
    <row r="1341">
      <c r="A1341" s="2" t="s">
        <v>4591</v>
      </c>
      <c r="C1341" s="14" t="s">
        <v>4592</v>
      </c>
      <c r="F1341" s="4">
        <v>38890.0</v>
      </c>
      <c r="L1341" s="8">
        <f t="shared" si="4"/>
        <v>38890</v>
      </c>
    </row>
    <row r="1342">
      <c r="A1342" s="2" t="s">
        <v>4593</v>
      </c>
      <c r="C1342" s="14" t="s">
        <v>4594</v>
      </c>
      <c r="F1342" s="4">
        <v>38890.0</v>
      </c>
      <c r="L1342" s="8">
        <f t="shared" si="4"/>
        <v>38890</v>
      </c>
    </row>
    <row r="1343">
      <c r="A1343" s="5" t="s">
        <v>788</v>
      </c>
      <c r="C1343" s="14" t="s">
        <v>4595</v>
      </c>
      <c r="F1343" s="4">
        <v>39390.0</v>
      </c>
      <c r="L1343" s="8">
        <f t="shared" si="4"/>
        <v>39390</v>
      </c>
    </row>
    <row r="1344">
      <c r="A1344" s="5" t="s">
        <v>2692</v>
      </c>
      <c r="C1344" s="14" t="s">
        <v>4596</v>
      </c>
      <c r="F1344" s="4">
        <v>38890.0</v>
      </c>
      <c r="L1344" s="8">
        <f t="shared" si="4"/>
        <v>38890</v>
      </c>
    </row>
    <row r="1345">
      <c r="A1345" s="5" t="s">
        <v>2716</v>
      </c>
      <c r="C1345" s="14" t="s">
        <v>4597</v>
      </c>
      <c r="F1345" s="4">
        <v>39890.0</v>
      </c>
      <c r="L1345" s="8">
        <f t="shared" si="4"/>
        <v>39890</v>
      </c>
    </row>
    <row r="1346">
      <c r="A1346" s="5" t="s">
        <v>2710</v>
      </c>
      <c r="C1346" s="14" t="s">
        <v>4599</v>
      </c>
      <c r="F1346" s="4">
        <v>39890.0</v>
      </c>
      <c r="L1346" s="8">
        <f t="shared" si="4"/>
        <v>39890</v>
      </c>
    </row>
    <row r="1347">
      <c r="A1347" s="5" t="s">
        <v>2684</v>
      </c>
      <c r="C1347" s="14" t="s">
        <v>4600</v>
      </c>
      <c r="F1347" s="4">
        <v>40890.0</v>
      </c>
      <c r="L1347" s="8">
        <f t="shared" si="4"/>
        <v>40890</v>
      </c>
    </row>
    <row r="1348">
      <c r="A1348" s="5" t="s">
        <v>2707</v>
      </c>
      <c r="C1348" s="14" t="s">
        <v>4604</v>
      </c>
      <c r="F1348" s="4">
        <v>44390.0</v>
      </c>
      <c r="L1348" s="8">
        <f t="shared" si="4"/>
        <v>44390</v>
      </c>
    </row>
    <row r="1349">
      <c r="A1349" s="2" t="s">
        <v>4606</v>
      </c>
      <c r="C1349" s="14" t="s">
        <v>4607</v>
      </c>
      <c r="F1349" s="4">
        <v>44390.0</v>
      </c>
      <c r="L1349" s="8">
        <f t="shared" si="4"/>
        <v>44390</v>
      </c>
    </row>
    <row r="1350">
      <c r="A1350" s="5" t="s">
        <v>2696</v>
      </c>
      <c r="C1350" s="14" t="s">
        <v>4608</v>
      </c>
      <c r="F1350" s="4">
        <v>45390.0</v>
      </c>
      <c r="L1350" s="8">
        <f t="shared" si="4"/>
        <v>45390</v>
      </c>
    </row>
    <row r="1351">
      <c r="A1351" s="5" t="s">
        <v>2147</v>
      </c>
      <c r="C1351" s="14" t="s">
        <v>4609</v>
      </c>
      <c r="F1351" s="4">
        <v>52390.0</v>
      </c>
      <c r="L1351" s="8">
        <f t="shared" si="4"/>
        <v>52390</v>
      </c>
    </row>
    <row r="1352">
      <c r="A1352" s="5" t="s">
        <v>2151</v>
      </c>
      <c r="C1352" s="14" t="s">
        <v>4610</v>
      </c>
      <c r="F1352" s="4">
        <v>46890.0</v>
      </c>
      <c r="L1352" s="8">
        <f t="shared" si="4"/>
        <v>46890</v>
      </c>
    </row>
    <row r="1353">
      <c r="A1353" s="2" t="s">
        <v>4611</v>
      </c>
      <c r="C1353" s="14" t="s">
        <v>4612</v>
      </c>
      <c r="F1353" s="4">
        <v>46890.0</v>
      </c>
      <c r="L1353" s="8">
        <f t="shared" si="4"/>
        <v>46890</v>
      </c>
    </row>
    <row r="1354">
      <c r="A1354" s="2" t="s">
        <v>4613</v>
      </c>
      <c r="C1354" s="14" t="s">
        <v>4614</v>
      </c>
      <c r="F1354" s="4">
        <v>46890.0</v>
      </c>
      <c r="L1354" s="8">
        <f t="shared" si="4"/>
        <v>46890</v>
      </c>
    </row>
    <row r="1355">
      <c r="A1355" s="2" t="s">
        <v>4615</v>
      </c>
      <c r="C1355" s="14" t="s">
        <v>4616</v>
      </c>
      <c r="F1355" s="4">
        <v>54390.0</v>
      </c>
      <c r="L1355" s="8">
        <f t="shared" si="4"/>
        <v>54390</v>
      </c>
    </row>
    <row r="1356">
      <c r="A1356" s="2" t="s">
        <v>4617</v>
      </c>
      <c r="C1356" s="14" t="s">
        <v>4618</v>
      </c>
      <c r="F1356" s="4">
        <v>68890.0</v>
      </c>
      <c r="L1356" s="8">
        <f t="shared" si="4"/>
        <v>68890</v>
      </c>
    </row>
    <row r="1357">
      <c r="A1357" s="2" t="s">
        <v>4619</v>
      </c>
      <c r="C1357" s="2"/>
      <c r="L1357" s="8" t="str">
        <f t="shared" si="4"/>
        <v/>
      </c>
    </row>
    <row r="1358">
      <c r="A1358" s="5" t="s">
        <v>1609</v>
      </c>
      <c r="C1358" s="14" t="s">
        <v>4620</v>
      </c>
      <c r="F1358" s="4">
        <v>5890.0</v>
      </c>
      <c r="L1358" s="8">
        <f t="shared" si="4"/>
        <v>5890</v>
      </c>
    </row>
    <row r="1359">
      <c r="A1359" s="5" t="s">
        <v>479</v>
      </c>
      <c r="C1359" s="14" t="s">
        <v>4621</v>
      </c>
      <c r="F1359" s="4">
        <v>11390.0</v>
      </c>
      <c r="L1359" s="8">
        <f t="shared" si="4"/>
        <v>11390</v>
      </c>
    </row>
    <row r="1360">
      <c r="A1360" s="2" t="s">
        <v>4622</v>
      </c>
      <c r="C1360" s="14" t="s">
        <v>4623</v>
      </c>
      <c r="F1360" s="4">
        <v>13890.0</v>
      </c>
      <c r="L1360" s="8">
        <f t="shared" si="4"/>
        <v>13890</v>
      </c>
    </row>
    <row r="1361">
      <c r="A1361" s="5" t="s">
        <v>482</v>
      </c>
      <c r="C1361" s="14" t="s">
        <v>4624</v>
      </c>
      <c r="F1361" s="4">
        <v>13890.0</v>
      </c>
      <c r="L1361" s="8">
        <f t="shared" si="4"/>
        <v>13890</v>
      </c>
    </row>
    <row r="1362">
      <c r="A1362" s="5" t="s">
        <v>498</v>
      </c>
      <c r="C1362" s="14" t="s">
        <v>4626</v>
      </c>
      <c r="F1362" s="4">
        <v>16390.0</v>
      </c>
      <c r="L1362" s="8">
        <f t="shared" si="4"/>
        <v>16390</v>
      </c>
    </row>
    <row r="1363">
      <c r="A1363" s="5" t="s">
        <v>220</v>
      </c>
      <c r="C1363" s="14" t="s">
        <v>4628</v>
      </c>
      <c r="F1363" s="4">
        <v>18390.0</v>
      </c>
      <c r="L1363" s="8">
        <f t="shared" si="4"/>
        <v>18390</v>
      </c>
    </row>
    <row r="1364">
      <c r="A1364" s="2" t="s">
        <v>211</v>
      </c>
      <c r="C1364" s="14" t="s">
        <v>4630</v>
      </c>
      <c r="F1364" s="4">
        <v>39890.0</v>
      </c>
      <c r="L1364" s="8">
        <f t="shared" si="4"/>
        <v>39890</v>
      </c>
    </row>
    <row r="1365">
      <c r="A1365" s="2" t="s">
        <v>4631</v>
      </c>
      <c r="C1365" s="14" t="s">
        <v>4632</v>
      </c>
      <c r="F1365" s="4">
        <v>2990.0</v>
      </c>
      <c r="L1365" s="8">
        <f t="shared" si="4"/>
        <v>2990</v>
      </c>
    </row>
    <row r="1366">
      <c r="A1366" s="5" t="s">
        <v>1615</v>
      </c>
      <c r="C1366" s="14" t="s">
        <v>4633</v>
      </c>
      <c r="F1366" s="4">
        <v>5890.0</v>
      </c>
      <c r="L1366" s="8">
        <f t="shared" si="4"/>
        <v>5890</v>
      </c>
    </row>
    <row r="1367">
      <c r="A1367" s="5" t="s">
        <v>1613</v>
      </c>
      <c r="C1367" s="14" t="s">
        <v>4634</v>
      </c>
      <c r="F1367" s="4">
        <v>6390.0</v>
      </c>
      <c r="L1367" s="8">
        <f t="shared" si="4"/>
        <v>6390</v>
      </c>
    </row>
    <row r="1368">
      <c r="A1368" s="2" t="s">
        <v>426</v>
      </c>
      <c r="C1368" s="14" t="s">
        <v>4635</v>
      </c>
      <c r="F1368" s="4">
        <v>7390.0</v>
      </c>
      <c r="L1368" s="8">
        <f t="shared" si="4"/>
        <v>7390</v>
      </c>
    </row>
    <row r="1369">
      <c r="A1369" s="2" t="s">
        <v>4637</v>
      </c>
      <c r="C1369" s="14" t="s">
        <v>4638</v>
      </c>
      <c r="F1369" s="4">
        <v>9390.0</v>
      </c>
      <c r="L1369" s="8">
        <f t="shared" si="4"/>
        <v>9390</v>
      </c>
    </row>
    <row r="1370">
      <c r="A1370" s="5" t="s">
        <v>1574</v>
      </c>
      <c r="C1370" s="14" t="s">
        <v>4639</v>
      </c>
      <c r="F1370" s="4">
        <v>9390.0</v>
      </c>
      <c r="L1370" s="8">
        <f t="shared" si="4"/>
        <v>9390</v>
      </c>
    </row>
    <row r="1371">
      <c r="A1371" s="2" t="s">
        <v>4641</v>
      </c>
      <c r="C1371" s="14" t="s">
        <v>4642</v>
      </c>
      <c r="F1371" s="4">
        <v>9390.0</v>
      </c>
      <c r="L1371" s="8">
        <f t="shared" si="4"/>
        <v>9390</v>
      </c>
    </row>
    <row r="1372">
      <c r="A1372" s="5" t="s">
        <v>1568</v>
      </c>
      <c r="C1372" s="14" t="s">
        <v>4643</v>
      </c>
      <c r="F1372" s="4">
        <v>9390.0</v>
      </c>
      <c r="L1372" s="8">
        <f t="shared" si="4"/>
        <v>9390</v>
      </c>
    </row>
    <row r="1373">
      <c r="A1373" s="5" t="s">
        <v>494</v>
      </c>
      <c r="C1373" s="14" t="s">
        <v>4644</v>
      </c>
      <c r="F1373" s="4">
        <v>9890.0</v>
      </c>
      <c r="L1373" s="8">
        <f t="shared" si="4"/>
        <v>9890</v>
      </c>
    </row>
    <row r="1374">
      <c r="A1374" s="5" t="s">
        <v>1571</v>
      </c>
      <c r="C1374" s="14" t="s">
        <v>4645</v>
      </c>
      <c r="F1374" s="4">
        <v>9890.0</v>
      </c>
      <c r="L1374" s="8">
        <f t="shared" si="4"/>
        <v>9890</v>
      </c>
    </row>
    <row r="1375">
      <c r="A1375" s="2" t="s">
        <v>4646</v>
      </c>
      <c r="C1375" s="14" t="s">
        <v>4647</v>
      </c>
      <c r="F1375" s="4">
        <v>9890.0</v>
      </c>
      <c r="L1375" s="8">
        <f t="shared" si="4"/>
        <v>9890</v>
      </c>
    </row>
    <row r="1376">
      <c r="A1376" s="2" t="s">
        <v>4648</v>
      </c>
      <c r="C1376" s="14" t="s">
        <v>4649</v>
      </c>
      <c r="F1376" s="4">
        <v>9890.0</v>
      </c>
      <c r="L1376" s="8">
        <f t="shared" si="4"/>
        <v>9890</v>
      </c>
    </row>
    <row r="1377">
      <c r="A1377" s="2" t="s">
        <v>4650</v>
      </c>
      <c r="C1377" s="14" t="s">
        <v>4651</v>
      </c>
      <c r="F1377" s="4">
        <v>10890.0</v>
      </c>
      <c r="L1377" s="8">
        <f t="shared" si="4"/>
        <v>10890</v>
      </c>
    </row>
    <row r="1378">
      <c r="A1378" s="2" t="s">
        <v>4652</v>
      </c>
      <c r="C1378" s="14" t="s">
        <v>4653</v>
      </c>
      <c r="F1378" s="4">
        <v>10890.0</v>
      </c>
      <c r="L1378" s="8">
        <f t="shared" si="4"/>
        <v>10890</v>
      </c>
    </row>
    <row r="1379">
      <c r="A1379" s="2" t="s">
        <v>4654</v>
      </c>
      <c r="C1379" s="14" t="s">
        <v>4655</v>
      </c>
      <c r="F1379" s="4">
        <v>10890.0</v>
      </c>
      <c r="L1379" s="8">
        <f t="shared" si="4"/>
        <v>10890</v>
      </c>
    </row>
    <row r="1380">
      <c r="A1380" s="2" t="s">
        <v>4657</v>
      </c>
      <c r="C1380" s="14" t="s">
        <v>4658</v>
      </c>
      <c r="F1380" s="4">
        <v>10890.0</v>
      </c>
      <c r="L1380" s="8">
        <f t="shared" si="4"/>
        <v>10890</v>
      </c>
    </row>
    <row r="1381">
      <c r="A1381" s="2" t="s">
        <v>4659</v>
      </c>
      <c r="C1381" s="14" t="s">
        <v>4660</v>
      </c>
      <c r="F1381" s="4">
        <v>10890.0</v>
      </c>
      <c r="L1381" s="8">
        <f t="shared" si="4"/>
        <v>10890</v>
      </c>
    </row>
    <row r="1382">
      <c r="A1382" s="2" t="s">
        <v>4661</v>
      </c>
      <c r="C1382" s="14" t="s">
        <v>4662</v>
      </c>
      <c r="F1382" s="4">
        <v>10890.0</v>
      </c>
      <c r="L1382" s="8">
        <f t="shared" si="4"/>
        <v>10890</v>
      </c>
    </row>
    <row r="1383">
      <c r="A1383" s="2" t="s">
        <v>4663</v>
      </c>
      <c r="C1383" s="14" t="s">
        <v>4664</v>
      </c>
      <c r="F1383" s="4">
        <v>10890.0</v>
      </c>
      <c r="L1383" s="8">
        <f t="shared" si="4"/>
        <v>10890</v>
      </c>
    </row>
    <row r="1384">
      <c r="A1384" s="2" t="s">
        <v>4665</v>
      </c>
      <c r="C1384" s="14" t="s">
        <v>4666</v>
      </c>
      <c r="F1384" s="4">
        <v>10890.0</v>
      </c>
      <c r="L1384" s="8">
        <f t="shared" si="4"/>
        <v>10890</v>
      </c>
    </row>
    <row r="1385">
      <c r="A1385" s="2" t="s">
        <v>4667</v>
      </c>
      <c r="C1385" s="14" t="s">
        <v>4668</v>
      </c>
      <c r="F1385" s="4">
        <v>10890.0</v>
      </c>
      <c r="L1385" s="8">
        <f t="shared" si="4"/>
        <v>10890</v>
      </c>
    </row>
    <row r="1386">
      <c r="A1386" s="2" t="s">
        <v>4669</v>
      </c>
      <c r="C1386" s="14" t="s">
        <v>4670</v>
      </c>
      <c r="F1386" s="4">
        <v>13890.0</v>
      </c>
      <c r="L1386" s="8">
        <f t="shared" si="4"/>
        <v>13890</v>
      </c>
    </row>
    <row r="1387">
      <c r="A1387" s="2" t="s">
        <v>4671</v>
      </c>
      <c r="C1387" s="14" t="s">
        <v>4672</v>
      </c>
      <c r="F1387" s="4">
        <v>12390.0</v>
      </c>
      <c r="L1387" s="8">
        <f t="shared" si="4"/>
        <v>12390</v>
      </c>
    </row>
    <row r="1388">
      <c r="A1388" s="2" t="s">
        <v>4673</v>
      </c>
      <c r="C1388" s="14" t="s">
        <v>4674</v>
      </c>
      <c r="F1388" s="4">
        <v>13890.0</v>
      </c>
      <c r="L1388" s="8">
        <f t="shared" si="4"/>
        <v>13890</v>
      </c>
    </row>
    <row r="1389">
      <c r="A1389" s="5" t="s">
        <v>492</v>
      </c>
      <c r="C1389" s="14" t="s">
        <v>4675</v>
      </c>
      <c r="F1389" s="4">
        <v>16890.0</v>
      </c>
      <c r="L1389" s="8">
        <f t="shared" si="4"/>
        <v>16890</v>
      </c>
    </row>
    <row r="1390">
      <c r="A1390" s="5" t="s">
        <v>1183</v>
      </c>
      <c r="C1390" s="14" t="s">
        <v>4676</v>
      </c>
      <c r="F1390" s="4">
        <v>14390.0</v>
      </c>
      <c r="L1390" s="8">
        <f t="shared" si="4"/>
        <v>14390</v>
      </c>
    </row>
    <row r="1391">
      <c r="A1391" s="5" t="s">
        <v>1179</v>
      </c>
      <c r="C1391" s="14" t="s">
        <v>4677</v>
      </c>
      <c r="F1391" s="4">
        <v>14390.0</v>
      </c>
      <c r="L1391" s="8">
        <f t="shared" si="4"/>
        <v>14390</v>
      </c>
    </row>
    <row r="1392">
      <c r="A1392" s="5" t="s">
        <v>1173</v>
      </c>
      <c r="C1392" s="14" t="s">
        <v>4678</v>
      </c>
      <c r="F1392" s="4">
        <v>15390.0</v>
      </c>
      <c r="L1392" s="8">
        <f t="shared" si="4"/>
        <v>15390</v>
      </c>
    </row>
    <row r="1393">
      <c r="A1393" s="2" t="s">
        <v>4679</v>
      </c>
      <c r="C1393" s="14" t="s">
        <v>4680</v>
      </c>
      <c r="F1393" s="4">
        <v>16890.0</v>
      </c>
      <c r="L1393" s="8">
        <f t="shared" si="4"/>
        <v>16890</v>
      </c>
    </row>
    <row r="1394">
      <c r="A1394" s="2" t="s">
        <v>4681</v>
      </c>
      <c r="C1394" s="14" t="s">
        <v>4682</v>
      </c>
      <c r="F1394" s="4">
        <v>17390.0</v>
      </c>
      <c r="L1394" s="8">
        <f t="shared" si="4"/>
        <v>17390</v>
      </c>
    </row>
    <row r="1395">
      <c r="A1395" s="2" t="s">
        <v>4683</v>
      </c>
      <c r="C1395" s="14" t="s">
        <v>4684</v>
      </c>
      <c r="F1395" s="4">
        <v>20890.0</v>
      </c>
      <c r="L1395" s="8">
        <f t="shared" si="4"/>
        <v>20890</v>
      </c>
    </row>
    <row r="1396">
      <c r="A1396" s="2" t="s">
        <v>4685</v>
      </c>
      <c r="C1396" s="14" t="s">
        <v>4686</v>
      </c>
      <c r="F1396" s="4">
        <v>20890.0</v>
      </c>
      <c r="L1396" s="8">
        <f t="shared" si="4"/>
        <v>20890</v>
      </c>
    </row>
    <row r="1397">
      <c r="A1397" s="2" t="s">
        <v>4687</v>
      </c>
      <c r="C1397" s="14" t="s">
        <v>4688</v>
      </c>
      <c r="F1397" s="4">
        <v>20890.0</v>
      </c>
      <c r="L1397" s="8">
        <f t="shared" si="4"/>
        <v>20890</v>
      </c>
    </row>
    <row r="1398">
      <c r="A1398" s="2" t="s">
        <v>4689</v>
      </c>
      <c r="C1398" s="14" t="s">
        <v>4690</v>
      </c>
      <c r="F1398" s="4">
        <v>20890.0</v>
      </c>
      <c r="L1398" s="8">
        <f t="shared" si="4"/>
        <v>20890</v>
      </c>
    </row>
    <row r="1399">
      <c r="A1399" s="2" t="s">
        <v>4691</v>
      </c>
      <c r="C1399" s="14" t="s">
        <v>4692</v>
      </c>
      <c r="F1399" s="4">
        <v>20890.0</v>
      </c>
      <c r="L1399" s="8">
        <f t="shared" si="4"/>
        <v>20890</v>
      </c>
    </row>
    <row r="1400">
      <c r="A1400" s="2" t="s">
        <v>4693</v>
      </c>
      <c r="C1400" s="14" t="s">
        <v>4694</v>
      </c>
      <c r="F1400" s="4">
        <v>24890.0</v>
      </c>
      <c r="L1400" s="8">
        <f t="shared" si="4"/>
        <v>24890</v>
      </c>
    </row>
    <row r="1401">
      <c r="A1401" s="2" t="s">
        <v>4695</v>
      </c>
      <c r="C1401" s="14" t="s">
        <v>4696</v>
      </c>
      <c r="F1401" s="4">
        <v>22890.0</v>
      </c>
      <c r="L1401" s="8">
        <f t="shared" si="4"/>
        <v>22890</v>
      </c>
    </row>
    <row r="1402">
      <c r="A1402" s="5" t="s">
        <v>505</v>
      </c>
      <c r="C1402" s="14" t="s">
        <v>4697</v>
      </c>
      <c r="F1402" s="4">
        <v>31890.0</v>
      </c>
      <c r="L1402" s="8">
        <f t="shared" si="4"/>
        <v>31890</v>
      </c>
    </row>
    <row r="1403">
      <c r="A1403" s="2" t="s">
        <v>4698</v>
      </c>
      <c r="C1403" s="14" t="s">
        <v>4699</v>
      </c>
      <c r="F1403" s="4">
        <v>31890.0</v>
      </c>
      <c r="L1403" s="8">
        <f t="shared" si="4"/>
        <v>31890</v>
      </c>
    </row>
    <row r="1404">
      <c r="A1404" s="5" t="s">
        <v>1195</v>
      </c>
      <c r="C1404" s="14" t="s">
        <v>4700</v>
      </c>
      <c r="F1404" s="4">
        <v>31890.0</v>
      </c>
      <c r="L1404" s="8">
        <f t="shared" si="4"/>
        <v>31890</v>
      </c>
    </row>
    <row r="1405">
      <c r="A1405" s="2" t="s">
        <v>4701</v>
      </c>
      <c r="C1405" s="14" t="s">
        <v>4702</v>
      </c>
      <c r="F1405" s="4">
        <v>31890.0</v>
      </c>
      <c r="L1405" s="8">
        <f t="shared" si="4"/>
        <v>31890</v>
      </c>
    </row>
    <row r="1406">
      <c r="A1406" s="5" t="s">
        <v>1199</v>
      </c>
      <c r="C1406" s="14" t="s">
        <v>4703</v>
      </c>
      <c r="F1406" s="4">
        <v>31890.0</v>
      </c>
      <c r="L1406" s="8">
        <f t="shared" si="4"/>
        <v>31890</v>
      </c>
    </row>
    <row r="1407">
      <c r="A1407" s="5" t="s">
        <v>1191</v>
      </c>
      <c r="C1407" s="14" t="s">
        <v>4704</v>
      </c>
      <c r="F1407" s="4">
        <v>31890.0</v>
      </c>
      <c r="L1407" s="8">
        <f t="shared" si="4"/>
        <v>31890</v>
      </c>
    </row>
    <row r="1408">
      <c r="A1408" s="2" t="s">
        <v>467</v>
      </c>
      <c r="C1408" s="14" t="s">
        <v>4705</v>
      </c>
      <c r="F1408" s="4">
        <v>32390.0</v>
      </c>
      <c r="L1408" s="8">
        <f t="shared" si="4"/>
        <v>32390</v>
      </c>
    </row>
    <row r="1409">
      <c r="A1409" s="5" t="s">
        <v>1209</v>
      </c>
      <c r="C1409" s="14" t="s">
        <v>4706</v>
      </c>
      <c r="F1409" s="4">
        <v>32390.0</v>
      </c>
      <c r="L1409" s="8">
        <f t="shared" si="4"/>
        <v>32390</v>
      </c>
    </row>
    <row r="1410">
      <c r="A1410" s="5" t="s">
        <v>1213</v>
      </c>
      <c r="C1410" s="14" t="s">
        <v>4707</v>
      </c>
      <c r="F1410" s="4">
        <v>32390.0</v>
      </c>
      <c r="L1410" s="8">
        <f t="shared" si="4"/>
        <v>32390</v>
      </c>
    </row>
    <row r="1411">
      <c r="A1411" s="5" t="s">
        <v>1203</v>
      </c>
      <c r="C1411" s="14" t="s">
        <v>4708</v>
      </c>
      <c r="F1411" s="4">
        <v>32390.0</v>
      </c>
      <c r="L1411" s="8">
        <f t="shared" si="4"/>
        <v>32390</v>
      </c>
    </row>
    <row r="1412">
      <c r="A1412" s="2" t="s">
        <v>4711</v>
      </c>
      <c r="C1412" s="14" t="s">
        <v>4712</v>
      </c>
      <c r="F1412" s="4">
        <v>32390.0</v>
      </c>
      <c r="L1412" s="8">
        <f t="shared" si="4"/>
        <v>32390</v>
      </c>
    </row>
    <row r="1413">
      <c r="A1413" s="2" t="s">
        <v>4714</v>
      </c>
      <c r="C1413" s="14" t="s">
        <v>4715</v>
      </c>
      <c r="F1413" s="4">
        <v>40390.0</v>
      </c>
      <c r="L1413" s="8">
        <f t="shared" si="4"/>
        <v>40390</v>
      </c>
    </row>
    <row r="1414">
      <c r="A1414" s="2" t="s">
        <v>4716</v>
      </c>
      <c r="C1414" s="14" t="s">
        <v>4717</v>
      </c>
      <c r="F1414" s="4">
        <v>40390.0</v>
      </c>
      <c r="L1414" s="8">
        <f t="shared" si="4"/>
        <v>40390</v>
      </c>
    </row>
    <row r="1415">
      <c r="A1415" s="2" t="s">
        <v>4719</v>
      </c>
      <c r="C1415" s="14" t="s">
        <v>4720</v>
      </c>
      <c r="F1415" s="4">
        <v>40390.0</v>
      </c>
      <c r="L1415" s="8">
        <f t="shared" si="4"/>
        <v>40390</v>
      </c>
    </row>
    <row r="1416">
      <c r="A1416" s="2" t="s">
        <v>4722</v>
      </c>
      <c r="C1416" s="14" t="s">
        <v>4723</v>
      </c>
      <c r="F1416" s="4">
        <v>40390.0</v>
      </c>
      <c r="L1416" s="8">
        <f t="shared" si="4"/>
        <v>40390</v>
      </c>
    </row>
    <row r="1417">
      <c r="A1417" s="5" t="s">
        <v>1219</v>
      </c>
      <c r="C1417" s="14" t="s">
        <v>4725</v>
      </c>
      <c r="F1417" s="4">
        <v>42890.0</v>
      </c>
      <c r="L1417" s="8">
        <f t="shared" si="4"/>
        <v>42890</v>
      </c>
    </row>
    <row r="1418">
      <c r="A1418" s="2" t="s">
        <v>4727</v>
      </c>
      <c r="C1418" s="14" t="s">
        <v>4728</v>
      </c>
      <c r="F1418" s="4">
        <v>42890.0</v>
      </c>
      <c r="L1418" s="8">
        <f t="shared" si="4"/>
        <v>42890</v>
      </c>
    </row>
    <row r="1419">
      <c r="A1419" s="5" t="s">
        <v>1225</v>
      </c>
      <c r="C1419" s="14" t="s">
        <v>4730</v>
      </c>
      <c r="F1419" s="4">
        <v>45390.0</v>
      </c>
      <c r="L1419" s="8">
        <f t="shared" si="4"/>
        <v>45390</v>
      </c>
    </row>
    <row r="1420">
      <c r="A1420" s="2" t="s">
        <v>4731</v>
      </c>
      <c r="C1420" s="14" t="s">
        <v>4732</v>
      </c>
      <c r="F1420" s="4">
        <v>45390.0</v>
      </c>
      <c r="L1420" s="8">
        <f t="shared" si="4"/>
        <v>45390</v>
      </c>
    </row>
    <row r="1421">
      <c r="A1421" s="5" t="s">
        <v>1223</v>
      </c>
      <c r="C1421" s="14" t="s">
        <v>4734</v>
      </c>
      <c r="F1421" s="4">
        <v>45390.0</v>
      </c>
      <c r="L1421" s="8">
        <f t="shared" si="4"/>
        <v>45390</v>
      </c>
    </row>
    <row r="1422">
      <c r="A1422" s="5" t="s">
        <v>1231</v>
      </c>
      <c r="C1422" s="14" t="s">
        <v>4736</v>
      </c>
      <c r="F1422" s="4">
        <v>45390.0</v>
      </c>
      <c r="L1422" s="8">
        <f t="shared" si="4"/>
        <v>45390</v>
      </c>
    </row>
    <row r="1423">
      <c r="A1423" s="5" t="s">
        <v>1228</v>
      </c>
      <c r="C1423" s="14" t="s">
        <v>4737</v>
      </c>
      <c r="F1423" s="4">
        <v>47390.0</v>
      </c>
      <c r="L1423" s="8">
        <f t="shared" si="4"/>
        <v>47390</v>
      </c>
    </row>
    <row r="1424">
      <c r="A1424" s="2" t="s">
        <v>4738</v>
      </c>
      <c r="C1424" s="14" t="s">
        <v>4739</v>
      </c>
      <c r="F1424" s="4">
        <v>47390.0</v>
      </c>
      <c r="L1424" s="8">
        <f t="shared" si="4"/>
        <v>47390</v>
      </c>
    </row>
    <row r="1425">
      <c r="A1425" s="2" t="s">
        <v>4740</v>
      </c>
      <c r="C1425" s="14" t="s">
        <v>4741</v>
      </c>
      <c r="F1425" s="4">
        <v>47390.0</v>
      </c>
      <c r="L1425" s="8">
        <f t="shared" si="4"/>
        <v>47390</v>
      </c>
    </row>
    <row r="1426">
      <c r="A1426" s="2" t="s">
        <v>4742</v>
      </c>
      <c r="C1426" s="14" t="s">
        <v>4743</v>
      </c>
      <c r="F1426" s="4">
        <v>47390.0</v>
      </c>
      <c r="L1426" s="8">
        <f t="shared" si="4"/>
        <v>47390</v>
      </c>
    </row>
    <row r="1427">
      <c r="A1427" s="2" t="s">
        <v>4744</v>
      </c>
      <c r="C1427" s="14" t="s">
        <v>4745</v>
      </c>
      <c r="F1427" s="4">
        <v>47390.0</v>
      </c>
      <c r="L1427" s="8">
        <f t="shared" si="4"/>
        <v>47390</v>
      </c>
    </row>
    <row r="1428">
      <c r="A1428" s="2" t="s">
        <v>4746</v>
      </c>
      <c r="C1428" s="14" t="s">
        <v>4747</v>
      </c>
      <c r="F1428" s="2">
        <v>16890.0</v>
      </c>
      <c r="L1428" s="8">
        <f t="shared" si="4"/>
        <v>16890</v>
      </c>
    </row>
    <row r="1429">
      <c r="A1429" s="2" t="s">
        <v>4749</v>
      </c>
      <c r="C1429" s="14" t="s">
        <v>4750</v>
      </c>
      <c r="F1429" s="2">
        <v>17890.0</v>
      </c>
      <c r="L1429" s="8">
        <f t="shared" si="4"/>
        <v>17890</v>
      </c>
    </row>
    <row r="1430">
      <c r="A1430" s="2" t="s">
        <v>4751</v>
      </c>
      <c r="C1430" s="14" t="s">
        <v>4752</v>
      </c>
      <c r="F1430" s="2">
        <v>120890.0</v>
      </c>
      <c r="L1430" s="8">
        <f t="shared" si="4"/>
        <v>120890</v>
      </c>
    </row>
    <row r="1431">
      <c r="A1431" s="5" t="s">
        <v>2317</v>
      </c>
      <c r="C1431" s="14" t="s">
        <v>4753</v>
      </c>
      <c r="F1431" s="2">
        <v>1.0</v>
      </c>
      <c r="L1431" s="8">
        <f t="shared" si="4"/>
        <v>1</v>
      </c>
    </row>
    <row r="1432">
      <c r="A1432" s="2" t="s">
        <v>4754</v>
      </c>
      <c r="C1432" s="2"/>
      <c r="L1432" s="8" t="str">
        <f t="shared" si="4"/>
        <v/>
      </c>
    </row>
    <row r="1433">
      <c r="A1433" s="2" t="s">
        <v>4755</v>
      </c>
      <c r="C1433" s="14" t="s">
        <v>4756</v>
      </c>
      <c r="F1433" s="4">
        <v>22890.0</v>
      </c>
      <c r="L1433" s="8">
        <f t="shared" si="4"/>
        <v>22890</v>
      </c>
    </row>
    <row r="1434">
      <c r="A1434" s="2" t="s">
        <v>4757</v>
      </c>
      <c r="C1434" s="14" t="s">
        <v>4758</v>
      </c>
      <c r="F1434" s="4">
        <v>1.0</v>
      </c>
      <c r="L1434" s="8">
        <f t="shared" si="4"/>
        <v>1</v>
      </c>
    </row>
    <row r="1435">
      <c r="A1435" s="2" t="s">
        <v>4759</v>
      </c>
      <c r="C1435" s="14" t="s">
        <v>4760</v>
      </c>
      <c r="F1435" s="4">
        <v>22890.0</v>
      </c>
      <c r="L1435" s="8">
        <f t="shared" si="4"/>
        <v>22890</v>
      </c>
    </row>
    <row r="1436">
      <c r="A1436" s="2" t="s">
        <v>4761</v>
      </c>
      <c r="C1436" s="14" t="s">
        <v>4762</v>
      </c>
      <c r="F1436" s="4">
        <v>22890.0</v>
      </c>
      <c r="L1436" s="8">
        <f t="shared" si="4"/>
        <v>22890</v>
      </c>
    </row>
    <row r="1437">
      <c r="A1437" s="2" t="s">
        <v>4763</v>
      </c>
      <c r="C1437" s="2"/>
      <c r="L1437" s="8" t="str">
        <f t="shared" si="4"/>
        <v/>
      </c>
    </row>
    <row r="1438">
      <c r="A1438" s="5" t="s">
        <v>968</v>
      </c>
      <c r="C1438" s="14" t="s">
        <v>4765</v>
      </c>
      <c r="F1438" s="4">
        <v>35390.0</v>
      </c>
      <c r="L1438" s="8">
        <f t="shared" si="4"/>
        <v>35390</v>
      </c>
    </row>
    <row r="1439">
      <c r="A1439" s="2" t="s">
        <v>4767</v>
      </c>
      <c r="C1439" s="14" t="s">
        <v>4768</v>
      </c>
      <c r="F1439" s="4">
        <v>45390.0</v>
      </c>
      <c r="L1439" s="8">
        <f t="shared" si="4"/>
        <v>45390</v>
      </c>
    </row>
    <row r="1440">
      <c r="A1440" s="2" t="s">
        <v>4769</v>
      </c>
      <c r="C1440" s="14" t="s">
        <v>4770</v>
      </c>
      <c r="F1440" s="4">
        <v>50390.0</v>
      </c>
      <c r="L1440" s="8">
        <f t="shared" si="4"/>
        <v>50390</v>
      </c>
    </row>
    <row r="1441">
      <c r="A1441" s="5" t="s">
        <v>760</v>
      </c>
      <c r="C1441" s="14" t="s">
        <v>4771</v>
      </c>
      <c r="F1441" s="4">
        <v>451890.0</v>
      </c>
      <c r="L1441" s="8">
        <f t="shared" si="4"/>
        <v>451890</v>
      </c>
    </row>
    <row r="1442">
      <c r="A1442" s="5" t="s">
        <v>764</v>
      </c>
      <c r="C1442" s="14" t="s">
        <v>4772</v>
      </c>
      <c r="F1442" s="4">
        <v>468390.0</v>
      </c>
      <c r="L1442" s="8">
        <f t="shared" si="4"/>
        <v>468390</v>
      </c>
    </row>
    <row r="1443">
      <c r="A1443" s="5" t="s">
        <v>769</v>
      </c>
      <c r="C1443" s="14" t="s">
        <v>4773</v>
      </c>
      <c r="F1443" s="4">
        <v>484890.0</v>
      </c>
      <c r="L1443" s="8">
        <f t="shared" si="4"/>
        <v>484890</v>
      </c>
    </row>
    <row r="1444">
      <c r="A1444" s="2" t="s">
        <v>4774</v>
      </c>
      <c r="C1444" s="14" t="s">
        <v>4775</v>
      </c>
      <c r="F1444" s="4">
        <v>10390.0</v>
      </c>
      <c r="L1444" s="8">
        <f t="shared" si="4"/>
        <v>10390</v>
      </c>
    </row>
    <row r="1445">
      <c r="A1445" s="2" t="s">
        <v>4776</v>
      </c>
      <c r="C1445" s="14" t="s">
        <v>4777</v>
      </c>
      <c r="F1445" s="4">
        <v>18890.0</v>
      </c>
      <c r="L1445" s="8">
        <f t="shared" si="4"/>
        <v>18890</v>
      </c>
    </row>
    <row r="1446">
      <c r="A1446" s="2" t="s">
        <v>4778</v>
      </c>
      <c r="C1446" s="14" t="s">
        <v>4779</v>
      </c>
      <c r="F1446" s="4">
        <v>27390.0</v>
      </c>
      <c r="L1446" s="8">
        <f t="shared" si="4"/>
        <v>27390</v>
      </c>
    </row>
    <row r="1447">
      <c r="A1447" s="5" t="s">
        <v>770</v>
      </c>
      <c r="B1447" s="2"/>
      <c r="C1447" s="14" t="s">
        <v>4775</v>
      </c>
      <c r="F1447" s="4">
        <v>10390.0</v>
      </c>
      <c r="L1447" s="8">
        <f t="shared" si="4"/>
        <v>10390</v>
      </c>
    </row>
    <row r="1448">
      <c r="A1448" s="19" t="s">
        <v>4780</v>
      </c>
      <c r="B1448" s="2"/>
      <c r="C1448" s="14" t="s">
        <v>4781</v>
      </c>
      <c r="F1448" s="4">
        <v>33890.0</v>
      </c>
      <c r="L1448" s="8">
        <f t="shared" si="4"/>
        <v>33890</v>
      </c>
    </row>
    <row r="1449">
      <c r="A1449" s="5" t="s">
        <v>2744</v>
      </c>
      <c r="B1449" s="2"/>
      <c r="C1449" s="14" t="s">
        <v>4782</v>
      </c>
      <c r="F1449" s="2">
        <v>41890.0</v>
      </c>
      <c r="L1449" s="8">
        <f t="shared" si="4"/>
        <v>41890</v>
      </c>
    </row>
    <row r="1450">
      <c r="A1450" s="2"/>
      <c r="B1450" s="2"/>
    </row>
    <row r="1451">
      <c r="A1451" s="2"/>
      <c r="B1451" s="2"/>
    </row>
    <row r="1452">
      <c r="A1452" s="2"/>
      <c r="B1452" s="2"/>
    </row>
    <row r="1453">
      <c r="A1453" s="2"/>
      <c r="B1453" s="2"/>
    </row>
    <row r="1454">
      <c r="A1454" s="2"/>
      <c r="B1454" s="2"/>
    </row>
    <row r="1455">
      <c r="A1455" s="2"/>
      <c r="B1455" s="2"/>
    </row>
    <row r="1456">
      <c r="A1456" s="2"/>
      <c r="B1456" s="2"/>
    </row>
    <row r="1457">
      <c r="A1457" s="2"/>
      <c r="B1457" s="2"/>
    </row>
    <row r="1458">
      <c r="A1458" s="2"/>
      <c r="B1458" s="2"/>
    </row>
    <row r="1459">
      <c r="A1459" s="2"/>
      <c r="B1459" s="2"/>
    </row>
    <row r="1460">
      <c r="A1460" s="2"/>
      <c r="B1460" s="2"/>
    </row>
    <row r="1461">
      <c r="A1461" s="2"/>
      <c r="B1461" s="2"/>
    </row>
    <row r="1462">
      <c r="A1462" s="2"/>
      <c r="B1462" s="2"/>
    </row>
    <row r="1463">
      <c r="A1463" s="2"/>
      <c r="B1463" s="2"/>
    </row>
    <row r="1464">
      <c r="A1464" s="2"/>
      <c r="B1464" s="2"/>
    </row>
    <row r="1465">
      <c r="A1465" s="2"/>
      <c r="B1465" s="2"/>
    </row>
    <row r="1466">
      <c r="A1466" s="2"/>
      <c r="B1466" s="2"/>
    </row>
    <row r="1467">
      <c r="A1467" s="2"/>
      <c r="B1467" s="2"/>
    </row>
    <row r="1468">
      <c r="A1468" s="2"/>
      <c r="B1468" s="2"/>
    </row>
    <row r="1469">
      <c r="A1469" s="2"/>
      <c r="B1469" s="2"/>
    </row>
    <row r="1470">
      <c r="A1470" s="2"/>
      <c r="B1470" s="2"/>
    </row>
    <row r="1471">
      <c r="A1471" s="2"/>
      <c r="B1471" s="2"/>
    </row>
    <row r="1472">
      <c r="A1472" s="2"/>
      <c r="B1472" s="2"/>
    </row>
    <row r="1473">
      <c r="A1473" s="2"/>
      <c r="B1473" s="2"/>
    </row>
    <row r="1474">
      <c r="A1474" s="2"/>
      <c r="B1474" s="2"/>
    </row>
    <row r="1475">
      <c r="A1475" s="2"/>
      <c r="B1475" s="2"/>
    </row>
    <row r="1476">
      <c r="A1476" s="2"/>
      <c r="B1476" s="2"/>
    </row>
    <row r="1477">
      <c r="A1477" s="2"/>
      <c r="B1477" s="2"/>
    </row>
    <row r="1478">
      <c r="A1478" s="2"/>
      <c r="B1478" s="2"/>
    </row>
    <row r="1479">
      <c r="A1479" s="2"/>
      <c r="B1479" s="2"/>
    </row>
    <row r="1480">
      <c r="A1480" s="2"/>
      <c r="B1480" s="2"/>
    </row>
    <row r="1481">
      <c r="A1481" s="2"/>
      <c r="B1481" s="2"/>
    </row>
    <row r="1482">
      <c r="A1482" s="2"/>
      <c r="B1482" s="2"/>
    </row>
    <row r="1483">
      <c r="A1483" s="2"/>
      <c r="B1483" s="2"/>
    </row>
    <row r="1484">
      <c r="A1484" s="2"/>
      <c r="B1484" s="2"/>
    </row>
    <row r="1485">
      <c r="A1485" s="2"/>
      <c r="B1485" s="2"/>
    </row>
    <row r="1486">
      <c r="A1486" s="2"/>
      <c r="B1486" s="2"/>
    </row>
    <row r="1487">
      <c r="A1487" s="2"/>
      <c r="B1487" s="2"/>
    </row>
    <row r="1488">
      <c r="A1488" s="2"/>
      <c r="B1488" s="2"/>
    </row>
    <row r="1489">
      <c r="A1489" s="2"/>
      <c r="B1489" s="2"/>
    </row>
    <row r="1490">
      <c r="A1490" s="2"/>
      <c r="B1490" s="2"/>
    </row>
    <row r="1491">
      <c r="A1491" s="2"/>
      <c r="B1491" s="2"/>
    </row>
    <row r="1492">
      <c r="A1492" s="2"/>
      <c r="B1492" s="2"/>
    </row>
    <row r="1493">
      <c r="A1493" s="2"/>
      <c r="B1493" s="2"/>
    </row>
    <row r="1494">
      <c r="A1494" s="2"/>
      <c r="B1494" s="2"/>
    </row>
    <row r="1495">
      <c r="A1495" s="2"/>
      <c r="B1495" s="2"/>
    </row>
    <row r="1496">
      <c r="A1496" s="2"/>
      <c r="B1496" s="2"/>
    </row>
    <row r="1497">
      <c r="A1497" s="2"/>
      <c r="B1497" s="2"/>
    </row>
    <row r="1498">
      <c r="A1498" s="2"/>
      <c r="B1498" s="2"/>
    </row>
    <row r="1499">
      <c r="A1499" s="2"/>
      <c r="B1499" s="2"/>
    </row>
    <row r="1500">
      <c r="A1500" s="2"/>
      <c r="B1500" s="2"/>
    </row>
    <row r="1501">
      <c r="A1501" s="2"/>
      <c r="B1501" s="2"/>
    </row>
    <row r="1502">
      <c r="A1502" s="2"/>
      <c r="B1502" s="2"/>
    </row>
    <row r="1503">
      <c r="A1503" s="2"/>
      <c r="B1503" s="2"/>
    </row>
    <row r="1504">
      <c r="A1504" s="2"/>
      <c r="B1504" s="2"/>
    </row>
    <row r="1505">
      <c r="A1505" s="2"/>
      <c r="B1505" s="2"/>
    </row>
    <row r="1506">
      <c r="A1506" s="2"/>
      <c r="B1506" s="2"/>
    </row>
    <row r="1507">
      <c r="A1507" s="2"/>
      <c r="B1507" s="2"/>
    </row>
    <row r="1508">
      <c r="A1508" s="2"/>
      <c r="B1508" s="2"/>
    </row>
    <row r="1509">
      <c r="A1509" s="2"/>
      <c r="B1509" s="2"/>
    </row>
    <row r="1510">
      <c r="A1510" s="2"/>
      <c r="B1510" s="2"/>
    </row>
    <row r="1511">
      <c r="A1511" s="2"/>
      <c r="B1511" s="2"/>
    </row>
    <row r="1512">
      <c r="A1512" s="2"/>
      <c r="B1512" s="2"/>
    </row>
    <row r="1513">
      <c r="A1513" s="2"/>
      <c r="B1513" s="2"/>
    </row>
    <row r="1514">
      <c r="A1514" s="2"/>
      <c r="B1514" s="2"/>
    </row>
    <row r="1515">
      <c r="A1515" s="2"/>
      <c r="B1515" s="2"/>
    </row>
    <row r="1516">
      <c r="A1516" s="2"/>
      <c r="B1516" s="2"/>
    </row>
    <row r="1517">
      <c r="A1517" s="2"/>
      <c r="B1517" s="2"/>
    </row>
    <row r="1518">
      <c r="A1518" s="2"/>
      <c r="B1518" s="2"/>
    </row>
    <row r="1519">
      <c r="A1519" s="2"/>
      <c r="B1519" s="2"/>
    </row>
    <row r="1520">
      <c r="A1520" s="2"/>
      <c r="B1520" s="2"/>
    </row>
    <row r="1521">
      <c r="A1521" s="2"/>
      <c r="B1521" s="2"/>
    </row>
    <row r="1522">
      <c r="A1522" s="2"/>
      <c r="B1522" s="2"/>
    </row>
    <row r="1523">
      <c r="A1523" s="2"/>
      <c r="B1523" s="2"/>
    </row>
    <row r="1524">
      <c r="A1524" s="2"/>
      <c r="B1524" s="2"/>
    </row>
    <row r="1525">
      <c r="A1525" s="2"/>
      <c r="B1525" s="2"/>
    </row>
    <row r="1526">
      <c r="A1526" s="2"/>
      <c r="B1526" s="2"/>
    </row>
    <row r="1527">
      <c r="A1527" s="2"/>
      <c r="B1527" s="2"/>
    </row>
    <row r="1528">
      <c r="A1528" s="2"/>
      <c r="B1528" s="2"/>
    </row>
    <row r="1529">
      <c r="A1529" s="2"/>
      <c r="B1529" s="2"/>
    </row>
    <row r="1530">
      <c r="A1530" s="2"/>
      <c r="B1530" s="2"/>
    </row>
    <row r="1531">
      <c r="A1531" s="2"/>
      <c r="B1531" s="2"/>
    </row>
    <row r="1532">
      <c r="A1532" s="2"/>
      <c r="B1532" s="2"/>
    </row>
    <row r="1533">
      <c r="A1533" s="2"/>
      <c r="B1533" s="2"/>
    </row>
    <row r="1534">
      <c r="A1534" s="2"/>
      <c r="B1534" s="2"/>
    </row>
    <row r="1535">
      <c r="A1535" s="2"/>
      <c r="B1535" s="2"/>
    </row>
    <row r="1536">
      <c r="A1536" s="2"/>
      <c r="B1536" s="2"/>
    </row>
    <row r="1537">
      <c r="A1537" s="2"/>
      <c r="B1537" s="2"/>
    </row>
    <row r="1538">
      <c r="A1538" s="2"/>
      <c r="B1538" s="2"/>
    </row>
    <row r="1539">
      <c r="A1539" s="2"/>
      <c r="B1539" s="2"/>
    </row>
    <row r="1540">
      <c r="A1540" s="2"/>
      <c r="B1540" s="2"/>
    </row>
    <row r="1541">
      <c r="A1541" s="2"/>
      <c r="B1541" s="2"/>
    </row>
    <row r="1542">
      <c r="A1542" s="2"/>
      <c r="B1542" s="2"/>
    </row>
    <row r="1543">
      <c r="A1543" s="2"/>
      <c r="B1543" s="2"/>
    </row>
    <row r="1544">
      <c r="A1544" s="2"/>
      <c r="B1544" s="2"/>
    </row>
    <row r="1545">
      <c r="A1545" s="2"/>
      <c r="B1545" s="2"/>
    </row>
    <row r="1546">
      <c r="A1546" s="2"/>
      <c r="B1546" s="2"/>
    </row>
    <row r="1547">
      <c r="A1547" s="2"/>
      <c r="B1547" s="2"/>
    </row>
    <row r="1548">
      <c r="A1548" s="2"/>
      <c r="B1548" s="2"/>
    </row>
    <row r="1549">
      <c r="A1549" s="2"/>
      <c r="B1549" s="2"/>
    </row>
    <row r="1550">
      <c r="A1550" s="2"/>
      <c r="B1550" s="2"/>
    </row>
    <row r="1551">
      <c r="A1551" s="2"/>
      <c r="B1551" s="2"/>
    </row>
    <row r="1552">
      <c r="A1552" s="2"/>
      <c r="B1552" s="2"/>
    </row>
    <row r="1553">
      <c r="A1553" s="2"/>
      <c r="B1553" s="2"/>
    </row>
    <row r="1554">
      <c r="A1554" s="2"/>
      <c r="B1554" s="2"/>
    </row>
    <row r="1555">
      <c r="A1555" s="2"/>
      <c r="B1555" s="2"/>
    </row>
    <row r="1556">
      <c r="A1556" s="2"/>
      <c r="B1556" s="2"/>
    </row>
    <row r="1557">
      <c r="A1557" s="2"/>
      <c r="B1557" s="2"/>
    </row>
    <row r="1558">
      <c r="A1558" s="2"/>
      <c r="B1558" s="2"/>
    </row>
    <row r="1559">
      <c r="A1559" s="2"/>
      <c r="B1559" s="2"/>
    </row>
    <row r="1560">
      <c r="A1560" s="2"/>
      <c r="B1560" s="2"/>
    </row>
    <row r="1561">
      <c r="A1561" s="2"/>
      <c r="B1561" s="2"/>
    </row>
    <row r="1562">
      <c r="A1562" s="2"/>
      <c r="B1562" s="2"/>
    </row>
    <row r="1563">
      <c r="A1563" s="2"/>
      <c r="B1563" s="2"/>
    </row>
    <row r="1564">
      <c r="A1564" s="2"/>
      <c r="B1564" s="2"/>
    </row>
    <row r="1565">
      <c r="A1565" s="2"/>
      <c r="B1565" s="2"/>
    </row>
    <row r="1566">
      <c r="A1566" s="2"/>
      <c r="B1566" s="2"/>
    </row>
    <row r="1567">
      <c r="A1567" s="2"/>
      <c r="B1567" s="2"/>
    </row>
    <row r="1568">
      <c r="A1568" s="2"/>
      <c r="B1568" s="2"/>
    </row>
    <row r="1569">
      <c r="A1569" s="2"/>
      <c r="B1569" s="2"/>
    </row>
    <row r="1570">
      <c r="A1570" s="2"/>
      <c r="B1570" s="2"/>
    </row>
    <row r="1571">
      <c r="A1571" s="2"/>
      <c r="B1571" s="2"/>
    </row>
    <row r="1572">
      <c r="A1572" s="2"/>
      <c r="B1572" s="2"/>
    </row>
    <row r="1573">
      <c r="A1573" s="2"/>
      <c r="B1573" s="2"/>
    </row>
    <row r="1574">
      <c r="A1574" s="2"/>
      <c r="B1574" s="2"/>
    </row>
    <row r="1575">
      <c r="A1575" s="2"/>
      <c r="B1575" s="2"/>
    </row>
    <row r="1576">
      <c r="A1576" s="2"/>
      <c r="B1576" s="2"/>
    </row>
    <row r="1577">
      <c r="A1577" s="2"/>
      <c r="B1577" s="2"/>
    </row>
    <row r="1578">
      <c r="A1578" s="2"/>
      <c r="B1578" s="2"/>
    </row>
    <row r="1579">
      <c r="A1579" s="2"/>
      <c r="B1579" s="2"/>
    </row>
    <row r="1580">
      <c r="A1580" s="2"/>
      <c r="B1580" s="2"/>
    </row>
    <row r="1581">
      <c r="A1581" s="2"/>
      <c r="B1581" s="2"/>
    </row>
    <row r="1582">
      <c r="A1582" s="2"/>
      <c r="B1582" s="2"/>
    </row>
    <row r="1583">
      <c r="A1583" s="2"/>
      <c r="B1583" s="2"/>
    </row>
    <row r="1584">
      <c r="A1584" s="2"/>
      <c r="B1584" s="2"/>
    </row>
    <row r="1585">
      <c r="A1585" s="2"/>
      <c r="B1585" s="2"/>
    </row>
    <row r="1586">
      <c r="A1586" s="2"/>
      <c r="B1586" s="2"/>
    </row>
    <row r="1587">
      <c r="A1587" s="2"/>
      <c r="B1587" s="2"/>
    </row>
    <row r="1588">
      <c r="A1588" s="2"/>
      <c r="B1588" s="2"/>
    </row>
    <row r="1589">
      <c r="A1589" s="2"/>
      <c r="B1589" s="2"/>
    </row>
    <row r="1590">
      <c r="A1590" s="2"/>
      <c r="B1590" s="2"/>
    </row>
    <row r="1591">
      <c r="A1591" s="2"/>
      <c r="B1591" s="2"/>
    </row>
    <row r="1592">
      <c r="A1592" s="2"/>
      <c r="B1592" s="2"/>
    </row>
    <row r="1593">
      <c r="A1593" s="2"/>
      <c r="B1593" s="2"/>
    </row>
    <row r="1594">
      <c r="A1594" s="2"/>
      <c r="B1594" s="2"/>
    </row>
    <row r="1595">
      <c r="A1595" s="2"/>
      <c r="B1595" s="2"/>
    </row>
    <row r="1596">
      <c r="A1596" s="2"/>
      <c r="B1596" s="2"/>
    </row>
    <row r="1597">
      <c r="A1597" s="2"/>
      <c r="B1597" s="2"/>
    </row>
    <row r="1598">
      <c r="A1598" s="2"/>
      <c r="B1598" s="2"/>
    </row>
    <row r="1599">
      <c r="A1599" s="2"/>
      <c r="B1599" s="2"/>
    </row>
    <row r="1600">
      <c r="A1600" s="2"/>
      <c r="B1600" s="2"/>
    </row>
    <row r="1601">
      <c r="A1601" s="2"/>
      <c r="B1601" s="2"/>
    </row>
    <row r="1602">
      <c r="A1602" s="2"/>
      <c r="B1602" s="2"/>
    </row>
    <row r="1603">
      <c r="A1603" s="2"/>
      <c r="B1603" s="2"/>
    </row>
    <row r="1604">
      <c r="A1604" s="2"/>
      <c r="B1604" s="2"/>
    </row>
    <row r="1605">
      <c r="A1605" s="2"/>
      <c r="B1605" s="2"/>
    </row>
    <row r="1606">
      <c r="A1606" s="2"/>
      <c r="B1606" s="2"/>
    </row>
    <row r="1607">
      <c r="A1607" s="2"/>
      <c r="B1607" s="2"/>
    </row>
    <row r="1608">
      <c r="A1608" s="2"/>
      <c r="B1608" s="2"/>
    </row>
    <row r="1609">
      <c r="A1609" s="2"/>
      <c r="B1609" s="2"/>
    </row>
    <row r="1610">
      <c r="A1610" s="2"/>
      <c r="B1610" s="2"/>
    </row>
    <row r="1611">
      <c r="A1611" s="2"/>
      <c r="B1611" s="2"/>
    </row>
    <row r="1612">
      <c r="A1612" s="2"/>
      <c r="B1612" s="2"/>
    </row>
    <row r="1613">
      <c r="A1613" s="2"/>
      <c r="B1613" s="2"/>
    </row>
    <row r="1614">
      <c r="A1614" s="2"/>
      <c r="B1614" s="2"/>
    </row>
    <row r="1615">
      <c r="A1615" s="2"/>
      <c r="B1615" s="2"/>
    </row>
    <row r="1616">
      <c r="A1616" s="2"/>
      <c r="B1616" s="2"/>
    </row>
    <row r="1617">
      <c r="A1617" s="2"/>
      <c r="B1617" s="2"/>
    </row>
    <row r="1618">
      <c r="A1618" s="2"/>
      <c r="B1618" s="2"/>
    </row>
    <row r="1619">
      <c r="A1619" s="2"/>
      <c r="B1619" s="2"/>
    </row>
    <row r="1620">
      <c r="A1620" s="2"/>
      <c r="B1620" s="2"/>
    </row>
    <row r="1621">
      <c r="A1621" s="2"/>
      <c r="B1621" s="2"/>
    </row>
    <row r="1622">
      <c r="A1622" s="2"/>
      <c r="B1622" s="2"/>
    </row>
    <row r="1623">
      <c r="A1623" s="2"/>
      <c r="B1623" s="2"/>
    </row>
    <row r="1624">
      <c r="A1624" s="2"/>
      <c r="B1624" s="2"/>
    </row>
    <row r="1625">
      <c r="A1625" s="2"/>
      <c r="B1625" s="2"/>
    </row>
    <row r="1626">
      <c r="A1626" s="2"/>
      <c r="B1626" s="2"/>
    </row>
    <row r="1627">
      <c r="A1627" s="2"/>
      <c r="B1627" s="2"/>
    </row>
    <row r="1628">
      <c r="A1628" s="2"/>
      <c r="B1628" s="2"/>
    </row>
    <row r="1629">
      <c r="A1629" s="2"/>
      <c r="B1629" s="2"/>
    </row>
    <row r="1630">
      <c r="A1630" s="2"/>
      <c r="B1630" s="2"/>
    </row>
    <row r="1631">
      <c r="A1631" s="2"/>
      <c r="B1631" s="2"/>
    </row>
    <row r="1632">
      <c r="A1632" s="2"/>
      <c r="B1632" s="2"/>
    </row>
    <row r="1633">
      <c r="A1633" s="2"/>
      <c r="B1633" s="2"/>
    </row>
    <row r="1634">
      <c r="A1634" s="2"/>
      <c r="B1634" s="2"/>
    </row>
    <row r="1635">
      <c r="A1635" s="2"/>
      <c r="B1635" s="2"/>
    </row>
    <row r="1636">
      <c r="A1636" s="2"/>
      <c r="B1636" s="2"/>
    </row>
    <row r="1637">
      <c r="A1637" s="2"/>
      <c r="B1637" s="2"/>
    </row>
    <row r="1638">
      <c r="A1638" s="2"/>
      <c r="B1638" s="2"/>
    </row>
    <row r="1639">
      <c r="A1639" s="2"/>
      <c r="B1639" s="2"/>
    </row>
    <row r="1640">
      <c r="A1640" s="2"/>
      <c r="B1640" s="2"/>
    </row>
    <row r="1641">
      <c r="A1641" s="2"/>
      <c r="B1641" s="2"/>
    </row>
    <row r="1642">
      <c r="A1642" s="2"/>
      <c r="B1642" s="2"/>
    </row>
    <row r="1643">
      <c r="A1643" s="2"/>
      <c r="B1643" s="2"/>
    </row>
    <row r="1644">
      <c r="A1644" s="2"/>
      <c r="B1644" s="2"/>
    </row>
    <row r="1645">
      <c r="A1645" s="2"/>
      <c r="B1645" s="2"/>
    </row>
    <row r="1646">
      <c r="A1646" s="2"/>
      <c r="B1646" s="2"/>
    </row>
    <row r="1647">
      <c r="A1647" s="2"/>
      <c r="B1647" s="2"/>
    </row>
    <row r="1648">
      <c r="A1648" s="2"/>
      <c r="B1648" s="2"/>
    </row>
    <row r="1649">
      <c r="A1649" s="2"/>
      <c r="B1649" s="2"/>
    </row>
    <row r="1650">
      <c r="A1650" s="2"/>
      <c r="B1650" s="2"/>
    </row>
    <row r="1651">
      <c r="A1651" s="2"/>
      <c r="B1651" s="2"/>
    </row>
    <row r="1652">
      <c r="A1652" s="2"/>
      <c r="B1652" s="2"/>
    </row>
    <row r="1653">
      <c r="A1653" s="2"/>
      <c r="B1653" s="2"/>
    </row>
    <row r="1654">
      <c r="A1654" s="2"/>
      <c r="B1654" s="2"/>
    </row>
    <row r="1655">
      <c r="A1655" s="2"/>
      <c r="B1655" s="2"/>
    </row>
    <row r="1656">
      <c r="A1656" s="2"/>
      <c r="B1656" s="2"/>
    </row>
    <row r="1657">
      <c r="A1657" s="2"/>
      <c r="B1657" s="2"/>
    </row>
    <row r="1658">
      <c r="A1658" s="2"/>
      <c r="B1658" s="2"/>
    </row>
    <row r="1659">
      <c r="A1659" s="2"/>
      <c r="B1659" s="2"/>
    </row>
    <row r="1660">
      <c r="A1660" s="2"/>
      <c r="B1660" s="2"/>
    </row>
    <row r="1661">
      <c r="A1661" s="2"/>
      <c r="B1661" s="2"/>
    </row>
    <row r="1662">
      <c r="A1662" s="2"/>
      <c r="B1662" s="2"/>
    </row>
    <row r="1663">
      <c r="A1663" s="2"/>
      <c r="B1663" s="2"/>
    </row>
    <row r="1664">
      <c r="A1664" s="2"/>
      <c r="B1664" s="2"/>
    </row>
    <row r="1665">
      <c r="A1665" s="2"/>
      <c r="B1665" s="2"/>
    </row>
    <row r="1666">
      <c r="A1666" s="2"/>
      <c r="B1666" s="2"/>
    </row>
    <row r="1667">
      <c r="A1667" s="2"/>
      <c r="B1667" s="2"/>
    </row>
    <row r="1668">
      <c r="A1668" s="2"/>
      <c r="B1668" s="2"/>
    </row>
    <row r="1669">
      <c r="A1669" s="2"/>
      <c r="B1669" s="2"/>
    </row>
    <row r="1670">
      <c r="A1670" s="2"/>
      <c r="B1670" s="2"/>
    </row>
    <row r="1671">
      <c r="A1671" s="2"/>
      <c r="B1671" s="2"/>
    </row>
    <row r="1672">
      <c r="A1672" s="2"/>
      <c r="B1672" s="2"/>
    </row>
    <row r="1673">
      <c r="A1673" s="2"/>
      <c r="B1673" s="2"/>
    </row>
    <row r="1674">
      <c r="A1674" s="2"/>
      <c r="B1674" s="2"/>
    </row>
    <row r="1675">
      <c r="A1675" s="2"/>
      <c r="B1675" s="2"/>
    </row>
    <row r="1676">
      <c r="A1676" s="2"/>
      <c r="B1676" s="2"/>
    </row>
    <row r="1677">
      <c r="A1677" s="2"/>
      <c r="B1677" s="2"/>
    </row>
    <row r="1678">
      <c r="A1678" s="2"/>
      <c r="B1678" s="2"/>
    </row>
    <row r="1679">
      <c r="A1679" s="2"/>
      <c r="B1679" s="2"/>
    </row>
    <row r="1680">
      <c r="A1680" s="2"/>
      <c r="B1680" s="2"/>
    </row>
    <row r="1681">
      <c r="A1681" s="2"/>
      <c r="B1681" s="2"/>
    </row>
    <row r="1682">
      <c r="A1682" s="2"/>
      <c r="B1682" s="2"/>
    </row>
    <row r="1683">
      <c r="A1683" s="2"/>
      <c r="B1683" s="2"/>
    </row>
    <row r="1684">
      <c r="A1684" s="2"/>
      <c r="B1684" s="2"/>
    </row>
    <row r="1685">
      <c r="A1685" s="2"/>
      <c r="B1685" s="2"/>
    </row>
    <row r="1686">
      <c r="A1686" s="2"/>
      <c r="B1686" s="2"/>
    </row>
    <row r="1687">
      <c r="A1687" s="2"/>
      <c r="B1687" s="2"/>
    </row>
    <row r="1688">
      <c r="A1688" s="2"/>
      <c r="B1688" s="2"/>
    </row>
    <row r="1689">
      <c r="A1689" s="2"/>
      <c r="B1689" s="2"/>
    </row>
    <row r="1690">
      <c r="A1690" s="2"/>
      <c r="B1690" s="2"/>
    </row>
    <row r="1691">
      <c r="A1691" s="2"/>
      <c r="B1691" s="2"/>
    </row>
    <row r="1692">
      <c r="A1692" s="2"/>
      <c r="B1692" s="2"/>
    </row>
    <row r="1693">
      <c r="A1693" s="2"/>
      <c r="B1693" s="2"/>
    </row>
    <row r="1694">
      <c r="A1694" s="2"/>
      <c r="B1694" s="2"/>
    </row>
    <row r="1695">
      <c r="A1695" s="2"/>
      <c r="B1695" s="2"/>
    </row>
    <row r="1696">
      <c r="A1696" s="2"/>
      <c r="B1696" s="2"/>
    </row>
    <row r="1697">
      <c r="A1697" s="2"/>
      <c r="B1697" s="2"/>
    </row>
    <row r="1698">
      <c r="A1698" s="2"/>
      <c r="B1698" s="2"/>
    </row>
    <row r="1699">
      <c r="A1699" s="2"/>
      <c r="B1699" s="2"/>
    </row>
    <row r="1700">
      <c r="A1700" s="2"/>
      <c r="B1700" s="2"/>
    </row>
    <row r="1701">
      <c r="A1701" s="2"/>
      <c r="B1701" s="2"/>
    </row>
    <row r="1702">
      <c r="A1702" s="2"/>
      <c r="B1702" s="2"/>
    </row>
    <row r="1703">
      <c r="A1703" s="2"/>
      <c r="B1703" s="2"/>
    </row>
    <row r="1704">
      <c r="A1704" s="2"/>
      <c r="B1704" s="2"/>
    </row>
    <row r="1705">
      <c r="A1705" s="2"/>
      <c r="B1705" s="2"/>
    </row>
    <row r="1706">
      <c r="A1706" s="2"/>
      <c r="B1706" s="2"/>
    </row>
    <row r="1707">
      <c r="A1707" s="2"/>
      <c r="B1707" s="2"/>
    </row>
    <row r="1708">
      <c r="A1708" s="2"/>
      <c r="B1708" s="2"/>
    </row>
    <row r="1709">
      <c r="A1709" s="2"/>
      <c r="B1709" s="2"/>
    </row>
    <row r="1710">
      <c r="A1710" s="2"/>
      <c r="B1710" s="2"/>
    </row>
    <row r="1711">
      <c r="A1711" s="2"/>
      <c r="B1711" s="2"/>
    </row>
    <row r="1712">
      <c r="A1712" s="2"/>
      <c r="B1712" s="2"/>
    </row>
    <row r="1713">
      <c r="A1713" s="2"/>
      <c r="B1713" s="2"/>
    </row>
    <row r="1714">
      <c r="A1714" s="2"/>
      <c r="B1714" s="2"/>
    </row>
    <row r="1715">
      <c r="A1715" s="2"/>
      <c r="B1715" s="2"/>
    </row>
    <row r="1716">
      <c r="A1716" s="2"/>
      <c r="B1716" s="2"/>
    </row>
    <row r="1717">
      <c r="A1717" s="2"/>
      <c r="B1717" s="2"/>
    </row>
    <row r="1718">
      <c r="A1718" s="2"/>
      <c r="B1718" s="2"/>
    </row>
    <row r="1719">
      <c r="A1719" s="2"/>
      <c r="B1719" s="2"/>
    </row>
    <row r="1720">
      <c r="A1720" s="2"/>
      <c r="B1720" s="2"/>
    </row>
    <row r="1721">
      <c r="A1721" s="2"/>
      <c r="B1721" s="2"/>
    </row>
    <row r="1722">
      <c r="A1722" s="2"/>
      <c r="B1722" s="2"/>
    </row>
    <row r="1723">
      <c r="A1723" s="2"/>
      <c r="B1723" s="2"/>
    </row>
    <row r="1724">
      <c r="A1724" s="2"/>
      <c r="B1724" s="2"/>
    </row>
    <row r="1725">
      <c r="A1725" s="2"/>
      <c r="B1725" s="2"/>
    </row>
    <row r="1726">
      <c r="A1726" s="2"/>
      <c r="B1726" s="2"/>
    </row>
    <row r="1727">
      <c r="A1727" s="2"/>
      <c r="B1727" s="2"/>
    </row>
    <row r="1728">
      <c r="A1728" s="2"/>
      <c r="B1728" s="2"/>
    </row>
    <row r="1729">
      <c r="A1729" s="2"/>
      <c r="B1729" s="2"/>
    </row>
    <row r="1730">
      <c r="A1730" s="2"/>
      <c r="B1730" s="2"/>
    </row>
    <row r="1731">
      <c r="A1731" s="2"/>
      <c r="B1731" s="2"/>
    </row>
    <row r="1732">
      <c r="A1732" s="2"/>
      <c r="B1732" s="2"/>
    </row>
    <row r="1733">
      <c r="A1733" s="2"/>
      <c r="B1733" s="2"/>
    </row>
    <row r="1734">
      <c r="A1734" s="2"/>
      <c r="B1734" s="2"/>
    </row>
    <row r="1735">
      <c r="A1735" s="2"/>
      <c r="B1735" s="2"/>
    </row>
    <row r="1736">
      <c r="A1736" s="2"/>
      <c r="B1736" s="2"/>
    </row>
    <row r="1737">
      <c r="A1737" s="2"/>
      <c r="B1737" s="2"/>
    </row>
    <row r="1738">
      <c r="A1738" s="2"/>
      <c r="B1738" s="2"/>
    </row>
    <row r="1739">
      <c r="A1739" s="2"/>
      <c r="B1739" s="2"/>
    </row>
    <row r="1740">
      <c r="A1740" s="2"/>
      <c r="B1740" s="2"/>
    </row>
    <row r="1741">
      <c r="A1741" s="2"/>
      <c r="B1741" s="2"/>
    </row>
    <row r="1742">
      <c r="A1742" s="2"/>
      <c r="B1742" s="2"/>
    </row>
    <row r="1743">
      <c r="A1743" s="2"/>
      <c r="B1743" s="2"/>
    </row>
    <row r="1744">
      <c r="A1744" s="2"/>
      <c r="B1744" s="2"/>
    </row>
    <row r="1745">
      <c r="A1745" s="2"/>
      <c r="B1745" s="2"/>
    </row>
    <row r="1746">
      <c r="A1746" s="2"/>
      <c r="B1746" s="2"/>
    </row>
    <row r="1747">
      <c r="A1747" s="2"/>
      <c r="B1747" s="2"/>
    </row>
    <row r="1748">
      <c r="A1748" s="2"/>
      <c r="B1748" s="2"/>
    </row>
    <row r="1749">
      <c r="A1749" s="2"/>
      <c r="B1749" s="2"/>
    </row>
    <row r="1750">
      <c r="A1750" s="2"/>
      <c r="B1750" s="2"/>
    </row>
    <row r="1751">
      <c r="A1751" s="2"/>
      <c r="B1751" s="2"/>
    </row>
    <row r="1752">
      <c r="A1752" s="2"/>
      <c r="B1752" s="2"/>
    </row>
    <row r="1753">
      <c r="A1753" s="2"/>
      <c r="B1753" s="2"/>
    </row>
    <row r="1754">
      <c r="A1754" s="2"/>
      <c r="B1754" s="2"/>
    </row>
    <row r="1755">
      <c r="A1755" s="2"/>
      <c r="B1755" s="2"/>
    </row>
    <row r="1756">
      <c r="A1756" s="2"/>
      <c r="B1756" s="2"/>
    </row>
    <row r="1757">
      <c r="A1757" s="2"/>
      <c r="B1757" s="2"/>
    </row>
    <row r="1758">
      <c r="A1758" s="2"/>
      <c r="B1758" s="2"/>
    </row>
    <row r="1759">
      <c r="A1759" s="2"/>
      <c r="B1759" s="2"/>
    </row>
    <row r="1760">
      <c r="A1760" s="2"/>
      <c r="B1760" s="2"/>
    </row>
    <row r="1761">
      <c r="A1761" s="2"/>
      <c r="B1761" s="2"/>
    </row>
    <row r="1762">
      <c r="A1762" s="2"/>
      <c r="B1762" s="2"/>
    </row>
    <row r="1763">
      <c r="A1763" s="2"/>
      <c r="B1763" s="2"/>
    </row>
    <row r="1764">
      <c r="A1764" s="2"/>
      <c r="B1764" s="2"/>
    </row>
    <row r="1765">
      <c r="A1765" s="2"/>
      <c r="B1765" s="2"/>
    </row>
    <row r="1766">
      <c r="A1766" s="2"/>
      <c r="B1766" s="2"/>
    </row>
    <row r="1767">
      <c r="A1767" s="2"/>
      <c r="B1767" s="2"/>
    </row>
    <row r="1768">
      <c r="A1768" s="2"/>
      <c r="B1768" s="2"/>
    </row>
    <row r="1769">
      <c r="A1769" s="2"/>
      <c r="B1769" s="2"/>
    </row>
    <row r="1770">
      <c r="A1770" s="2"/>
      <c r="B1770" s="2"/>
    </row>
    <row r="1771">
      <c r="A1771" s="2"/>
      <c r="B1771" s="2"/>
    </row>
    <row r="1772">
      <c r="A1772" s="2"/>
      <c r="B1772" s="2"/>
    </row>
    <row r="1773">
      <c r="A1773" s="2"/>
      <c r="B1773" s="2"/>
    </row>
    <row r="1774">
      <c r="A1774" s="2"/>
      <c r="B1774" s="2"/>
    </row>
    <row r="1775">
      <c r="A1775" s="2"/>
      <c r="B1775" s="2"/>
    </row>
    <row r="1776">
      <c r="A1776" s="2"/>
      <c r="B1776" s="2"/>
    </row>
    <row r="1777">
      <c r="A1777" s="2"/>
      <c r="B1777" s="2"/>
    </row>
    <row r="1778">
      <c r="A1778" s="2"/>
      <c r="B1778" s="2"/>
    </row>
    <row r="1779">
      <c r="A1779" s="2"/>
      <c r="B1779" s="2"/>
    </row>
    <row r="1780">
      <c r="A1780" s="2"/>
      <c r="B1780" s="2"/>
    </row>
    <row r="1781">
      <c r="A1781" s="2"/>
      <c r="B1781" s="2"/>
    </row>
    <row r="1782">
      <c r="A1782" s="2"/>
      <c r="B1782" s="2"/>
    </row>
    <row r="1783">
      <c r="A1783" s="2"/>
      <c r="B1783" s="2"/>
    </row>
    <row r="1784">
      <c r="A1784" s="2"/>
      <c r="B1784" s="2"/>
    </row>
    <row r="1785">
      <c r="A1785" s="2"/>
      <c r="B1785" s="2"/>
    </row>
    <row r="1786">
      <c r="A1786" s="2"/>
      <c r="B1786" s="2"/>
    </row>
    <row r="1787">
      <c r="A1787" s="2"/>
      <c r="B1787" s="2"/>
    </row>
    <row r="1788">
      <c r="A1788" s="2"/>
      <c r="B1788" s="2"/>
    </row>
    <row r="1789">
      <c r="A1789" s="2"/>
      <c r="B1789" s="2"/>
    </row>
    <row r="1790">
      <c r="A1790" s="2"/>
      <c r="B1790" s="2"/>
    </row>
    <row r="1791">
      <c r="A1791" s="2"/>
      <c r="B1791" s="2"/>
    </row>
    <row r="1792">
      <c r="A1792" s="2"/>
      <c r="B1792" s="2"/>
    </row>
    <row r="1793">
      <c r="A1793" s="2"/>
      <c r="B1793" s="2"/>
    </row>
    <row r="1794">
      <c r="A1794" s="2"/>
      <c r="B1794" s="2"/>
    </row>
    <row r="1795">
      <c r="A1795" s="2"/>
      <c r="B1795" s="2"/>
    </row>
    <row r="1796">
      <c r="A1796" s="2"/>
      <c r="B1796" s="2"/>
    </row>
    <row r="1797">
      <c r="A1797" s="2"/>
      <c r="B1797" s="2"/>
    </row>
    <row r="1798">
      <c r="A1798" s="2"/>
      <c r="B1798" s="2"/>
    </row>
    <row r="1799">
      <c r="A1799" s="2"/>
      <c r="B1799" s="2"/>
    </row>
    <row r="1800">
      <c r="A1800" s="2"/>
      <c r="B1800" s="2"/>
    </row>
    <row r="1801">
      <c r="A1801" s="2"/>
      <c r="B1801" s="2"/>
    </row>
    <row r="1802">
      <c r="A1802" s="2"/>
      <c r="B1802" s="2"/>
    </row>
    <row r="1803">
      <c r="A1803" s="2"/>
      <c r="B1803" s="2"/>
    </row>
    <row r="1804">
      <c r="A1804" s="2"/>
      <c r="B1804" s="2"/>
    </row>
    <row r="1805">
      <c r="A1805" s="2"/>
      <c r="B1805" s="2"/>
    </row>
    <row r="1806">
      <c r="A1806" s="2"/>
      <c r="B1806" s="2"/>
    </row>
    <row r="1807">
      <c r="A1807" s="2"/>
      <c r="B1807" s="2"/>
    </row>
    <row r="1808">
      <c r="A1808" s="2"/>
      <c r="B1808" s="2"/>
    </row>
    <row r="1809">
      <c r="A1809" s="2"/>
      <c r="B1809" s="2"/>
    </row>
    <row r="1810">
      <c r="A1810" s="2"/>
      <c r="B1810" s="2"/>
    </row>
    <row r="1811">
      <c r="A1811" s="2"/>
      <c r="B1811" s="2"/>
    </row>
    <row r="1812">
      <c r="A1812" s="2"/>
      <c r="B1812" s="2"/>
    </row>
    <row r="1813">
      <c r="A1813" s="2"/>
      <c r="B1813" s="2"/>
    </row>
    <row r="1814">
      <c r="A1814" s="2"/>
      <c r="B1814" s="2"/>
    </row>
    <row r="1815">
      <c r="A1815" s="2"/>
      <c r="B1815" s="2"/>
    </row>
    <row r="1816">
      <c r="A1816" s="2"/>
      <c r="B1816" s="2"/>
    </row>
    <row r="1817">
      <c r="A1817" s="2"/>
      <c r="B1817" s="2"/>
    </row>
    <row r="1818">
      <c r="A1818" s="2"/>
      <c r="B1818" s="2"/>
    </row>
    <row r="1819">
      <c r="A1819" s="2"/>
      <c r="B1819" s="2"/>
    </row>
    <row r="1820">
      <c r="A1820" s="2"/>
      <c r="B1820" s="2"/>
    </row>
    <row r="1821">
      <c r="A1821" s="2"/>
      <c r="B1821" s="2"/>
    </row>
    <row r="1822">
      <c r="A1822" s="2"/>
      <c r="B1822" s="2"/>
    </row>
    <row r="1823">
      <c r="A1823" s="2"/>
      <c r="B1823" s="2"/>
    </row>
    <row r="1824">
      <c r="A1824" s="2"/>
      <c r="B1824" s="2"/>
    </row>
    <row r="1825">
      <c r="A1825" s="2"/>
      <c r="B1825" s="2"/>
    </row>
    <row r="1826">
      <c r="A1826" s="2"/>
      <c r="B1826" s="2"/>
    </row>
    <row r="1827">
      <c r="A1827" s="2"/>
      <c r="B1827" s="2"/>
    </row>
    <row r="1828">
      <c r="A1828" s="2"/>
      <c r="B1828" s="2"/>
    </row>
    <row r="1829">
      <c r="A1829" s="2"/>
      <c r="B1829" s="2"/>
    </row>
    <row r="1830">
      <c r="A1830" s="2"/>
      <c r="B1830" s="2"/>
    </row>
    <row r="1831">
      <c r="A1831" s="2"/>
      <c r="B1831" s="2"/>
    </row>
    <row r="1832">
      <c r="A1832" s="2"/>
      <c r="B1832" s="2"/>
    </row>
    <row r="1833">
      <c r="A1833" s="2"/>
      <c r="B1833" s="2"/>
    </row>
    <row r="1834">
      <c r="A1834" s="2"/>
      <c r="B1834" s="2"/>
    </row>
    <row r="1835">
      <c r="A1835" s="2"/>
      <c r="B1835" s="2"/>
    </row>
    <row r="1836">
      <c r="A1836" s="2"/>
      <c r="B1836" s="2"/>
    </row>
    <row r="1837">
      <c r="A1837" s="2"/>
      <c r="B1837" s="2"/>
    </row>
    <row r="1838">
      <c r="A1838" s="2"/>
      <c r="B1838" s="2"/>
    </row>
    <row r="1839">
      <c r="A1839" s="2"/>
      <c r="B1839" s="2"/>
    </row>
    <row r="1840">
      <c r="A1840" s="2"/>
      <c r="B1840" s="2"/>
    </row>
    <row r="1841">
      <c r="A1841" s="2"/>
      <c r="B1841" s="2"/>
    </row>
    <row r="1842">
      <c r="A1842" s="2"/>
      <c r="B1842" s="2"/>
    </row>
    <row r="1843">
      <c r="A1843" s="2"/>
      <c r="B1843" s="2"/>
    </row>
    <row r="1844">
      <c r="A1844" s="2"/>
      <c r="B1844" s="2"/>
    </row>
    <row r="1845">
      <c r="A1845" s="2"/>
      <c r="B1845" s="2"/>
    </row>
    <row r="1846">
      <c r="A1846" s="2"/>
      <c r="B1846" s="2"/>
    </row>
    <row r="1847">
      <c r="A1847" s="2"/>
      <c r="B1847" s="2"/>
    </row>
    <row r="1848">
      <c r="A1848" s="2"/>
      <c r="B1848" s="2"/>
    </row>
    <row r="1849">
      <c r="A1849" s="2"/>
      <c r="B1849" s="2"/>
    </row>
    <row r="1850">
      <c r="A1850" s="2"/>
      <c r="B1850" s="2"/>
    </row>
    <row r="1851">
      <c r="A1851" s="2"/>
      <c r="B1851" s="2"/>
    </row>
    <row r="1852">
      <c r="A1852" s="2"/>
      <c r="B1852" s="2"/>
    </row>
    <row r="1853">
      <c r="A1853" s="2"/>
      <c r="B1853" s="2"/>
    </row>
    <row r="1854">
      <c r="A1854" s="2"/>
      <c r="B1854" s="2"/>
    </row>
    <row r="1855">
      <c r="A1855" s="2"/>
      <c r="B1855" s="2"/>
    </row>
    <row r="1856">
      <c r="A1856" s="2"/>
      <c r="B1856" s="2"/>
    </row>
    <row r="1857">
      <c r="A1857" s="2"/>
      <c r="B1857" s="2"/>
    </row>
    <row r="1858">
      <c r="A1858" s="2"/>
      <c r="B1858" s="2"/>
    </row>
    <row r="1859">
      <c r="A1859" s="2"/>
      <c r="B1859" s="2"/>
    </row>
    <row r="1860">
      <c r="A1860" s="2"/>
      <c r="B1860" s="2"/>
    </row>
    <row r="1861">
      <c r="A1861" s="2"/>
      <c r="B1861" s="2"/>
    </row>
    <row r="1862">
      <c r="A1862" s="2"/>
      <c r="B1862" s="2"/>
    </row>
    <row r="1863">
      <c r="A1863" s="2"/>
      <c r="B1863" s="2"/>
    </row>
    <row r="1864">
      <c r="A1864" s="2"/>
      <c r="B1864" s="2"/>
    </row>
    <row r="1865">
      <c r="A1865" s="2"/>
      <c r="B1865" s="2"/>
    </row>
    <row r="1866">
      <c r="A1866" s="2"/>
      <c r="B1866" s="2"/>
    </row>
    <row r="1867">
      <c r="A1867" s="2"/>
      <c r="B1867" s="2"/>
    </row>
    <row r="1868">
      <c r="A1868" s="2"/>
      <c r="B1868" s="2"/>
    </row>
    <row r="1869">
      <c r="A1869" s="2"/>
      <c r="B1869" s="2"/>
    </row>
    <row r="1870">
      <c r="A1870" s="2"/>
      <c r="B1870" s="2"/>
    </row>
    <row r="1871">
      <c r="A1871" s="2"/>
      <c r="B1871" s="2"/>
    </row>
    <row r="1872">
      <c r="A1872" s="2"/>
      <c r="B1872" s="2"/>
    </row>
    <row r="1873">
      <c r="A1873" s="2"/>
      <c r="B1873" s="2"/>
    </row>
    <row r="1874">
      <c r="A1874" s="2"/>
      <c r="B1874" s="2"/>
    </row>
    <row r="1875">
      <c r="A1875" s="2"/>
      <c r="B1875" s="2"/>
    </row>
    <row r="1876">
      <c r="A1876" s="2"/>
      <c r="B1876" s="2"/>
    </row>
    <row r="1877">
      <c r="A1877" s="2"/>
      <c r="B1877" s="2"/>
    </row>
    <row r="1878">
      <c r="A1878" s="2"/>
      <c r="B1878" s="2"/>
    </row>
    <row r="1879">
      <c r="A1879" s="2"/>
      <c r="B1879" s="2"/>
    </row>
    <row r="1880">
      <c r="A1880" s="2"/>
      <c r="B1880" s="2"/>
    </row>
    <row r="1881">
      <c r="A1881" s="2"/>
      <c r="B1881" s="2"/>
    </row>
    <row r="1882">
      <c r="A1882" s="2"/>
      <c r="B1882" s="2"/>
    </row>
    <row r="1883">
      <c r="A1883" s="2"/>
      <c r="B1883" s="2"/>
    </row>
    <row r="1884">
      <c r="A1884" s="2"/>
      <c r="B1884" s="2"/>
    </row>
    <row r="1885">
      <c r="A1885" s="2"/>
      <c r="B1885" s="2"/>
    </row>
    <row r="1886">
      <c r="A1886" s="2"/>
      <c r="B1886" s="2"/>
    </row>
    <row r="1887">
      <c r="A1887" s="2"/>
      <c r="B1887" s="2"/>
    </row>
    <row r="1888">
      <c r="A1888" s="2"/>
      <c r="B1888" s="2"/>
    </row>
    <row r="1889">
      <c r="A1889" s="2"/>
      <c r="B1889" s="2"/>
    </row>
    <row r="1890">
      <c r="A1890" s="2"/>
      <c r="B1890" s="2"/>
    </row>
    <row r="1891">
      <c r="A1891" s="2"/>
      <c r="B1891" s="2"/>
    </row>
    <row r="1892">
      <c r="A1892" s="2"/>
      <c r="B1892" s="2"/>
    </row>
    <row r="1893">
      <c r="A1893" s="2"/>
      <c r="B1893" s="2"/>
    </row>
    <row r="1894">
      <c r="A1894" s="2"/>
      <c r="B1894" s="2"/>
    </row>
    <row r="1895">
      <c r="A1895" s="2"/>
      <c r="B1895" s="2"/>
    </row>
    <row r="1896">
      <c r="A1896" s="2"/>
      <c r="B1896" s="2"/>
    </row>
    <row r="1897">
      <c r="A1897" s="2"/>
      <c r="B1897" s="2"/>
    </row>
    <row r="1898">
      <c r="A1898" s="2"/>
      <c r="B1898" s="2"/>
    </row>
    <row r="1899">
      <c r="A1899" s="2"/>
      <c r="B1899" s="2"/>
    </row>
    <row r="1900">
      <c r="A1900" s="2"/>
      <c r="B1900" s="2"/>
    </row>
    <row r="1901">
      <c r="A1901" s="2"/>
      <c r="B1901" s="2"/>
    </row>
    <row r="1902">
      <c r="A1902" s="2"/>
      <c r="B1902" s="2"/>
    </row>
    <row r="1903">
      <c r="A1903" s="2"/>
      <c r="B1903" s="2"/>
    </row>
    <row r="1904">
      <c r="A1904" s="2"/>
      <c r="B1904" s="2"/>
    </row>
    <row r="1905">
      <c r="A1905" s="2"/>
      <c r="B1905" s="2"/>
    </row>
    <row r="1906">
      <c r="A1906" s="2"/>
      <c r="B1906" s="2"/>
    </row>
    <row r="1907">
      <c r="A1907" s="2"/>
      <c r="B1907" s="2"/>
    </row>
    <row r="1908">
      <c r="A1908" s="2"/>
      <c r="B1908" s="2"/>
    </row>
    <row r="1909">
      <c r="A1909" s="2"/>
      <c r="B1909" s="2"/>
    </row>
    <row r="1910">
      <c r="A1910" s="2"/>
      <c r="B1910" s="2"/>
    </row>
    <row r="1911">
      <c r="A1911" s="2"/>
      <c r="B1911" s="2"/>
    </row>
    <row r="1912">
      <c r="A1912" s="2"/>
      <c r="B1912" s="2"/>
    </row>
    <row r="1913">
      <c r="A1913" s="2"/>
      <c r="B1913" s="2"/>
    </row>
    <row r="1914">
      <c r="A1914" s="2"/>
      <c r="B1914" s="2"/>
    </row>
    <row r="1915">
      <c r="A1915" s="2"/>
      <c r="B1915" s="2"/>
    </row>
    <row r="1916">
      <c r="A1916" s="2"/>
      <c r="B1916" s="2"/>
    </row>
    <row r="1917">
      <c r="A1917" s="2"/>
      <c r="B1917" s="2"/>
    </row>
    <row r="1918">
      <c r="A1918" s="2"/>
      <c r="B1918" s="2"/>
    </row>
    <row r="1919">
      <c r="A1919" s="2"/>
      <c r="B1919" s="2"/>
    </row>
    <row r="1920">
      <c r="A1920" s="2"/>
      <c r="B1920" s="2"/>
    </row>
    <row r="1921">
      <c r="A1921" s="2"/>
      <c r="B1921" s="2"/>
    </row>
    <row r="1922">
      <c r="A1922" s="2"/>
      <c r="B1922" s="2"/>
    </row>
    <row r="1923">
      <c r="A1923" s="2"/>
      <c r="B1923" s="2"/>
    </row>
    <row r="1924">
      <c r="A1924" s="2"/>
      <c r="B1924" s="2"/>
    </row>
    <row r="1925">
      <c r="A1925" s="2"/>
      <c r="B1925" s="2"/>
    </row>
    <row r="1926">
      <c r="A1926" s="2"/>
      <c r="B1926" s="2"/>
    </row>
    <row r="1927">
      <c r="A1927" s="2"/>
      <c r="B1927" s="2"/>
    </row>
    <row r="1928">
      <c r="A1928" s="2"/>
      <c r="B1928" s="2"/>
    </row>
    <row r="1929">
      <c r="A1929" s="2"/>
      <c r="B1929" s="2"/>
    </row>
    <row r="1930">
      <c r="A1930" s="2"/>
      <c r="B1930" s="2"/>
    </row>
    <row r="1931">
      <c r="A1931" s="2"/>
      <c r="B1931" s="2"/>
    </row>
    <row r="1932">
      <c r="A1932" s="2"/>
      <c r="B1932" s="2"/>
    </row>
    <row r="1933">
      <c r="A1933" s="2"/>
      <c r="B1933" s="2"/>
    </row>
    <row r="1934">
      <c r="A1934" s="2"/>
      <c r="B1934" s="2"/>
    </row>
    <row r="1935">
      <c r="A1935" s="2"/>
      <c r="B1935" s="2"/>
    </row>
    <row r="1936">
      <c r="A1936" s="2"/>
      <c r="B1936" s="2"/>
    </row>
    <row r="1937">
      <c r="A1937" s="2"/>
      <c r="B1937" s="2"/>
    </row>
    <row r="1938">
      <c r="A1938" s="2"/>
      <c r="B1938" s="2"/>
    </row>
    <row r="1939">
      <c r="A1939" s="2"/>
      <c r="B1939" s="2"/>
    </row>
    <row r="1940">
      <c r="A1940" s="2"/>
      <c r="B1940" s="2"/>
    </row>
    <row r="1941">
      <c r="A1941" s="2"/>
      <c r="B1941" s="2"/>
    </row>
    <row r="1942">
      <c r="A1942" s="2"/>
      <c r="B1942" s="2"/>
    </row>
    <row r="1943">
      <c r="A1943" s="2"/>
      <c r="B1943" s="2"/>
    </row>
    <row r="1944">
      <c r="A1944" s="2"/>
      <c r="B1944" s="2"/>
    </row>
    <row r="1945">
      <c r="A1945" s="2"/>
      <c r="B1945" s="2"/>
    </row>
    <row r="1946">
      <c r="A1946" s="2"/>
      <c r="B1946" s="2"/>
    </row>
    <row r="1947">
      <c r="A1947" s="2"/>
      <c r="B1947" s="2"/>
    </row>
    <row r="1948">
      <c r="A1948" s="2"/>
      <c r="B1948" s="2"/>
    </row>
    <row r="1949">
      <c r="A1949" s="2"/>
      <c r="B1949" s="2"/>
    </row>
    <row r="1950">
      <c r="A1950" s="2"/>
      <c r="B1950" s="2"/>
    </row>
    <row r="1951">
      <c r="A1951" s="2"/>
      <c r="B1951" s="2"/>
    </row>
    <row r="1952">
      <c r="A1952" s="2"/>
      <c r="B1952" s="2"/>
    </row>
    <row r="1953">
      <c r="A1953" s="2"/>
      <c r="B1953" s="2"/>
    </row>
    <row r="1954">
      <c r="A1954" s="2"/>
      <c r="B1954" s="2"/>
    </row>
    <row r="1955">
      <c r="A1955" s="2"/>
      <c r="B1955" s="2"/>
    </row>
    <row r="1956">
      <c r="A1956" s="2"/>
      <c r="B1956" s="2"/>
    </row>
    <row r="1957">
      <c r="A1957" s="2"/>
      <c r="B1957" s="2"/>
    </row>
    <row r="1958">
      <c r="A1958" s="2"/>
      <c r="B1958" s="2"/>
    </row>
    <row r="1959">
      <c r="A1959" s="2"/>
      <c r="B1959" s="2"/>
    </row>
    <row r="1960">
      <c r="A1960" s="2"/>
      <c r="B1960" s="2"/>
    </row>
    <row r="1961">
      <c r="A1961" s="2"/>
      <c r="B1961" s="2"/>
    </row>
    <row r="1962">
      <c r="A1962" s="2"/>
      <c r="B1962" s="2"/>
    </row>
    <row r="1963">
      <c r="A1963" s="2"/>
      <c r="B1963" s="2"/>
    </row>
    <row r="1964">
      <c r="A1964" s="2"/>
      <c r="B1964" s="2"/>
    </row>
    <row r="1965">
      <c r="A1965" s="2"/>
      <c r="B1965" s="2"/>
    </row>
    <row r="1966">
      <c r="A1966" s="2"/>
      <c r="B1966" s="2"/>
    </row>
    <row r="1967">
      <c r="A1967" s="2"/>
      <c r="B1967" s="2"/>
    </row>
    <row r="1968">
      <c r="A1968" s="2"/>
      <c r="B1968" s="2"/>
    </row>
    <row r="1969">
      <c r="A1969" s="2"/>
      <c r="B1969" s="2"/>
    </row>
    <row r="1970">
      <c r="A1970" s="2"/>
      <c r="B1970" s="2"/>
    </row>
    <row r="1971">
      <c r="A1971" s="2"/>
      <c r="B1971" s="2"/>
    </row>
    <row r="1972">
      <c r="A1972" s="2"/>
      <c r="B1972" s="2"/>
    </row>
    <row r="1973">
      <c r="A1973" s="2"/>
      <c r="B1973" s="2"/>
    </row>
    <row r="1974">
      <c r="A1974" s="2"/>
      <c r="B1974" s="2"/>
    </row>
    <row r="1975">
      <c r="A1975" s="2"/>
      <c r="B1975" s="2"/>
    </row>
    <row r="1976">
      <c r="A1976" s="2"/>
      <c r="B1976" s="2"/>
    </row>
    <row r="1977">
      <c r="A1977" s="2"/>
      <c r="B1977" s="2"/>
    </row>
    <row r="1978">
      <c r="A1978" s="2"/>
      <c r="B1978" s="2"/>
    </row>
    <row r="1979">
      <c r="A1979" s="2"/>
      <c r="B1979" s="2"/>
    </row>
    <row r="1980">
      <c r="A1980" s="2"/>
      <c r="B1980" s="2"/>
    </row>
    <row r="1981">
      <c r="A1981" s="2"/>
      <c r="B1981" s="2"/>
    </row>
    <row r="1982">
      <c r="A1982" s="2"/>
      <c r="B1982" s="2"/>
    </row>
    <row r="1983">
      <c r="A1983" s="2"/>
      <c r="B1983" s="2"/>
    </row>
    <row r="1984">
      <c r="A1984" s="2"/>
      <c r="B1984" s="2"/>
    </row>
    <row r="1985">
      <c r="A1985" s="2"/>
      <c r="B1985" s="2"/>
    </row>
    <row r="1986">
      <c r="A1986" s="2"/>
      <c r="B1986" s="2"/>
    </row>
    <row r="1987">
      <c r="A1987" s="2"/>
      <c r="B1987" s="2"/>
    </row>
    <row r="1988">
      <c r="A1988" s="2"/>
      <c r="B1988" s="2"/>
    </row>
    <row r="1989">
      <c r="A1989" s="2"/>
      <c r="B1989" s="2"/>
    </row>
    <row r="1990">
      <c r="A1990" s="2"/>
      <c r="B1990" s="2"/>
    </row>
    <row r="1991">
      <c r="A1991" s="2"/>
      <c r="B1991" s="2"/>
    </row>
    <row r="1992">
      <c r="A1992" s="2"/>
      <c r="B1992" s="2"/>
    </row>
    <row r="1993">
      <c r="A1993" s="2"/>
      <c r="B1993" s="2"/>
    </row>
    <row r="1994">
      <c r="A1994" s="2"/>
      <c r="B1994" s="2"/>
    </row>
    <row r="1995">
      <c r="A1995" s="2"/>
      <c r="B1995" s="2"/>
    </row>
    <row r="1996">
      <c r="A1996" s="2"/>
      <c r="B1996" s="2"/>
    </row>
    <row r="1997">
      <c r="A1997" s="2"/>
      <c r="B1997" s="2"/>
    </row>
    <row r="1998">
      <c r="A1998" s="2"/>
      <c r="B1998" s="2"/>
    </row>
    <row r="1999">
      <c r="A1999" s="2"/>
      <c r="B1999" s="2"/>
    </row>
    <row r="2000">
      <c r="A2000" s="2"/>
      <c r="B2000" s="2"/>
    </row>
    <row r="2001">
      <c r="A2001" s="2"/>
      <c r="B2001" s="2"/>
    </row>
    <row r="2002">
      <c r="A2002" s="2"/>
      <c r="B2002" s="2"/>
    </row>
    <row r="2003">
      <c r="A2003" s="2"/>
      <c r="B2003" s="2"/>
    </row>
    <row r="2004">
      <c r="A2004" s="2"/>
      <c r="B2004" s="2"/>
    </row>
    <row r="2005">
      <c r="A2005" s="2"/>
      <c r="B2005" s="2"/>
    </row>
    <row r="2006">
      <c r="A2006" s="2"/>
      <c r="B2006" s="2"/>
    </row>
    <row r="2007">
      <c r="A2007" s="2"/>
      <c r="B2007" s="2"/>
    </row>
    <row r="2008">
      <c r="A2008" s="2"/>
      <c r="B2008" s="2"/>
    </row>
    <row r="2009">
      <c r="A2009" s="2"/>
      <c r="B2009" s="2"/>
    </row>
    <row r="2010">
      <c r="A2010" s="2"/>
      <c r="B2010" s="2"/>
    </row>
    <row r="2011">
      <c r="A2011" s="2"/>
      <c r="B2011" s="2"/>
    </row>
    <row r="2012">
      <c r="A2012" s="2"/>
      <c r="B2012" s="2"/>
    </row>
    <row r="2013">
      <c r="A2013" s="2"/>
      <c r="B2013" s="2"/>
    </row>
    <row r="2014">
      <c r="A2014" s="2"/>
      <c r="B2014" s="2"/>
    </row>
    <row r="2015">
      <c r="A2015" s="2"/>
      <c r="B2015" s="2"/>
    </row>
    <row r="2016">
      <c r="A2016" s="2"/>
      <c r="B2016" s="2"/>
    </row>
    <row r="2017">
      <c r="A2017" s="2"/>
      <c r="B2017" s="2"/>
    </row>
    <row r="2018">
      <c r="A2018" s="2"/>
      <c r="B2018" s="2"/>
    </row>
    <row r="2019">
      <c r="A2019" s="2"/>
      <c r="B2019" s="2"/>
    </row>
    <row r="2020">
      <c r="A2020" s="2"/>
      <c r="B2020" s="2"/>
    </row>
    <row r="2021">
      <c r="A2021" s="2"/>
      <c r="B2021" s="2"/>
    </row>
    <row r="2022">
      <c r="A2022" s="2"/>
      <c r="B2022" s="2"/>
    </row>
    <row r="2023">
      <c r="A2023" s="2"/>
      <c r="B2023" s="2"/>
    </row>
    <row r="2024">
      <c r="A2024" s="2"/>
      <c r="B2024" s="2"/>
    </row>
    <row r="2025">
      <c r="A2025" s="2"/>
      <c r="B2025" s="2"/>
    </row>
    <row r="2026">
      <c r="A2026" s="2"/>
      <c r="B2026" s="2"/>
    </row>
    <row r="2027">
      <c r="A2027" s="2"/>
      <c r="B2027" s="2"/>
    </row>
    <row r="2028">
      <c r="A2028" s="2"/>
      <c r="B2028" s="2"/>
    </row>
    <row r="2029">
      <c r="A2029" s="2"/>
      <c r="B2029" s="2"/>
    </row>
    <row r="2030">
      <c r="A2030" s="2"/>
      <c r="B2030" s="2"/>
    </row>
    <row r="2031">
      <c r="A2031" s="2"/>
      <c r="B2031" s="2"/>
    </row>
    <row r="2032">
      <c r="A2032" s="2"/>
      <c r="B2032" s="2"/>
    </row>
    <row r="2033">
      <c r="A2033" s="2"/>
      <c r="B2033" s="2"/>
    </row>
    <row r="2034">
      <c r="A2034" s="2"/>
      <c r="B2034" s="2"/>
    </row>
    <row r="2035">
      <c r="A2035" s="2"/>
      <c r="B2035" s="2"/>
    </row>
    <row r="2036">
      <c r="A2036" s="2"/>
      <c r="B2036" s="2"/>
    </row>
    <row r="2037">
      <c r="A2037" s="2"/>
      <c r="B2037" s="2"/>
    </row>
    <row r="2038">
      <c r="A2038" s="2"/>
      <c r="B2038" s="2"/>
    </row>
    <row r="2039">
      <c r="A2039" s="2"/>
      <c r="B2039" s="2"/>
    </row>
    <row r="2040">
      <c r="A2040" s="2"/>
      <c r="B2040" s="2"/>
    </row>
    <row r="2041">
      <c r="A2041" s="2"/>
      <c r="B2041" s="2"/>
    </row>
    <row r="2042">
      <c r="A2042" s="2"/>
      <c r="B2042" s="2"/>
    </row>
    <row r="2043">
      <c r="A2043" s="2"/>
      <c r="B2043" s="2"/>
    </row>
    <row r="2044">
      <c r="A2044" s="2"/>
      <c r="B2044" s="2"/>
    </row>
    <row r="2045">
      <c r="A2045" s="2"/>
      <c r="B2045" s="2"/>
    </row>
    <row r="2046">
      <c r="A2046" s="2"/>
      <c r="B2046" s="2"/>
    </row>
    <row r="2047">
      <c r="A2047" s="2"/>
      <c r="B2047" s="2"/>
    </row>
    <row r="2048">
      <c r="A2048" s="2"/>
      <c r="B2048" s="2"/>
    </row>
    <row r="2049">
      <c r="A2049" s="2"/>
      <c r="B2049" s="2"/>
    </row>
    <row r="2050">
      <c r="A2050" s="2"/>
      <c r="B2050" s="2"/>
    </row>
    <row r="2051">
      <c r="A2051" s="2"/>
      <c r="B2051" s="2"/>
    </row>
    <row r="2052">
      <c r="A2052" s="2"/>
      <c r="B2052" s="2"/>
    </row>
    <row r="2053">
      <c r="A2053" s="2"/>
      <c r="B2053" s="2"/>
    </row>
    <row r="2054">
      <c r="A2054" s="2"/>
      <c r="B2054" s="2"/>
    </row>
    <row r="2055">
      <c r="A2055" s="2"/>
      <c r="B2055" s="2"/>
    </row>
    <row r="2056">
      <c r="A2056" s="2"/>
      <c r="B2056" s="2"/>
    </row>
    <row r="2057">
      <c r="A2057" s="2"/>
      <c r="B2057" s="2"/>
    </row>
    <row r="2058">
      <c r="A2058" s="2"/>
      <c r="B2058" s="2"/>
    </row>
    <row r="2059">
      <c r="A2059" s="2"/>
      <c r="B2059" s="2"/>
    </row>
    <row r="2060">
      <c r="A2060" s="2"/>
      <c r="B2060" s="2"/>
    </row>
    <row r="2061">
      <c r="A2061" s="2"/>
      <c r="B2061" s="2"/>
    </row>
    <row r="2062">
      <c r="A2062" s="2"/>
      <c r="B2062" s="2"/>
    </row>
    <row r="2063">
      <c r="A2063" s="2"/>
      <c r="B2063" s="2"/>
    </row>
    <row r="2064">
      <c r="A2064" s="2"/>
      <c r="B2064" s="2"/>
    </row>
    <row r="2065">
      <c r="A2065" s="2"/>
      <c r="B2065" s="2"/>
    </row>
    <row r="2066">
      <c r="A2066" s="2"/>
      <c r="B2066" s="2"/>
    </row>
    <row r="2067">
      <c r="A2067" s="2"/>
      <c r="B2067" s="2"/>
    </row>
    <row r="2068">
      <c r="A2068" s="2"/>
      <c r="B2068" s="2"/>
    </row>
    <row r="2069">
      <c r="A2069" s="2"/>
      <c r="B2069" s="2"/>
    </row>
    <row r="2070">
      <c r="A2070" s="2"/>
      <c r="B2070" s="2"/>
    </row>
    <row r="2071">
      <c r="A2071" s="2"/>
      <c r="B2071" s="2"/>
    </row>
    <row r="2072">
      <c r="A2072" s="2"/>
      <c r="B2072" s="2"/>
    </row>
    <row r="2073">
      <c r="A2073" s="2"/>
      <c r="B2073" s="2"/>
    </row>
    <row r="2074">
      <c r="A2074" s="2"/>
      <c r="B2074" s="2"/>
    </row>
    <row r="2075">
      <c r="A2075" s="2"/>
      <c r="B2075" s="2"/>
    </row>
    <row r="2076">
      <c r="A2076" s="2"/>
      <c r="B2076" s="2"/>
    </row>
    <row r="2077">
      <c r="A2077" s="2"/>
      <c r="B2077" s="2"/>
    </row>
    <row r="2078">
      <c r="A2078" s="2"/>
      <c r="B2078" s="2"/>
    </row>
    <row r="2079">
      <c r="A2079" s="2"/>
      <c r="B2079" s="2"/>
    </row>
    <row r="2080">
      <c r="A2080" s="2"/>
      <c r="B2080" s="2"/>
    </row>
    <row r="2081">
      <c r="A2081" s="2"/>
      <c r="B2081" s="2"/>
    </row>
    <row r="2082">
      <c r="A2082" s="2"/>
      <c r="B2082" s="2"/>
    </row>
    <row r="2083">
      <c r="A2083" s="2"/>
      <c r="B2083" s="2"/>
    </row>
    <row r="2084">
      <c r="A2084" s="2"/>
      <c r="B2084" s="2"/>
    </row>
    <row r="2085">
      <c r="A2085" s="2"/>
      <c r="B2085" s="2"/>
    </row>
    <row r="2086">
      <c r="A2086" s="2"/>
      <c r="B2086" s="2"/>
    </row>
    <row r="2087">
      <c r="A2087" s="2"/>
      <c r="B2087" s="2"/>
    </row>
    <row r="2088">
      <c r="A2088" s="2"/>
      <c r="B2088" s="2"/>
    </row>
    <row r="2089">
      <c r="A2089" s="2"/>
      <c r="B2089" s="2"/>
    </row>
    <row r="2090">
      <c r="A2090" s="2"/>
      <c r="B2090" s="2"/>
    </row>
    <row r="2091">
      <c r="A2091" s="2"/>
      <c r="B2091" s="2"/>
    </row>
    <row r="2092">
      <c r="A2092" s="2"/>
      <c r="B2092" s="2"/>
    </row>
    <row r="2093">
      <c r="A2093" s="2"/>
      <c r="B2093" s="2"/>
    </row>
    <row r="2094">
      <c r="A2094" s="2"/>
      <c r="B2094" s="2"/>
    </row>
    <row r="2095">
      <c r="A2095" s="2"/>
      <c r="B2095" s="2"/>
    </row>
    <row r="2096">
      <c r="A2096" s="2"/>
      <c r="B2096" s="2"/>
    </row>
    <row r="2097">
      <c r="A2097" s="2"/>
      <c r="B2097" s="2"/>
    </row>
    <row r="2098">
      <c r="A2098" s="2"/>
      <c r="B2098" s="2"/>
    </row>
    <row r="2099">
      <c r="A2099" s="2"/>
      <c r="B2099" s="2"/>
    </row>
    <row r="2100">
      <c r="A2100" s="2"/>
      <c r="B2100" s="2"/>
    </row>
    <row r="2101">
      <c r="A2101" s="2"/>
      <c r="B2101" s="2"/>
    </row>
    <row r="2102">
      <c r="A2102" s="2"/>
      <c r="B2102" s="2"/>
    </row>
    <row r="2103">
      <c r="A2103" s="2"/>
      <c r="B2103" s="2"/>
    </row>
    <row r="2104">
      <c r="A2104" s="2"/>
      <c r="B2104" s="2"/>
    </row>
    <row r="2105">
      <c r="A2105" s="2"/>
      <c r="B2105" s="2"/>
    </row>
    <row r="2106">
      <c r="A2106" s="2"/>
      <c r="B2106" s="2"/>
    </row>
    <row r="2107">
      <c r="A2107" s="2"/>
      <c r="B2107" s="2"/>
    </row>
    <row r="2108">
      <c r="A2108" s="2"/>
      <c r="B2108" s="2"/>
    </row>
    <row r="2109">
      <c r="A2109" s="2"/>
      <c r="B2109" s="2"/>
    </row>
    <row r="2110">
      <c r="A2110" s="2"/>
      <c r="B2110" s="2"/>
    </row>
    <row r="2111">
      <c r="A2111" s="2"/>
      <c r="B2111" s="2"/>
    </row>
    <row r="2112">
      <c r="A2112" s="2"/>
      <c r="B2112" s="2"/>
    </row>
    <row r="2113">
      <c r="A2113" s="2"/>
      <c r="B2113" s="2"/>
    </row>
    <row r="2114">
      <c r="A2114" s="2"/>
      <c r="B2114" s="2"/>
    </row>
    <row r="2115">
      <c r="A2115" s="2"/>
      <c r="B2115" s="2"/>
    </row>
    <row r="2116">
      <c r="A2116" s="2"/>
      <c r="B2116" s="2"/>
    </row>
    <row r="2117">
      <c r="A2117" s="2"/>
      <c r="B2117" s="2"/>
    </row>
    <row r="2118">
      <c r="A2118" s="2"/>
      <c r="B2118" s="2"/>
    </row>
    <row r="2119">
      <c r="A2119" s="2"/>
      <c r="B2119" s="2"/>
    </row>
    <row r="2120">
      <c r="A2120" s="2"/>
      <c r="B2120" s="2"/>
    </row>
    <row r="2121">
      <c r="A2121" s="2"/>
      <c r="B2121" s="2"/>
    </row>
    <row r="2122">
      <c r="A2122" s="2"/>
      <c r="B2122" s="2"/>
    </row>
    <row r="2123">
      <c r="A2123" s="2"/>
      <c r="B2123" s="2"/>
    </row>
    <row r="2124">
      <c r="A2124" s="2"/>
      <c r="B2124" s="2"/>
    </row>
    <row r="2125">
      <c r="A2125" s="2"/>
      <c r="B2125" s="2"/>
    </row>
    <row r="2126">
      <c r="A2126" s="2"/>
      <c r="B2126" s="2"/>
    </row>
    <row r="2127">
      <c r="A2127" s="2"/>
      <c r="B2127" s="2"/>
    </row>
    <row r="2128">
      <c r="A2128" s="2"/>
      <c r="B2128" s="2"/>
    </row>
    <row r="2129">
      <c r="A2129" s="2"/>
      <c r="B2129" s="2"/>
    </row>
    <row r="2130">
      <c r="A2130" s="2"/>
      <c r="B2130" s="2"/>
    </row>
    <row r="2131">
      <c r="A2131" s="2"/>
      <c r="B2131" s="2"/>
    </row>
    <row r="2132">
      <c r="A2132" s="2"/>
      <c r="B2132" s="2"/>
    </row>
    <row r="2133">
      <c r="A2133" s="2"/>
      <c r="B2133" s="2"/>
    </row>
    <row r="2134">
      <c r="A2134" s="2"/>
      <c r="B2134" s="2"/>
    </row>
    <row r="2135">
      <c r="A2135" s="2"/>
      <c r="B2135" s="2"/>
    </row>
    <row r="2136">
      <c r="A2136" s="2"/>
      <c r="B2136" s="2"/>
    </row>
    <row r="2137">
      <c r="A2137" s="2"/>
      <c r="B2137" s="2"/>
    </row>
    <row r="2138">
      <c r="A2138" s="2"/>
      <c r="B2138" s="2"/>
    </row>
    <row r="2139">
      <c r="A2139" s="2"/>
      <c r="B2139" s="2"/>
    </row>
    <row r="2140">
      <c r="A2140" s="2"/>
      <c r="B2140" s="2"/>
    </row>
    <row r="2141">
      <c r="A2141" s="2"/>
      <c r="B2141" s="2"/>
    </row>
    <row r="2142">
      <c r="A2142" s="2"/>
      <c r="B2142" s="2"/>
    </row>
    <row r="2143">
      <c r="A2143" s="2"/>
      <c r="B2143" s="2"/>
    </row>
    <row r="2144">
      <c r="A2144" s="2"/>
      <c r="B2144" s="2"/>
    </row>
    <row r="2145">
      <c r="A2145" s="2"/>
      <c r="B2145" s="2"/>
    </row>
    <row r="2146">
      <c r="A2146" s="2"/>
      <c r="B2146" s="2"/>
    </row>
    <row r="2147">
      <c r="A2147" s="2"/>
      <c r="B2147" s="2"/>
    </row>
    <row r="2148">
      <c r="A2148" s="2"/>
      <c r="B2148" s="2"/>
    </row>
    <row r="2149">
      <c r="A2149" s="2"/>
      <c r="B2149" s="2"/>
    </row>
    <row r="2150">
      <c r="A2150" s="2"/>
      <c r="B2150" s="2"/>
    </row>
    <row r="2151">
      <c r="A2151" s="2"/>
      <c r="B2151" s="2"/>
    </row>
    <row r="2152">
      <c r="A2152" s="2"/>
      <c r="B2152" s="2"/>
    </row>
    <row r="2153">
      <c r="A2153" s="2"/>
      <c r="B2153" s="2"/>
    </row>
    <row r="2154">
      <c r="A2154" s="2"/>
      <c r="B2154" s="2"/>
    </row>
    <row r="2155">
      <c r="A2155" s="2"/>
      <c r="B2155" s="2"/>
    </row>
    <row r="2156">
      <c r="A2156" s="2"/>
      <c r="B2156" s="2"/>
    </row>
    <row r="2157">
      <c r="A2157" s="2"/>
      <c r="B2157" s="2"/>
    </row>
    <row r="2158">
      <c r="A2158" s="2"/>
      <c r="B2158" s="2"/>
    </row>
    <row r="2159">
      <c r="A2159" s="2"/>
      <c r="B2159" s="2"/>
    </row>
    <row r="2160">
      <c r="A2160" s="2"/>
      <c r="B2160" s="2"/>
    </row>
    <row r="2161">
      <c r="A2161" s="2"/>
      <c r="B2161" s="2"/>
    </row>
    <row r="2162">
      <c r="A2162" s="2"/>
      <c r="B2162" s="2"/>
    </row>
    <row r="2163">
      <c r="A2163" s="2"/>
      <c r="B2163" s="2"/>
    </row>
    <row r="2164">
      <c r="A2164" s="2"/>
      <c r="B2164" s="2"/>
    </row>
    <row r="2165">
      <c r="A2165" s="2"/>
      <c r="B2165" s="2"/>
    </row>
    <row r="2166">
      <c r="A2166" s="2"/>
      <c r="B2166" s="2"/>
    </row>
    <row r="2167">
      <c r="A2167" s="2"/>
      <c r="B2167" s="2"/>
    </row>
    <row r="2168">
      <c r="A2168" s="2"/>
      <c r="B2168" s="2"/>
    </row>
    <row r="2169">
      <c r="A2169" s="2"/>
      <c r="B2169" s="2"/>
    </row>
    <row r="2170">
      <c r="A2170" s="2"/>
      <c r="B2170" s="2"/>
    </row>
    <row r="2171">
      <c r="A2171" s="2"/>
      <c r="B2171" s="2"/>
    </row>
    <row r="2172">
      <c r="A2172" s="2"/>
      <c r="B2172" s="2"/>
    </row>
    <row r="2173">
      <c r="A2173" s="2"/>
      <c r="B2173" s="2"/>
    </row>
    <row r="2174">
      <c r="A2174" s="2"/>
      <c r="B2174" s="2"/>
    </row>
    <row r="2175">
      <c r="A2175" s="2"/>
      <c r="B2175" s="2"/>
    </row>
    <row r="2176">
      <c r="A2176" s="2"/>
      <c r="B2176" s="2"/>
    </row>
    <row r="2177">
      <c r="A2177" s="2"/>
      <c r="B2177" s="2"/>
    </row>
    <row r="2178">
      <c r="A2178" s="2"/>
      <c r="B2178" s="2"/>
    </row>
    <row r="2179">
      <c r="A2179" s="2"/>
      <c r="B2179" s="2"/>
    </row>
    <row r="2180">
      <c r="A2180" s="2"/>
      <c r="B2180" s="2"/>
    </row>
  </sheetData>
  <hyperlinks>
    <hyperlink r:id="rId1" ref="B2"/>
    <hyperlink r:id="rId2" ref="C2"/>
    <hyperlink r:id="rId3" ref="C3"/>
    <hyperlink r:id="rId4" ref="C4"/>
    <hyperlink r:id="rId5" ref="B5"/>
    <hyperlink r:id="rId6" ref="C5"/>
    <hyperlink r:id="rId7" ref="B6"/>
    <hyperlink r:id="rId8" ref="C6"/>
    <hyperlink r:id="rId9" ref="C7"/>
    <hyperlink r:id="rId10" ref="C8"/>
    <hyperlink r:id="rId11" ref="B9"/>
    <hyperlink r:id="rId12" ref="C9"/>
    <hyperlink r:id="rId13" ref="B10"/>
    <hyperlink r:id="rId14" ref="C10"/>
    <hyperlink r:id="rId15" ref="C11"/>
    <hyperlink r:id="rId16" ref="C12"/>
    <hyperlink r:id="rId17" ref="A13"/>
    <hyperlink r:id="rId18" ref="B13"/>
    <hyperlink r:id="rId19" ref="C13"/>
    <hyperlink r:id="rId20" ref="A14"/>
    <hyperlink r:id="rId21" ref="B14"/>
    <hyperlink r:id="rId22" ref="C14"/>
    <hyperlink r:id="rId23" ref="A15"/>
    <hyperlink r:id="rId24" ref="B15"/>
    <hyperlink r:id="rId25" ref="C15"/>
    <hyperlink r:id="rId26" ref="A16"/>
    <hyperlink r:id="rId27" ref="B16"/>
    <hyperlink r:id="rId28" ref="C16"/>
    <hyperlink r:id="rId29" ref="A17"/>
    <hyperlink r:id="rId30" ref="B17"/>
    <hyperlink r:id="rId31" ref="C17"/>
    <hyperlink r:id="rId32" ref="A18"/>
    <hyperlink r:id="rId33" ref="C18"/>
    <hyperlink r:id="rId34" ref="A19"/>
    <hyperlink r:id="rId35" ref="B19"/>
    <hyperlink r:id="rId36" ref="C19"/>
    <hyperlink r:id="rId37" ref="A20"/>
    <hyperlink r:id="rId38" ref="B20"/>
    <hyperlink r:id="rId39" ref="C20"/>
    <hyperlink r:id="rId40" ref="A21"/>
    <hyperlink r:id="rId41" ref="B21"/>
    <hyperlink r:id="rId42" ref="C21"/>
    <hyperlink r:id="rId43" ref="A22"/>
    <hyperlink r:id="rId44" ref="B22"/>
    <hyperlink r:id="rId45" ref="C22"/>
    <hyperlink r:id="rId46" ref="A23"/>
    <hyperlink r:id="rId47" ref="C23"/>
    <hyperlink r:id="rId48" ref="A24"/>
    <hyperlink r:id="rId49" ref="C24"/>
    <hyperlink r:id="rId50" ref="A25"/>
    <hyperlink r:id="rId51" ref="B25"/>
    <hyperlink r:id="rId52" ref="C25"/>
    <hyperlink r:id="rId53" ref="B26"/>
    <hyperlink r:id="rId54" ref="C26"/>
    <hyperlink r:id="rId55" ref="A27"/>
    <hyperlink r:id="rId56" ref="C27"/>
    <hyperlink r:id="rId57" ref="A28"/>
    <hyperlink r:id="rId58" ref="C28"/>
    <hyperlink r:id="rId59" ref="A29"/>
    <hyperlink r:id="rId60" ref="C29"/>
    <hyperlink r:id="rId61" ref="A30"/>
    <hyperlink r:id="rId62" ref="C30"/>
    <hyperlink r:id="rId63" ref="A31"/>
    <hyperlink r:id="rId64" ref="C31"/>
    <hyperlink r:id="rId65" ref="A32"/>
    <hyperlink r:id="rId66" ref="C32"/>
    <hyperlink r:id="rId67" ref="A33"/>
    <hyperlink r:id="rId68" ref="C33"/>
    <hyperlink r:id="rId69" ref="A34"/>
    <hyperlink r:id="rId70" ref="C34"/>
    <hyperlink r:id="rId71" ref="A35"/>
    <hyperlink r:id="rId72" ref="C35"/>
    <hyperlink r:id="rId73" ref="A36"/>
    <hyperlink r:id="rId74" ref="C36"/>
    <hyperlink r:id="rId75" ref="C37"/>
    <hyperlink r:id="rId76" ref="C38"/>
    <hyperlink r:id="rId77" ref="C39"/>
    <hyperlink r:id="rId78" ref="C40"/>
    <hyperlink r:id="rId79" ref="C41"/>
    <hyperlink r:id="rId80" ref="C42"/>
    <hyperlink r:id="rId81" ref="C43"/>
    <hyperlink r:id="rId82" ref="C44"/>
    <hyperlink r:id="rId83" ref="C45"/>
    <hyperlink r:id="rId84" ref="C46"/>
    <hyperlink r:id="rId85" ref="C47"/>
    <hyperlink r:id="rId86" ref="C48"/>
    <hyperlink r:id="rId87" ref="C49"/>
    <hyperlink r:id="rId88" ref="C50"/>
    <hyperlink r:id="rId89" ref="B51"/>
    <hyperlink r:id="rId90" ref="C51"/>
    <hyperlink r:id="rId91" ref="B52"/>
    <hyperlink r:id="rId92" ref="C52"/>
    <hyperlink r:id="rId93" ref="B53"/>
    <hyperlink r:id="rId94" ref="C53"/>
    <hyperlink r:id="rId95" ref="B54"/>
    <hyperlink r:id="rId96" ref="C54"/>
    <hyperlink r:id="rId97" ref="B55"/>
    <hyperlink r:id="rId98" ref="C55"/>
    <hyperlink r:id="rId99" ref="B56"/>
    <hyperlink r:id="rId100" ref="C56"/>
    <hyperlink r:id="rId101" ref="B57"/>
    <hyperlink r:id="rId102" ref="C57"/>
    <hyperlink r:id="rId103" ref="B58"/>
    <hyperlink r:id="rId104" ref="C58"/>
    <hyperlink r:id="rId105" ref="B59"/>
    <hyperlink r:id="rId106" ref="C59"/>
    <hyperlink r:id="rId107" ref="B60"/>
    <hyperlink r:id="rId108" ref="C60"/>
    <hyperlink r:id="rId109" ref="C61"/>
    <hyperlink r:id="rId110" ref="C62"/>
    <hyperlink r:id="rId111" ref="C63"/>
    <hyperlink r:id="rId112" ref="C64"/>
    <hyperlink r:id="rId113" ref="C65"/>
    <hyperlink r:id="rId114" ref="C66"/>
    <hyperlink r:id="rId115" ref="C67"/>
    <hyperlink r:id="rId116" ref="C68"/>
    <hyperlink r:id="rId117" ref="C69"/>
    <hyperlink r:id="rId118" ref="C70"/>
    <hyperlink r:id="rId119" ref="B71"/>
    <hyperlink r:id="rId120" ref="C71"/>
    <hyperlink r:id="rId121" ref="B72"/>
    <hyperlink r:id="rId122" ref="C72"/>
    <hyperlink r:id="rId123" ref="B73"/>
    <hyperlink r:id="rId124" ref="C73"/>
    <hyperlink r:id="rId125" ref="C74"/>
    <hyperlink r:id="rId126" ref="C75"/>
    <hyperlink r:id="rId127" ref="C76"/>
    <hyperlink r:id="rId128" ref="C77"/>
    <hyperlink r:id="rId129" ref="C78"/>
    <hyperlink r:id="rId130" ref="C79"/>
    <hyperlink r:id="rId131" ref="C80"/>
    <hyperlink r:id="rId132" ref="C81"/>
    <hyperlink r:id="rId133" ref="C82"/>
    <hyperlink r:id="rId134" ref="B83"/>
    <hyperlink r:id="rId135" ref="C83"/>
    <hyperlink r:id="rId136" ref="B84"/>
    <hyperlink r:id="rId137" ref="C84"/>
    <hyperlink r:id="rId138" ref="B85"/>
    <hyperlink r:id="rId139" ref="C85"/>
    <hyperlink r:id="rId140" ref="B86"/>
    <hyperlink r:id="rId141" ref="C86"/>
    <hyperlink r:id="rId142" ref="B87"/>
    <hyperlink r:id="rId143" ref="C87"/>
    <hyperlink r:id="rId144" ref="B88"/>
    <hyperlink r:id="rId145" ref="C88"/>
    <hyperlink r:id="rId146" ref="B89"/>
    <hyperlink r:id="rId147" ref="C89"/>
    <hyperlink r:id="rId148" ref="B90"/>
    <hyperlink r:id="rId149" ref="C90"/>
    <hyperlink r:id="rId150" ref="B91"/>
    <hyperlink r:id="rId151" ref="C91"/>
    <hyperlink r:id="rId152" ref="B92"/>
    <hyperlink r:id="rId153" ref="C92"/>
    <hyperlink r:id="rId154" ref="C93"/>
    <hyperlink r:id="rId155" ref="B94"/>
    <hyperlink r:id="rId156" ref="C94"/>
    <hyperlink r:id="rId157" ref="C95"/>
    <hyperlink r:id="rId158" ref="C96"/>
    <hyperlink r:id="rId159" ref="B97"/>
    <hyperlink r:id="rId160" ref="C97"/>
    <hyperlink r:id="rId161" ref="C98"/>
    <hyperlink r:id="rId162" ref="C99"/>
    <hyperlink r:id="rId163" ref="C100"/>
    <hyperlink r:id="rId164" ref="B101"/>
    <hyperlink r:id="rId165" ref="C101"/>
    <hyperlink r:id="rId166" ref="B102"/>
    <hyperlink r:id="rId167" ref="C102"/>
    <hyperlink r:id="rId168" ref="B103"/>
    <hyperlink r:id="rId169" ref="C103"/>
    <hyperlink r:id="rId170" ref="B104"/>
    <hyperlink r:id="rId171" ref="C104"/>
    <hyperlink r:id="rId172" ref="B105"/>
    <hyperlink r:id="rId173" ref="C105"/>
    <hyperlink r:id="rId174" ref="B106"/>
    <hyperlink r:id="rId175" ref="C106"/>
    <hyperlink r:id="rId176" ref="B107"/>
    <hyperlink r:id="rId177" ref="C107"/>
    <hyperlink r:id="rId178" ref="C108"/>
    <hyperlink r:id="rId179" ref="B109"/>
    <hyperlink r:id="rId180" ref="C109"/>
    <hyperlink r:id="rId181" ref="B110"/>
    <hyperlink r:id="rId182" ref="C110"/>
    <hyperlink r:id="rId183" ref="B111"/>
    <hyperlink r:id="rId184" ref="C111"/>
    <hyperlink r:id="rId185" ref="C112"/>
    <hyperlink r:id="rId186" ref="C113"/>
    <hyperlink r:id="rId187" ref="B114"/>
    <hyperlink r:id="rId188" ref="C114"/>
    <hyperlink r:id="rId189" ref="B115"/>
    <hyperlink r:id="rId190" ref="C115"/>
    <hyperlink r:id="rId191" ref="C116"/>
    <hyperlink r:id="rId192" ref="C117"/>
    <hyperlink r:id="rId193" ref="C118"/>
    <hyperlink r:id="rId194" ref="C119"/>
    <hyperlink r:id="rId195" ref="C120"/>
    <hyperlink r:id="rId196" ref="C121"/>
    <hyperlink r:id="rId197" ref="C122"/>
    <hyperlink r:id="rId198" ref="C123"/>
    <hyperlink r:id="rId199" ref="C124"/>
    <hyperlink r:id="rId200" ref="C141"/>
    <hyperlink r:id="rId201" ref="C142"/>
    <hyperlink r:id="rId202" ref="C143"/>
    <hyperlink r:id="rId203" ref="C144"/>
    <hyperlink r:id="rId204" ref="C145"/>
    <hyperlink r:id="rId205" ref="C146"/>
    <hyperlink r:id="rId206" ref="C147"/>
    <hyperlink r:id="rId207" ref="C148"/>
    <hyperlink r:id="rId208" ref="C149"/>
    <hyperlink r:id="rId209" ref="C150"/>
    <hyperlink r:id="rId210" ref="C151"/>
    <hyperlink r:id="rId211" ref="C152"/>
    <hyperlink r:id="rId212" ref="C153"/>
    <hyperlink r:id="rId213" ref="C154"/>
    <hyperlink r:id="rId214" ref="C155"/>
    <hyperlink r:id="rId215" ref="C156"/>
    <hyperlink r:id="rId216" ref="C157"/>
    <hyperlink r:id="rId217" ref="C158"/>
    <hyperlink r:id="rId218" ref="C159"/>
    <hyperlink r:id="rId219" ref="C160"/>
    <hyperlink r:id="rId220" ref="C161"/>
    <hyperlink r:id="rId221" ref="C162"/>
    <hyperlink r:id="rId222" ref="C163"/>
    <hyperlink r:id="rId223" ref="C164"/>
    <hyperlink r:id="rId224" ref="C165"/>
    <hyperlink r:id="rId225" ref="C166"/>
    <hyperlink r:id="rId226" ref="C167"/>
    <hyperlink r:id="rId227" ref="C168"/>
    <hyperlink r:id="rId228" ref="C169"/>
    <hyperlink r:id="rId229" ref="C170"/>
    <hyperlink r:id="rId230" ref="C171"/>
    <hyperlink r:id="rId231" ref="C172"/>
    <hyperlink r:id="rId232" ref="C173"/>
    <hyperlink r:id="rId233" ref="C174"/>
    <hyperlink r:id="rId234" ref="C175"/>
    <hyperlink r:id="rId235" ref="C176"/>
    <hyperlink r:id="rId236" ref="C177"/>
    <hyperlink r:id="rId237" ref="C178"/>
    <hyperlink r:id="rId238" ref="C179"/>
    <hyperlink r:id="rId239" ref="C180"/>
    <hyperlink r:id="rId240" ref="C181"/>
    <hyperlink r:id="rId241" ref="C182"/>
    <hyperlink r:id="rId242" ref="C183"/>
    <hyperlink r:id="rId243" ref="C184"/>
    <hyperlink r:id="rId244" ref="C185"/>
    <hyperlink r:id="rId245" ref="C186"/>
    <hyperlink r:id="rId246" ref="C187"/>
    <hyperlink r:id="rId247" ref="C188"/>
    <hyperlink r:id="rId248" ref="C189"/>
    <hyperlink r:id="rId249" ref="C190"/>
    <hyperlink r:id="rId250" ref="C191"/>
    <hyperlink r:id="rId251" ref="C192"/>
    <hyperlink r:id="rId252" ref="C193"/>
    <hyperlink r:id="rId253" ref="C194"/>
    <hyperlink r:id="rId254" ref="C195"/>
    <hyperlink r:id="rId255" ref="C196"/>
    <hyperlink r:id="rId256" ref="C198"/>
    <hyperlink r:id="rId257" ref="C199"/>
    <hyperlink r:id="rId258" ref="C200"/>
    <hyperlink r:id="rId259" ref="C201"/>
    <hyperlink r:id="rId260" ref="C202"/>
    <hyperlink r:id="rId261" ref="C203"/>
    <hyperlink r:id="rId262" ref="C204"/>
    <hyperlink r:id="rId263" ref="C205"/>
    <hyperlink r:id="rId264" ref="C206"/>
    <hyperlink r:id="rId265" ref="C207"/>
    <hyperlink r:id="rId266" ref="C208"/>
    <hyperlink r:id="rId267" ref="C209"/>
    <hyperlink r:id="rId268" ref="C210"/>
    <hyperlink r:id="rId269" ref="C211"/>
    <hyperlink r:id="rId270" ref="C212"/>
    <hyperlink r:id="rId271" ref="C213"/>
    <hyperlink r:id="rId272" ref="C214"/>
    <hyperlink r:id="rId273" ref="C215"/>
    <hyperlink r:id="rId274" ref="C216"/>
    <hyperlink r:id="rId275" ref="C217"/>
    <hyperlink r:id="rId276" ref="C218"/>
    <hyperlink r:id="rId277" ref="C219"/>
    <hyperlink r:id="rId278" ref="C220"/>
    <hyperlink r:id="rId279" ref="C221"/>
    <hyperlink r:id="rId280" ref="C222"/>
    <hyperlink r:id="rId281" ref="C223"/>
    <hyperlink r:id="rId282" ref="C224"/>
    <hyperlink r:id="rId283" ref="C225"/>
    <hyperlink r:id="rId284" ref="C226"/>
    <hyperlink r:id="rId285" ref="C227"/>
    <hyperlink r:id="rId286" ref="C228"/>
    <hyperlink r:id="rId287" ref="C229"/>
    <hyperlink r:id="rId288" ref="C230"/>
    <hyperlink r:id="rId289" ref="C231"/>
    <hyperlink r:id="rId290" ref="C232"/>
    <hyperlink r:id="rId291" ref="C233"/>
    <hyperlink r:id="rId292" ref="C234"/>
    <hyperlink r:id="rId293" ref="C235"/>
    <hyperlink r:id="rId294" ref="C236"/>
    <hyperlink r:id="rId295" ref="C237"/>
    <hyperlink r:id="rId296" ref="C238"/>
    <hyperlink r:id="rId297" ref="C239"/>
    <hyperlink r:id="rId298" ref="C240"/>
    <hyperlink r:id="rId299" ref="C241"/>
    <hyperlink r:id="rId300" ref="C242"/>
    <hyperlink r:id="rId301" ref="C243"/>
    <hyperlink r:id="rId302" ref="C244"/>
    <hyperlink r:id="rId303" ref="C245"/>
    <hyperlink r:id="rId304" ref="C246"/>
    <hyperlink r:id="rId305" ref="C247"/>
    <hyperlink r:id="rId306" ref="C248"/>
    <hyperlink r:id="rId307" ref="C249"/>
    <hyperlink r:id="rId308" ref="C250"/>
    <hyperlink r:id="rId309" ref="C251"/>
    <hyperlink r:id="rId310" ref="C252"/>
    <hyperlink r:id="rId311" ref="C253"/>
    <hyperlink r:id="rId312" ref="C254"/>
    <hyperlink r:id="rId313" ref="C255"/>
    <hyperlink r:id="rId314" ref="C256"/>
    <hyperlink r:id="rId315" ref="C257"/>
    <hyperlink r:id="rId316" ref="C258"/>
    <hyperlink r:id="rId317" ref="C259"/>
    <hyperlink r:id="rId318" ref="C260"/>
    <hyperlink r:id="rId319" ref="C261"/>
    <hyperlink r:id="rId320" ref="C262"/>
    <hyperlink r:id="rId321" ref="C263"/>
    <hyperlink r:id="rId322" ref="C264"/>
    <hyperlink r:id="rId323" ref="C265"/>
    <hyperlink r:id="rId324" ref="C266"/>
    <hyperlink r:id="rId325" ref="C267"/>
    <hyperlink r:id="rId326" ref="C268"/>
    <hyperlink r:id="rId327" ref="C269"/>
    <hyperlink r:id="rId328" ref="C270"/>
    <hyperlink r:id="rId329" ref="C271"/>
    <hyperlink r:id="rId330" ref="C272"/>
    <hyperlink r:id="rId331" ref="C273"/>
    <hyperlink r:id="rId332" ref="C274"/>
    <hyperlink r:id="rId333" ref="C275"/>
    <hyperlink r:id="rId334" ref="C276"/>
    <hyperlink r:id="rId335" ref="C277"/>
    <hyperlink r:id="rId336" ref="C278"/>
    <hyperlink r:id="rId337" ref="C279"/>
    <hyperlink r:id="rId338" ref="C280"/>
    <hyperlink r:id="rId339" ref="C281"/>
    <hyperlink r:id="rId340" ref="C282"/>
    <hyperlink r:id="rId341" ref="C283"/>
    <hyperlink r:id="rId342" ref="C284"/>
    <hyperlink r:id="rId343" ref="C285"/>
    <hyperlink r:id="rId344" ref="C286"/>
    <hyperlink r:id="rId345" ref="C287"/>
    <hyperlink r:id="rId346" ref="C288"/>
    <hyperlink r:id="rId347" ref="C289"/>
    <hyperlink r:id="rId348" ref="C290"/>
    <hyperlink r:id="rId349" ref="C291"/>
    <hyperlink r:id="rId350" ref="C292"/>
    <hyperlink r:id="rId351" ref="C293"/>
    <hyperlink r:id="rId352" ref="C294"/>
    <hyperlink r:id="rId353" ref="C295"/>
    <hyperlink r:id="rId354" ref="C296"/>
    <hyperlink r:id="rId355" ref="C297"/>
    <hyperlink r:id="rId356" ref="C298"/>
    <hyperlink r:id="rId357" ref="C299"/>
    <hyperlink r:id="rId358" ref="C300"/>
    <hyperlink r:id="rId359" ref="C301"/>
    <hyperlink r:id="rId360" ref="C302"/>
    <hyperlink r:id="rId361" ref="C303"/>
    <hyperlink r:id="rId362" ref="C304"/>
    <hyperlink r:id="rId363" ref="C305"/>
    <hyperlink r:id="rId364" ref="C306"/>
    <hyperlink r:id="rId365" ref="C307"/>
    <hyperlink r:id="rId366" ref="C308"/>
    <hyperlink r:id="rId367" ref="C309"/>
    <hyperlink r:id="rId368" ref="C310"/>
    <hyperlink r:id="rId369" ref="C311"/>
    <hyperlink r:id="rId370" ref="C312"/>
    <hyperlink r:id="rId371" ref="C313"/>
    <hyperlink r:id="rId372" ref="C314"/>
    <hyperlink r:id="rId373" ref="C315"/>
    <hyperlink r:id="rId374" ref="C316"/>
    <hyperlink r:id="rId375" ref="C317"/>
    <hyperlink r:id="rId376" ref="C318"/>
    <hyperlink r:id="rId377" ref="C319"/>
    <hyperlink r:id="rId378" ref="C320"/>
    <hyperlink r:id="rId379" ref="C321"/>
    <hyperlink r:id="rId380" ref="C322"/>
    <hyperlink r:id="rId381" ref="C323"/>
    <hyperlink r:id="rId382" ref="C324"/>
    <hyperlink r:id="rId383" ref="C325"/>
    <hyperlink r:id="rId384" ref="C326"/>
    <hyperlink r:id="rId385" ref="C327"/>
    <hyperlink r:id="rId386" ref="C328"/>
    <hyperlink r:id="rId387" ref="C329"/>
    <hyperlink r:id="rId388" ref="C330"/>
    <hyperlink r:id="rId389" ref="C331"/>
    <hyperlink r:id="rId390" ref="C332"/>
    <hyperlink r:id="rId391" ref="C333"/>
    <hyperlink r:id="rId392" ref="C334"/>
    <hyperlink r:id="rId393" ref="C335"/>
    <hyperlink r:id="rId394" ref="C336"/>
    <hyperlink r:id="rId395" ref="C337"/>
    <hyperlink r:id="rId396" ref="C338"/>
    <hyperlink r:id="rId397" ref="C339"/>
    <hyperlink r:id="rId398" ref="C340"/>
    <hyperlink r:id="rId399" ref="C341"/>
    <hyperlink r:id="rId400" ref="C342"/>
    <hyperlink r:id="rId401" ref="C343"/>
    <hyperlink r:id="rId402" ref="C344"/>
    <hyperlink r:id="rId403" ref="C345"/>
    <hyperlink r:id="rId404" ref="C346"/>
    <hyperlink r:id="rId405" ref="C347"/>
    <hyperlink r:id="rId406" ref="C348"/>
    <hyperlink r:id="rId407" ref="C349"/>
    <hyperlink r:id="rId408" ref="C350"/>
    <hyperlink r:id="rId409" ref="C351"/>
    <hyperlink r:id="rId410" ref="C352"/>
    <hyperlink r:id="rId411" ref="C353"/>
    <hyperlink r:id="rId412" ref="C354"/>
    <hyperlink r:id="rId413" ref="C355"/>
    <hyperlink r:id="rId414" ref="C356"/>
    <hyperlink r:id="rId415" ref="C357"/>
    <hyperlink r:id="rId416" ref="C358"/>
    <hyperlink r:id="rId417" ref="C359"/>
    <hyperlink r:id="rId418" ref="C360"/>
    <hyperlink r:id="rId419" ref="C361"/>
    <hyperlink r:id="rId420" ref="C362"/>
    <hyperlink r:id="rId421" ref="C363"/>
    <hyperlink r:id="rId422" ref="C364"/>
    <hyperlink r:id="rId423" ref="C365"/>
    <hyperlink r:id="rId424" ref="C366"/>
    <hyperlink r:id="rId425" ref="C367"/>
    <hyperlink r:id="rId426" ref="C368"/>
    <hyperlink r:id="rId427" ref="C369"/>
    <hyperlink r:id="rId428" ref="C370"/>
    <hyperlink r:id="rId429" ref="C371"/>
    <hyperlink r:id="rId430" ref="C372"/>
    <hyperlink r:id="rId431" ref="C373"/>
    <hyperlink r:id="rId432" ref="C374"/>
    <hyperlink r:id="rId433" ref="C375"/>
    <hyperlink r:id="rId434" ref="C376"/>
    <hyperlink r:id="rId435" ref="C377"/>
    <hyperlink r:id="rId436" ref="C378"/>
    <hyperlink r:id="rId437" ref="C379"/>
    <hyperlink r:id="rId438" ref="C380"/>
    <hyperlink r:id="rId439" ref="C381"/>
    <hyperlink r:id="rId440" ref="C382"/>
    <hyperlink r:id="rId441" ref="C383"/>
    <hyperlink r:id="rId442" ref="C384"/>
    <hyperlink r:id="rId443" ref="C385"/>
    <hyperlink r:id="rId444" ref="C386"/>
    <hyperlink r:id="rId445" ref="C387"/>
    <hyperlink r:id="rId446" ref="C388"/>
    <hyperlink r:id="rId447" ref="C389"/>
    <hyperlink r:id="rId448" ref="C390"/>
    <hyperlink r:id="rId449" ref="C391"/>
    <hyperlink r:id="rId450" ref="C392"/>
    <hyperlink r:id="rId451" ref="C393"/>
    <hyperlink r:id="rId452" ref="C394"/>
    <hyperlink r:id="rId453" ref="C395"/>
    <hyperlink r:id="rId454" ref="C396"/>
    <hyperlink r:id="rId455" ref="C397"/>
    <hyperlink r:id="rId456" ref="C398"/>
    <hyperlink r:id="rId457" ref="C399"/>
    <hyperlink r:id="rId458" ref="C400"/>
    <hyperlink r:id="rId459" ref="C401"/>
    <hyperlink r:id="rId460" ref="C402"/>
    <hyperlink r:id="rId461" ref="C403"/>
    <hyperlink r:id="rId462" ref="C404"/>
    <hyperlink r:id="rId463" ref="C405"/>
    <hyperlink r:id="rId464" ref="C406"/>
    <hyperlink r:id="rId465" ref="C407"/>
    <hyperlink r:id="rId466" ref="C408"/>
    <hyperlink r:id="rId467" ref="C409"/>
    <hyperlink r:id="rId468" ref="C410"/>
    <hyperlink r:id="rId469" ref="C411"/>
    <hyperlink r:id="rId470" ref="C412"/>
    <hyperlink r:id="rId471" ref="C413"/>
    <hyperlink r:id="rId472" ref="C414"/>
    <hyperlink r:id="rId473" ref="C416"/>
    <hyperlink r:id="rId474" ref="C417"/>
    <hyperlink r:id="rId475" ref="C418"/>
    <hyperlink r:id="rId476" ref="C419"/>
    <hyperlink r:id="rId477" ref="C420"/>
    <hyperlink r:id="rId478" ref="C421"/>
    <hyperlink r:id="rId479" ref="C422"/>
    <hyperlink r:id="rId480" ref="C424"/>
    <hyperlink r:id="rId481" ref="C425"/>
    <hyperlink r:id="rId482" ref="C426"/>
    <hyperlink r:id="rId483" ref="C427"/>
    <hyperlink r:id="rId484" ref="C428"/>
    <hyperlink r:id="rId485" ref="C429"/>
    <hyperlink r:id="rId486" ref="C430"/>
    <hyperlink r:id="rId487" ref="C431"/>
    <hyperlink r:id="rId488" ref="C432"/>
    <hyperlink r:id="rId489" ref="C433"/>
    <hyperlink r:id="rId490" ref="C434"/>
    <hyperlink r:id="rId491" ref="C435"/>
    <hyperlink r:id="rId492" ref="C436"/>
    <hyperlink r:id="rId493" ref="C437"/>
    <hyperlink r:id="rId494" ref="C439"/>
    <hyperlink r:id="rId495" ref="C440"/>
    <hyperlink r:id="rId496" ref="C441"/>
    <hyperlink r:id="rId497" ref="C442"/>
    <hyperlink r:id="rId498" ref="C443"/>
    <hyperlink r:id="rId499" ref="C444"/>
    <hyperlink r:id="rId500" ref="C445"/>
    <hyperlink r:id="rId501" ref="C446"/>
    <hyperlink r:id="rId502" ref="C447"/>
    <hyperlink r:id="rId503" ref="C449"/>
    <hyperlink r:id="rId504" ref="C450"/>
    <hyperlink r:id="rId505" ref="C452"/>
    <hyperlink r:id="rId506" ref="C453"/>
    <hyperlink r:id="rId507" ref="C454"/>
    <hyperlink r:id="rId508" ref="C455"/>
    <hyperlink r:id="rId509" ref="C457"/>
    <hyperlink r:id="rId510" ref="C458"/>
    <hyperlink r:id="rId511" ref="C459"/>
    <hyperlink r:id="rId512" ref="C460"/>
    <hyperlink r:id="rId513" ref="C461"/>
    <hyperlink r:id="rId514" ref="C462"/>
    <hyperlink r:id="rId515" ref="C463"/>
    <hyperlink r:id="rId516" ref="C464"/>
    <hyperlink r:id="rId517" ref="C465"/>
    <hyperlink r:id="rId518" ref="C466"/>
    <hyperlink r:id="rId519" ref="C467"/>
    <hyperlink r:id="rId520" ref="C468"/>
    <hyperlink r:id="rId521" ref="C469"/>
    <hyperlink r:id="rId522" ref="C470"/>
    <hyperlink r:id="rId523" ref="C471"/>
    <hyperlink r:id="rId524" ref="C472"/>
    <hyperlink r:id="rId525" ref="C473"/>
    <hyperlink r:id="rId526" ref="C474"/>
    <hyperlink r:id="rId527" ref="C475"/>
    <hyperlink r:id="rId528" ref="C476"/>
    <hyperlink r:id="rId529" ref="C477"/>
    <hyperlink r:id="rId530" ref="C478"/>
    <hyperlink r:id="rId531" ref="C479"/>
    <hyperlink r:id="rId532" ref="C480"/>
    <hyperlink r:id="rId533" ref="C481"/>
    <hyperlink r:id="rId534" ref="C482"/>
    <hyperlink r:id="rId535" ref="C483"/>
    <hyperlink r:id="rId536" ref="C484"/>
    <hyperlink r:id="rId537" ref="C485"/>
    <hyperlink r:id="rId538" ref="C486"/>
    <hyperlink r:id="rId539" ref="C487"/>
    <hyperlink r:id="rId540" ref="C488"/>
    <hyperlink r:id="rId541" ref="C489"/>
    <hyperlink r:id="rId542" ref="C490"/>
    <hyperlink r:id="rId543" ref="C491"/>
    <hyperlink r:id="rId544" ref="C492"/>
    <hyperlink r:id="rId545" ref="C493"/>
    <hyperlink r:id="rId546" ref="C494"/>
    <hyperlink r:id="rId547" ref="C495"/>
    <hyperlink r:id="rId548" ref="C496"/>
    <hyperlink r:id="rId549" ref="C497"/>
    <hyperlink r:id="rId550" ref="C498"/>
    <hyperlink r:id="rId551" ref="C499"/>
    <hyperlink r:id="rId552" ref="C500"/>
    <hyperlink r:id="rId553" ref="C501"/>
    <hyperlink r:id="rId554" ref="C502"/>
    <hyperlink r:id="rId555" ref="C503"/>
    <hyperlink r:id="rId556" ref="C504"/>
    <hyperlink r:id="rId557" ref="C505"/>
    <hyperlink r:id="rId558" ref="C506"/>
    <hyperlink r:id="rId559" ref="C507"/>
    <hyperlink r:id="rId560" ref="C508"/>
    <hyperlink r:id="rId561" ref="C509"/>
    <hyperlink r:id="rId562" ref="C510"/>
    <hyperlink r:id="rId563" ref="C511"/>
    <hyperlink r:id="rId564" ref="C512"/>
    <hyperlink r:id="rId565" ref="C513"/>
    <hyperlink r:id="rId566" ref="C514"/>
    <hyperlink r:id="rId567" ref="C515"/>
    <hyperlink r:id="rId568" ref="C516"/>
    <hyperlink r:id="rId569" ref="C517"/>
    <hyperlink r:id="rId570" ref="C518"/>
    <hyperlink r:id="rId571" ref="C519"/>
    <hyperlink r:id="rId572" ref="C520"/>
    <hyperlink r:id="rId573" ref="C521"/>
    <hyperlink r:id="rId574" ref="C522"/>
    <hyperlink r:id="rId575" ref="C523"/>
    <hyperlink r:id="rId576" ref="C524"/>
    <hyperlink r:id="rId577" ref="C525"/>
    <hyperlink r:id="rId578" ref="C526"/>
    <hyperlink r:id="rId579" ref="C527"/>
    <hyperlink r:id="rId580" ref="C528"/>
    <hyperlink r:id="rId581" ref="C529"/>
    <hyperlink r:id="rId582" ref="C530"/>
    <hyperlink r:id="rId583" ref="C531"/>
    <hyperlink r:id="rId584" ref="C532"/>
    <hyperlink r:id="rId585" ref="C533"/>
    <hyperlink r:id="rId586" ref="C534"/>
    <hyperlink r:id="rId587" ref="C535"/>
    <hyperlink r:id="rId588" ref="C536"/>
    <hyperlink r:id="rId589" ref="C537"/>
    <hyperlink r:id="rId590" ref="C538"/>
    <hyperlink r:id="rId591" ref="C539"/>
    <hyperlink r:id="rId592" ref="C540"/>
    <hyperlink r:id="rId593" ref="C541"/>
    <hyperlink r:id="rId594" ref="C542"/>
    <hyperlink r:id="rId595" ref="C543"/>
    <hyperlink r:id="rId596" ref="C544"/>
    <hyperlink r:id="rId597" ref="C545"/>
    <hyperlink r:id="rId598" ref="C546"/>
    <hyperlink r:id="rId599" ref="C547"/>
    <hyperlink r:id="rId600" ref="C548"/>
    <hyperlink r:id="rId601" ref="C549"/>
    <hyperlink r:id="rId602" ref="C550"/>
    <hyperlink r:id="rId603" ref="C551"/>
    <hyperlink r:id="rId604" ref="C552"/>
    <hyperlink r:id="rId605" ref="C553"/>
    <hyperlink r:id="rId606" ref="C554"/>
    <hyperlink r:id="rId607" ref="C555"/>
    <hyperlink r:id="rId608" ref="C556"/>
    <hyperlink r:id="rId609" ref="C557"/>
    <hyperlink r:id="rId610" ref="C558"/>
    <hyperlink r:id="rId611" ref="C559"/>
    <hyperlink r:id="rId612" ref="C560"/>
    <hyperlink r:id="rId613" ref="C561"/>
    <hyperlink r:id="rId614" ref="C562"/>
    <hyperlink r:id="rId615" ref="C563"/>
    <hyperlink r:id="rId616" ref="C564"/>
    <hyperlink r:id="rId617" ref="C565"/>
    <hyperlink r:id="rId618" ref="C566"/>
    <hyperlink r:id="rId619" ref="C567"/>
    <hyperlink r:id="rId620" ref="C568"/>
    <hyperlink r:id="rId621" ref="C569"/>
    <hyperlink r:id="rId622" ref="C570"/>
    <hyperlink r:id="rId623" ref="C572"/>
    <hyperlink r:id="rId624" ref="C574"/>
    <hyperlink r:id="rId625" ref="C575"/>
    <hyperlink r:id="rId626" ref="C576"/>
    <hyperlink r:id="rId627" ref="C577"/>
    <hyperlink r:id="rId628" ref="C578"/>
    <hyperlink r:id="rId629" ref="C579"/>
    <hyperlink r:id="rId630" ref="C580"/>
    <hyperlink r:id="rId631" ref="C581"/>
    <hyperlink r:id="rId632" ref="C582"/>
    <hyperlink r:id="rId633" ref="C583"/>
    <hyperlink r:id="rId634" ref="C584"/>
    <hyperlink r:id="rId635" ref="C585"/>
    <hyperlink r:id="rId636" ref="C586"/>
    <hyperlink r:id="rId637" ref="C587"/>
    <hyperlink r:id="rId638" ref="C588"/>
    <hyperlink r:id="rId639" ref="C590"/>
    <hyperlink r:id="rId640" ref="C591"/>
    <hyperlink r:id="rId641" ref="C592"/>
    <hyperlink r:id="rId642" ref="C593"/>
    <hyperlink r:id="rId643" ref="C594"/>
    <hyperlink r:id="rId644" ref="C595"/>
    <hyperlink r:id="rId645" ref="C596"/>
    <hyperlink r:id="rId646" ref="C597"/>
    <hyperlink r:id="rId647" ref="C598"/>
    <hyperlink r:id="rId648" ref="C599"/>
    <hyperlink r:id="rId649" ref="C600"/>
    <hyperlink r:id="rId650" ref="C601"/>
    <hyperlink r:id="rId651" ref="C602"/>
    <hyperlink r:id="rId652" ref="C603"/>
    <hyperlink r:id="rId653" ref="C604"/>
    <hyperlink r:id="rId654" ref="C606"/>
    <hyperlink r:id="rId655" ref="C607"/>
    <hyperlink r:id="rId656" ref="C608"/>
    <hyperlink r:id="rId657" ref="C609"/>
    <hyperlink r:id="rId658" ref="C610"/>
    <hyperlink r:id="rId659" ref="C611"/>
    <hyperlink r:id="rId660" ref="C612"/>
    <hyperlink r:id="rId661" ref="C613"/>
    <hyperlink r:id="rId662" ref="C614"/>
    <hyperlink r:id="rId663" ref="C615"/>
    <hyperlink r:id="rId664" ref="C616"/>
    <hyperlink r:id="rId665" ref="C617"/>
    <hyperlink r:id="rId666" ref="C618"/>
    <hyperlink r:id="rId667" ref="C619"/>
    <hyperlink r:id="rId668" ref="C620"/>
    <hyperlink r:id="rId669" ref="C621"/>
    <hyperlink r:id="rId670" ref="C622"/>
    <hyperlink r:id="rId671" ref="C623"/>
    <hyperlink r:id="rId672" ref="C624"/>
    <hyperlink r:id="rId673" ref="C625"/>
    <hyperlink r:id="rId674" ref="C626"/>
    <hyperlink r:id="rId675" ref="C627"/>
    <hyperlink r:id="rId676" ref="C628"/>
    <hyperlink r:id="rId677" ref="C629"/>
    <hyperlink r:id="rId678" ref="C630"/>
    <hyperlink r:id="rId679" ref="C631"/>
    <hyperlink r:id="rId680" ref="C632"/>
    <hyperlink r:id="rId681" ref="C633"/>
    <hyperlink r:id="rId682" ref="C634"/>
    <hyperlink r:id="rId683" ref="C635"/>
    <hyperlink r:id="rId684" ref="C636"/>
    <hyperlink r:id="rId685" ref="C637"/>
    <hyperlink r:id="rId686" ref="C638"/>
    <hyperlink r:id="rId687" ref="C639"/>
    <hyperlink r:id="rId688" ref="C640"/>
    <hyperlink r:id="rId689" ref="C641"/>
    <hyperlink r:id="rId690" ref="C642"/>
    <hyperlink r:id="rId691" ref="C643"/>
    <hyperlink r:id="rId692" ref="C644"/>
    <hyperlink r:id="rId693" ref="C645"/>
    <hyperlink r:id="rId694" ref="C646"/>
    <hyperlink r:id="rId695" ref="C647"/>
    <hyperlink r:id="rId696" ref="C648"/>
    <hyperlink r:id="rId697" ref="C649"/>
    <hyperlink r:id="rId698" ref="C650"/>
    <hyperlink r:id="rId699" ref="C651"/>
    <hyperlink r:id="rId700" ref="C652"/>
    <hyperlink r:id="rId701" ref="C653"/>
    <hyperlink r:id="rId702" ref="C654"/>
    <hyperlink r:id="rId703" ref="C655"/>
    <hyperlink r:id="rId704" ref="C656"/>
    <hyperlink r:id="rId705" ref="C657"/>
    <hyperlink r:id="rId706" ref="C658"/>
    <hyperlink r:id="rId707" ref="C659"/>
    <hyperlink r:id="rId708" ref="C660"/>
    <hyperlink r:id="rId709" ref="C661"/>
    <hyperlink r:id="rId710" ref="C662"/>
    <hyperlink r:id="rId711" ref="C663"/>
    <hyperlink r:id="rId712" ref="C664"/>
    <hyperlink r:id="rId713" ref="C665"/>
    <hyperlink r:id="rId714" ref="C666"/>
    <hyperlink r:id="rId715" ref="C667"/>
    <hyperlink r:id="rId716" ref="C668"/>
    <hyperlink r:id="rId717" ref="C669"/>
    <hyperlink r:id="rId718" ref="C670"/>
    <hyperlink r:id="rId719" ref="C671"/>
    <hyperlink r:id="rId720" ref="C672"/>
    <hyperlink r:id="rId721" ref="C673"/>
    <hyperlink r:id="rId722" ref="C674"/>
    <hyperlink r:id="rId723" ref="C675"/>
    <hyperlink r:id="rId724" ref="C676"/>
    <hyperlink r:id="rId725" ref="C677"/>
    <hyperlink r:id="rId726" ref="C678"/>
    <hyperlink r:id="rId727" ref="C679"/>
    <hyperlink r:id="rId728" ref="C680"/>
    <hyperlink r:id="rId729" ref="C681"/>
    <hyperlink r:id="rId730" ref="C682"/>
    <hyperlink r:id="rId731" ref="C683"/>
    <hyperlink r:id="rId732" ref="C684"/>
    <hyperlink r:id="rId733" ref="C685"/>
    <hyperlink r:id="rId734" ref="C686"/>
    <hyperlink r:id="rId735" ref="C687"/>
    <hyperlink r:id="rId736" ref="C688"/>
    <hyperlink r:id="rId737" ref="C689"/>
    <hyperlink r:id="rId738" ref="C690"/>
    <hyperlink r:id="rId739" ref="C691"/>
    <hyperlink r:id="rId740" ref="C692"/>
    <hyperlink r:id="rId741" ref="C693"/>
    <hyperlink r:id="rId742" ref="C694"/>
    <hyperlink r:id="rId743" ref="C695"/>
    <hyperlink r:id="rId744" ref="C696"/>
    <hyperlink r:id="rId745" ref="C697"/>
    <hyperlink r:id="rId746" ref="C698"/>
    <hyperlink r:id="rId747" ref="C699"/>
    <hyperlink r:id="rId748" ref="C700"/>
    <hyperlink r:id="rId749" ref="C701"/>
    <hyperlink r:id="rId750" ref="C702"/>
    <hyperlink r:id="rId751" ref="C703"/>
    <hyperlink r:id="rId752" ref="C704"/>
    <hyperlink r:id="rId753" ref="C705"/>
    <hyperlink r:id="rId754" ref="C706"/>
    <hyperlink r:id="rId755" ref="C707"/>
    <hyperlink r:id="rId756" ref="C708"/>
    <hyperlink r:id="rId757" ref="C709"/>
    <hyperlink r:id="rId758" ref="C710"/>
    <hyperlink r:id="rId759" ref="C711"/>
    <hyperlink r:id="rId760" ref="C713"/>
    <hyperlink r:id="rId761" ref="C714"/>
    <hyperlink r:id="rId762" ref="C715"/>
    <hyperlink r:id="rId763" ref="C716"/>
    <hyperlink r:id="rId764" ref="C717"/>
    <hyperlink r:id="rId765" ref="C718"/>
    <hyperlink r:id="rId766" ref="C719"/>
    <hyperlink r:id="rId767" ref="C720"/>
    <hyperlink r:id="rId768" ref="C721"/>
    <hyperlink r:id="rId769" ref="C722"/>
    <hyperlink r:id="rId770" ref="C723"/>
    <hyperlink r:id="rId771" ref="C724"/>
    <hyperlink r:id="rId772" ref="C725"/>
    <hyperlink r:id="rId773" ref="C726"/>
    <hyperlink r:id="rId774" ref="C727"/>
    <hyperlink r:id="rId775" ref="C728"/>
    <hyperlink r:id="rId776" ref="C729"/>
    <hyperlink r:id="rId777" ref="C730"/>
    <hyperlink r:id="rId778" ref="C731"/>
    <hyperlink r:id="rId779" ref="C732"/>
    <hyperlink r:id="rId780" ref="C733"/>
    <hyperlink r:id="rId781" ref="C734"/>
    <hyperlink r:id="rId782" ref="C735"/>
    <hyperlink r:id="rId783" ref="C736"/>
    <hyperlink r:id="rId784" ref="C737"/>
    <hyperlink r:id="rId785" ref="C738"/>
    <hyperlink r:id="rId786" ref="C739"/>
    <hyperlink r:id="rId787" ref="C740"/>
    <hyperlink r:id="rId788" ref="C741"/>
    <hyperlink r:id="rId789" ref="C742"/>
    <hyperlink r:id="rId790" ref="C743"/>
    <hyperlink r:id="rId791" ref="C744"/>
    <hyperlink r:id="rId792" ref="C745"/>
    <hyperlink r:id="rId793" ref="C746"/>
    <hyperlink r:id="rId794" ref="C747"/>
    <hyperlink r:id="rId795" ref="C748"/>
    <hyperlink r:id="rId796" ref="C749"/>
    <hyperlink r:id="rId797" ref="C750"/>
    <hyperlink r:id="rId798" ref="C751"/>
    <hyperlink r:id="rId799" ref="C752"/>
    <hyperlink r:id="rId800" ref="C753"/>
    <hyperlink r:id="rId801" ref="C754"/>
    <hyperlink r:id="rId802" ref="C755"/>
    <hyperlink r:id="rId803" ref="C756"/>
    <hyperlink r:id="rId804" ref="C757"/>
    <hyperlink r:id="rId805" ref="C758"/>
    <hyperlink r:id="rId806" ref="C759"/>
    <hyperlink r:id="rId807" ref="C760"/>
    <hyperlink r:id="rId808" ref="C761"/>
    <hyperlink r:id="rId809" ref="C762"/>
    <hyperlink r:id="rId810" ref="C763"/>
    <hyperlink r:id="rId811" ref="C764"/>
    <hyperlink r:id="rId812" ref="C765"/>
    <hyperlink r:id="rId813" ref="C766"/>
    <hyperlink r:id="rId814" ref="C767"/>
    <hyperlink r:id="rId815" ref="C768"/>
    <hyperlink r:id="rId816" ref="C769"/>
    <hyperlink r:id="rId817" ref="C770"/>
    <hyperlink r:id="rId818" ref="C771"/>
    <hyperlink r:id="rId819" ref="C772"/>
    <hyperlink r:id="rId820" ref="C773"/>
    <hyperlink r:id="rId821" ref="C774"/>
    <hyperlink r:id="rId822" ref="C775"/>
    <hyperlink r:id="rId823" ref="C776"/>
    <hyperlink r:id="rId824" ref="C777"/>
    <hyperlink r:id="rId825" ref="C778"/>
    <hyperlink r:id="rId826" ref="C779"/>
    <hyperlink r:id="rId827" ref="C780"/>
    <hyperlink r:id="rId828" ref="C781"/>
    <hyperlink r:id="rId829" ref="C782"/>
    <hyperlink r:id="rId830" ref="C783"/>
    <hyperlink r:id="rId831" ref="C784"/>
    <hyperlink r:id="rId832" ref="C785"/>
    <hyperlink r:id="rId833" ref="C786"/>
    <hyperlink r:id="rId834" ref="C787"/>
    <hyperlink r:id="rId835" ref="C788"/>
    <hyperlink r:id="rId836" ref="C789"/>
    <hyperlink r:id="rId837" ref="C790"/>
    <hyperlink r:id="rId838" ref="C791"/>
    <hyperlink r:id="rId839" ref="C792"/>
    <hyperlink r:id="rId840" ref="C793"/>
    <hyperlink r:id="rId841" ref="C794"/>
    <hyperlink r:id="rId842" ref="C795"/>
    <hyperlink r:id="rId843" ref="C796"/>
    <hyperlink r:id="rId844" ref="C797"/>
    <hyperlink r:id="rId845" ref="C798"/>
    <hyperlink r:id="rId846" ref="C799"/>
    <hyperlink r:id="rId847" ref="C800"/>
    <hyperlink r:id="rId848" ref="C801"/>
    <hyperlink r:id="rId849" ref="C802"/>
    <hyperlink r:id="rId850" ref="C803"/>
    <hyperlink r:id="rId851" ref="C804"/>
    <hyperlink r:id="rId852" ref="C805"/>
    <hyperlink r:id="rId853" ref="C806"/>
    <hyperlink r:id="rId854" ref="C807"/>
    <hyperlink r:id="rId855" ref="C808"/>
    <hyperlink r:id="rId856" ref="C809"/>
    <hyperlink r:id="rId857" ref="C810"/>
    <hyperlink r:id="rId858" ref="C811"/>
    <hyperlink r:id="rId859" ref="C812"/>
    <hyperlink r:id="rId860" ref="C813"/>
    <hyperlink r:id="rId861" ref="C814"/>
    <hyperlink r:id="rId862" ref="C815"/>
    <hyperlink r:id="rId863" ref="C816"/>
    <hyperlink r:id="rId864" ref="C817"/>
    <hyperlink r:id="rId865" ref="C818"/>
    <hyperlink r:id="rId866" ref="C819"/>
    <hyperlink r:id="rId867" ref="C820"/>
    <hyperlink r:id="rId868" ref="C821"/>
    <hyperlink r:id="rId869" ref="C822"/>
    <hyperlink r:id="rId870" ref="C823"/>
    <hyperlink r:id="rId871" ref="C824"/>
    <hyperlink r:id="rId872" ref="C825"/>
    <hyperlink r:id="rId873" ref="C826"/>
    <hyperlink r:id="rId874" ref="C827"/>
    <hyperlink r:id="rId875" ref="C828"/>
    <hyperlink r:id="rId876" ref="C829"/>
    <hyperlink r:id="rId877" ref="C830"/>
    <hyperlink r:id="rId878" ref="C831"/>
    <hyperlink r:id="rId879" ref="C832"/>
    <hyperlink r:id="rId880" ref="C833"/>
    <hyperlink r:id="rId881" ref="C834"/>
    <hyperlink r:id="rId882" ref="C835"/>
    <hyperlink r:id="rId883" ref="C836"/>
    <hyperlink r:id="rId884" ref="C837"/>
    <hyperlink r:id="rId885" ref="C838"/>
    <hyperlink r:id="rId886" ref="C839"/>
    <hyperlink r:id="rId887" ref="C840"/>
    <hyperlink r:id="rId888" ref="C841"/>
    <hyperlink r:id="rId889" ref="C842"/>
    <hyperlink r:id="rId890" ref="C843"/>
    <hyperlink r:id="rId891" ref="C844"/>
    <hyperlink r:id="rId892" ref="C845"/>
    <hyperlink r:id="rId893" ref="C846"/>
    <hyperlink r:id="rId894" ref="C847"/>
    <hyperlink r:id="rId895" ref="C848"/>
    <hyperlink r:id="rId896" ref="C849"/>
    <hyperlink r:id="rId897" ref="C850"/>
    <hyperlink r:id="rId898" ref="C851"/>
    <hyperlink r:id="rId899" ref="C852"/>
    <hyperlink r:id="rId900" ref="C853"/>
    <hyperlink r:id="rId901" ref="C854"/>
    <hyperlink r:id="rId902" ref="C855"/>
    <hyperlink r:id="rId903" ref="C856"/>
    <hyperlink r:id="rId904" ref="C857"/>
    <hyperlink r:id="rId905" ref="C858"/>
    <hyperlink r:id="rId906" ref="C859"/>
    <hyperlink r:id="rId907" ref="C860"/>
    <hyperlink r:id="rId908" ref="C861"/>
    <hyperlink r:id="rId909" ref="C862"/>
    <hyperlink r:id="rId910" ref="C863"/>
    <hyperlink r:id="rId911" ref="C864"/>
    <hyperlink r:id="rId912" ref="C865"/>
    <hyperlink r:id="rId913" ref="C866"/>
    <hyperlink r:id="rId914" ref="C867"/>
    <hyperlink r:id="rId915" ref="C868"/>
    <hyperlink r:id="rId916" ref="C869"/>
    <hyperlink r:id="rId917" ref="C870"/>
    <hyperlink r:id="rId918" ref="C871"/>
    <hyperlink r:id="rId919" ref="C872"/>
    <hyperlink r:id="rId920" ref="C873"/>
    <hyperlink r:id="rId921" ref="C874"/>
    <hyperlink r:id="rId922" ref="C875"/>
    <hyperlink r:id="rId923" ref="C876"/>
    <hyperlink r:id="rId924" ref="C877"/>
    <hyperlink r:id="rId925" ref="C878"/>
    <hyperlink r:id="rId926" ref="C879"/>
    <hyperlink r:id="rId927" ref="C880"/>
    <hyperlink r:id="rId928" ref="C881"/>
    <hyperlink r:id="rId929" ref="C882"/>
    <hyperlink r:id="rId930" ref="C883"/>
    <hyperlink r:id="rId931" ref="C884"/>
    <hyperlink r:id="rId932" ref="C885"/>
    <hyperlink r:id="rId933" ref="C886"/>
    <hyperlink r:id="rId934" ref="C887"/>
    <hyperlink r:id="rId935" ref="C888"/>
    <hyperlink r:id="rId936" ref="C889"/>
    <hyperlink r:id="rId937" ref="C890"/>
    <hyperlink r:id="rId938" ref="C891"/>
    <hyperlink r:id="rId939" ref="C892"/>
    <hyperlink r:id="rId940" ref="C893"/>
    <hyperlink r:id="rId941" ref="C894"/>
    <hyperlink r:id="rId942" ref="C895"/>
    <hyperlink r:id="rId943" ref="C896"/>
    <hyperlink r:id="rId944" ref="C897"/>
    <hyperlink r:id="rId945" ref="C898"/>
    <hyperlink r:id="rId946" ref="C899"/>
    <hyperlink r:id="rId947" ref="C900"/>
    <hyperlink r:id="rId948" ref="C901"/>
    <hyperlink r:id="rId949" ref="C902"/>
    <hyperlink r:id="rId950" ref="C903"/>
    <hyperlink r:id="rId951" ref="C904"/>
    <hyperlink r:id="rId952" ref="C905"/>
    <hyperlink r:id="rId953" ref="C906"/>
    <hyperlink r:id="rId954" ref="C907"/>
    <hyperlink r:id="rId955" ref="C908"/>
    <hyperlink r:id="rId956" ref="C909"/>
    <hyperlink r:id="rId957" ref="C910"/>
    <hyperlink r:id="rId958" ref="C911"/>
    <hyperlink r:id="rId959" ref="C912"/>
    <hyperlink r:id="rId960" ref="C913"/>
    <hyperlink r:id="rId961" ref="C914"/>
    <hyperlink r:id="rId962" ref="C915"/>
    <hyperlink r:id="rId963" ref="C916"/>
    <hyperlink r:id="rId964" ref="C917"/>
    <hyperlink r:id="rId965" ref="C918"/>
    <hyperlink r:id="rId966" ref="C919"/>
    <hyperlink r:id="rId967" ref="C920"/>
    <hyperlink r:id="rId968" ref="C921"/>
    <hyperlink r:id="rId969" ref="C922"/>
    <hyperlink r:id="rId970" ref="C923"/>
    <hyperlink r:id="rId971" ref="C924"/>
    <hyperlink r:id="rId972" ref="C925"/>
    <hyperlink r:id="rId973" ref="C926"/>
    <hyperlink r:id="rId974" ref="C927"/>
    <hyperlink r:id="rId975" ref="C928"/>
    <hyperlink r:id="rId976" ref="C929"/>
    <hyperlink r:id="rId977" ref="C930"/>
    <hyperlink r:id="rId978" ref="C931"/>
    <hyperlink r:id="rId979" ref="C932"/>
    <hyperlink r:id="rId980" ref="C933"/>
    <hyperlink r:id="rId981" ref="C934"/>
    <hyperlink r:id="rId982" ref="C935"/>
    <hyperlink r:id="rId983" ref="C936"/>
    <hyperlink r:id="rId984" ref="C937"/>
    <hyperlink r:id="rId985" ref="C938"/>
    <hyperlink r:id="rId986" ref="C939"/>
    <hyperlink r:id="rId987" ref="C940"/>
    <hyperlink r:id="rId988" ref="C941"/>
    <hyperlink r:id="rId989" ref="C942"/>
    <hyperlink r:id="rId990" ref="C943"/>
    <hyperlink r:id="rId991" ref="C944"/>
    <hyperlink r:id="rId992" ref="C946"/>
    <hyperlink r:id="rId993" ref="C947"/>
    <hyperlink r:id="rId994" ref="C948"/>
    <hyperlink r:id="rId995" ref="C949"/>
    <hyperlink r:id="rId996" ref="C950"/>
    <hyperlink r:id="rId997" ref="C951"/>
    <hyperlink r:id="rId998" ref="C952"/>
    <hyperlink r:id="rId999" ref="C953"/>
    <hyperlink r:id="rId1000" ref="C954"/>
    <hyperlink r:id="rId1001" ref="C955"/>
    <hyperlink r:id="rId1002" ref="C956"/>
    <hyperlink r:id="rId1003" ref="C957"/>
    <hyperlink r:id="rId1004" ref="C958"/>
    <hyperlink r:id="rId1005" ref="C959"/>
    <hyperlink r:id="rId1006" ref="C960"/>
    <hyperlink r:id="rId1007" ref="C961"/>
    <hyperlink r:id="rId1008" ref="C962"/>
    <hyperlink r:id="rId1009" ref="C963"/>
    <hyperlink r:id="rId1010" ref="C964"/>
    <hyperlink r:id="rId1011" ref="C965"/>
    <hyperlink r:id="rId1012" ref="C966"/>
    <hyperlink r:id="rId1013" ref="C967"/>
    <hyperlink r:id="rId1014" ref="C968"/>
    <hyperlink r:id="rId1015" ref="C969"/>
    <hyperlink r:id="rId1016" ref="C970"/>
    <hyperlink r:id="rId1017" ref="C971"/>
    <hyperlink r:id="rId1018" ref="C972"/>
    <hyperlink r:id="rId1019" ref="C973"/>
    <hyperlink r:id="rId1020" ref="C974"/>
    <hyperlink r:id="rId1021" ref="C975"/>
    <hyperlink r:id="rId1022" ref="C976"/>
    <hyperlink r:id="rId1023" ref="C977"/>
    <hyperlink r:id="rId1024" ref="C979"/>
    <hyperlink r:id="rId1025" ref="C980"/>
    <hyperlink r:id="rId1026" ref="C981"/>
    <hyperlink r:id="rId1027" ref="C982"/>
    <hyperlink r:id="rId1028" ref="C983"/>
    <hyperlink r:id="rId1029" ref="C984"/>
    <hyperlink r:id="rId1030" ref="C985"/>
    <hyperlink r:id="rId1031" ref="C986"/>
    <hyperlink r:id="rId1032" ref="C987"/>
    <hyperlink r:id="rId1033" ref="C988"/>
    <hyperlink r:id="rId1034" ref="C989"/>
    <hyperlink r:id="rId1035" ref="C990"/>
    <hyperlink r:id="rId1036" ref="C991"/>
    <hyperlink r:id="rId1037" ref="C992"/>
    <hyperlink r:id="rId1038" ref="C993"/>
    <hyperlink r:id="rId1039" ref="C995"/>
    <hyperlink r:id="rId1040" ref="C996"/>
    <hyperlink r:id="rId1041" ref="C997"/>
    <hyperlink r:id="rId1042" ref="C998"/>
    <hyperlink r:id="rId1043" ref="C1000"/>
    <hyperlink r:id="rId1044" ref="C1001"/>
    <hyperlink r:id="rId1045" ref="C1002"/>
    <hyperlink r:id="rId1046" ref="C1003"/>
    <hyperlink r:id="rId1047" ref="C1004"/>
    <hyperlink r:id="rId1048" ref="C1005"/>
    <hyperlink r:id="rId1049" ref="C1006"/>
    <hyperlink r:id="rId1050" ref="C1007"/>
    <hyperlink r:id="rId1051" ref="C1008"/>
    <hyperlink r:id="rId1052" ref="C1009"/>
    <hyperlink r:id="rId1053" ref="C1010"/>
    <hyperlink r:id="rId1054" ref="C1011"/>
    <hyperlink r:id="rId1055" ref="C1012"/>
    <hyperlink r:id="rId1056" ref="C1013"/>
    <hyperlink r:id="rId1057" ref="C1014"/>
    <hyperlink r:id="rId1058" ref="C1015"/>
    <hyperlink r:id="rId1059" ref="C1016"/>
    <hyperlink r:id="rId1060" ref="C1017"/>
    <hyperlink r:id="rId1061" ref="C1018"/>
    <hyperlink r:id="rId1062" ref="C1019"/>
    <hyperlink r:id="rId1063" ref="C1020"/>
    <hyperlink r:id="rId1064" ref="C1021"/>
    <hyperlink r:id="rId1065" ref="C1022"/>
    <hyperlink r:id="rId1066" ref="C1023"/>
    <hyperlink r:id="rId1067" ref="C1024"/>
    <hyperlink r:id="rId1068" ref="C1025"/>
    <hyperlink r:id="rId1069" ref="C1026"/>
    <hyperlink r:id="rId1070" ref="C1027"/>
    <hyperlink r:id="rId1071" ref="C1028"/>
    <hyperlink r:id="rId1072" ref="C1029"/>
    <hyperlink r:id="rId1073" ref="C1030"/>
    <hyperlink r:id="rId1074" ref="C1031"/>
    <hyperlink r:id="rId1075" ref="C1032"/>
    <hyperlink r:id="rId1076" ref="C1033"/>
    <hyperlink r:id="rId1077" ref="C1034"/>
    <hyperlink r:id="rId1078" ref="C1035"/>
    <hyperlink r:id="rId1079" ref="C1036"/>
    <hyperlink r:id="rId1080" ref="C1037"/>
    <hyperlink r:id="rId1081" ref="C1038"/>
    <hyperlink r:id="rId1082" ref="C1039"/>
    <hyperlink r:id="rId1083" ref="C1040"/>
    <hyperlink r:id="rId1084" ref="C1041"/>
    <hyperlink r:id="rId1085" ref="C1042"/>
    <hyperlink r:id="rId1086" ref="C1043"/>
    <hyperlink r:id="rId1087" ref="C1044"/>
    <hyperlink r:id="rId1088" ref="C1045"/>
    <hyperlink r:id="rId1089" ref="C1046"/>
    <hyperlink r:id="rId1090" ref="C1047"/>
    <hyperlink r:id="rId1091" ref="C1048"/>
    <hyperlink r:id="rId1092" ref="C1049"/>
    <hyperlink r:id="rId1093" ref="C1050"/>
    <hyperlink r:id="rId1094" ref="C1051"/>
    <hyperlink r:id="rId1095" ref="C1052"/>
    <hyperlink r:id="rId1096" ref="C1053"/>
    <hyperlink r:id="rId1097" ref="C1054"/>
    <hyperlink r:id="rId1098" ref="C1055"/>
    <hyperlink r:id="rId1099" ref="C1056"/>
    <hyperlink r:id="rId1100" ref="C1057"/>
    <hyperlink r:id="rId1101" ref="C1058"/>
    <hyperlink r:id="rId1102" ref="C1059"/>
    <hyperlink r:id="rId1103" ref="C1060"/>
    <hyperlink r:id="rId1104" ref="C1061"/>
    <hyperlink r:id="rId1105" ref="C1062"/>
    <hyperlink r:id="rId1106" ref="C1063"/>
    <hyperlink r:id="rId1107" ref="C1064"/>
    <hyperlink r:id="rId1108" ref="C1065"/>
    <hyperlink r:id="rId1109" ref="C1066"/>
    <hyperlink r:id="rId1110" ref="C1067"/>
    <hyperlink r:id="rId1111" ref="C1068"/>
    <hyperlink r:id="rId1112" ref="C1069"/>
    <hyperlink r:id="rId1113" ref="C1070"/>
    <hyperlink r:id="rId1114" ref="C1071"/>
    <hyperlink r:id="rId1115" ref="C1072"/>
    <hyperlink r:id="rId1116" ref="C1073"/>
    <hyperlink r:id="rId1117" ref="C1074"/>
    <hyperlink r:id="rId1118" ref="C1075"/>
    <hyperlink r:id="rId1119" ref="C1076"/>
    <hyperlink r:id="rId1120" ref="C1077"/>
    <hyperlink r:id="rId1121" ref="C1078"/>
    <hyperlink r:id="rId1122" ref="C1079"/>
    <hyperlink r:id="rId1123" ref="C1080"/>
    <hyperlink r:id="rId1124" ref="C1081"/>
    <hyperlink r:id="rId1125" ref="C1082"/>
    <hyperlink r:id="rId1126" ref="C1083"/>
    <hyperlink r:id="rId1127" ref="C1084"/>
    <hyperlink r:id="rId1128" ref="C1085"/>
    <hyperlink r:id="rId1129" ref="C1086"/>
    <hyperlink r:id="rId1130" ref="C1087"/>
    <hyperlink r:id="rId1131" ref="C1088"/>
    <hyperlink r:id="rId1132" ref="C1089"/>
    <hyperlink r:id="rId1133" ref="C1090"/>
    <hyperlink r:id="rId1134" ref="C1091"/>
    <hyperlink r:id="rId1135" ref="C1092"/>
    <hyperlink r:id="rId1136" ref="C1093"/>
    <hyperlink r:id="rId1137" ref="C1094"/>
    <hyperlink r:id="rId1138" ref="C1095"/>
    <hyperlink r:id="rId1139" ref="C1096"/>
    <hyperlink r:id="rId1140" ref="C1097"/>
    <hyperlink r:id="rId1141" ref="C1098"/>
    <hyperlink r:id="rId1142" ref="C1099"/>
    <hyperlink r:id="rId1143" ref="C1100"/>
    <hyperlink r:id="rId1144" ref="C1101"/>
    <hyperlink r:id="rId1145" ref="C1102"/>
    <hyperlink r:id="rId1146" ref="C1128"/>
    <hyperlink r:id="rId1147" ref="C1129"/>
    <hyperlink r:id="rId1148" ref="C1130"/>
    <hyperlink r:id="rId1149" ref="C1131"/>
    <hyperlink r:id="rId1150" ref="C1132"/>
    <hyperlink r:id="rId1151" ref="C1133"/>
    <hyperlink r:id="rId1152" ref="C1134"/>
    <hyperlink r:id="rId1153" ref="C1135"/>
    <hyperlink r:id="rId1154" ref="C1136"/>
    <hyperlink r:id="rId1155" ref="C1137"/>
    <hyperlink r:id="rId1156" ref="C1138"/>
    <hyperlink r:id="rId1157" ref="C1139"/>
    <hyperlink r:id="rId1158" ref="C1140"/>
    <hyperlink r:id="rId1159" ref="C1142"/>
    <hyperlink r:id="rId1160" ref="C1143"/>
    <hyperlink r:id="rId1161" ref="C1144"/>
    <hyperlink r:id="rId1162" ref="C1146"/>
    <hyperlink r:id="rId1163" ref="C1147"/>
    <hyperlink r:id="rId1164" ref="C1148"/>
    <hyperlink r:id="rId1165" ref="C1149"/>
    <hyperlink r:id="rId1166" ref="C1150"/>
    <hyperlink r:id="rId1167" ref="C1151"/>
    <hyperlink r:id="rId1168" ref="C1152"/>
    <hyperlink r:id="rId1169" ref="C1153"/>
    <hyperlink r:id="rId1170" ref="C1154"/>
    <hyperlink r:id="rId1171" ref="C1155"/>
    <hyperlink r:id="rId1172" ref="C1156"/>
    <hyperlink r:id="rId1173" ref="C1157"/>
    <hyperlink r:id="rId1174" ref="C1158"/>
    <hyperlink r:id="rId1175" ref="C1159"/>
    <hyperlink r:id="rId1176" ref="C1160"/>
    <hyperlink r:id="rId1177" ref="C1162"/>
    <hyperlink r:id="rId1178" ref="C1163"/>
    <hyperlink r:id="rId1179" ref="C1164"/>
    <hyperlink r:id="rId1180" ref="C1165"/>
    <hyperlink r:id="rId1181" ref="C1166"/>
    <hyperlink r:id="rId1182" ref="C1167"/>
    <hyperlink r:id="rId1183" ref="C1168"/>
    <hyperlink r:id="rId1184" ref="C1169"/>
    <hyperlink r:id="rId1185" ref="C1170"/>
    <hyperlink r:id="rId1186" ref="C1171"/>
    <hyperlink r:id="rId1187" ref="C1172"/>
    <hyperlink r:id="rId1188" ref="C1173"/>
    <hyperlink r:id="rId1189" ref="C1174"/>
    <hyperlink r:id="rId1190" ref="C1175"/>
    <hyperlink r:id="rId1191" ref="C1176"/>
    <hyperlink r:id="rId1192" ref="C1177"/>
    <hyperlink r:id="rId1193" ref="C1178"/>
    <hyperlink r:id="rId1194" ref="C1179"/>
    <hyperlink r:id="rId1195" ref="C1180"/>
    <hyperlink r:id="rId1196" ref="C1181"/>
    <hyperlink r:id="rId1197" ref="C1182"/>
    <hyperlink r:id="rId1198" ref="C1183"/>
    <hyperlink r:id="rId1199" ref="C1184"/>
    <hyperlink r:id="rId1200" ref="C1185"/>
    <hyperlink r:id="rId1201" ref="C1186"/>
    <hyperlink r:id="rId1202" ref="C1187"/>
    <hyperlink r:id="rId1203" ref="C1188"/>
    <hyperlink r:id="rId1204" ref="C1189"/>
    <hyperlink r:id="rId1205" ref="C1190"/>
    <hyperlink r:id="rId1206" ref="C1191"/>
    <hyperlink r:id="rId1207" ref="C1192"/>
    <hyperlink r:id="rId1208" ref="C1193"/>
    <hyperlink r:id="rId1209" ref="C1194"/>
    <hyperlink r:id="rId1210" ref="C1195"/>
    <hyperlink r:id="rId1211" ref="C1196"/>
    <hyperlink r:id="rId1212" ref="C1197"/>
    <hyperlink r:id="rId1213" ref="C1198"/>
    <hyperlink r:id="rId1214" ref="C1199"/>
    <hyperlink r:id="rId1215" ref="C1200"/>
    <hyperlink r:id="rId1216" ref="C1201"/>
    <hyperlink r:id="rId1217" ref="C1202"/>
    <hyperlink r:id="rId1218" ref="C1203"/>
    <hyperlink r:id="rId1219" ref="C1204"/>
    <hyperlink r:id="rId1220" ref="C1205"/>
    <hyperlink r:id="rId1221" ref="C1206"/>
    <hyperlink r:id="rId1222" ref="C1207"/>
    <hyperlink r:id="rId1223" ref="C1208"/>
    <hyperlink r:id="rId1224" ref="C1209"/>
    <hyperlink r:id="rId1225" ref="C1210"/>
    <hyperlink r:id="rId1226" ref="C1211"/>
    <hyperlink r:id="rId1227" ref="C1212"/>
    <hyperlink r:id="rId1228" ref="C1213"/>
    <hyperlink r:id="rId1229" ref="C1214"/>
    <hyperlink r:id="rId1230" ref="C1215"/>
    <hyperlink r:id="rId1231" ref="C1216"/>
    <hyperlink r:id="rId1232" ref="C1217"/>
    <hyperlink r:id="rId1233" ref="C1218"/>
    <hyperlink r:id="rId1234" ref="C1219"/>
    <hyperlink r:id="rId1235" ref="C1220"/>
    <hyperlink r:id="rId1236" ref="C1221"/>
    <hyperlink r:id="rId1237" ref="C1222"/>
    <hyperlink r:id="rId1238" ref="C1223"/>
    <hyperlink r:id="rId1239" ref="C1224"/>
    <hyperlink r:id="rId1240" ref="C1225"/>
    <hyperlink r:id="rId1241" ref="C1226"/>
    <hyperlink r:id="rId1242" ref="C1227"/>
    <hyperlink r:id="rId1243" ref="C1228"/>
    <hyperlink r:id="rId1244" ref="C1229"/>
    <hyperlink r:id="rId1245" ref="C1230"/>
    <hyperlink r:id="rId1246" ref="C1231"/>
    <hyperlink r:id="rId1247" ref="C1232"/>
    <hyperlink r:id="rId1248" ref="C1233"/>
    <hyperlink r:id="rId1249" ref="C1234"/>
    <hyperlink r:id="rId1250" ref="C1235"/>
    <hyperlink r:id="rId1251" ref="C1236"/>
    <hyperlink r:id="rId1252" ref="C1237"/>
    <hyperlink r:id="rId1253" ref="C1238"/>
    <hyperlink r:id="rId1254" ref="C1239"/>
    <hyperlink r:id="rId1255" ref="C1240"/>
    <hyperlink r:id="rId1256" ref="C1241"/>
    <hyperlink r:id="rId1257" ref="C1242"/>
    <hyperlink r:id="rId1258" ref="C1243"/>
    <hyperlink r:id="rId1259" ref="C1244"/>
    <hyperlink r:id="rId1260" ref="C1245"/>
    <hyperlink r:id="rId1261" ref="C1246"/>
    <hyperlink r:id="rId1262" ref="C1247"/>
    <hyperlink r:id="rId1263" ref="C1248"/>
    <hyperlink r:id="rId1264" ref="C1249"/>
    <hyperlink r:id="rId1265" ref="C1250"/>
    <hyperlink r:id="rId1266" ref="C1251"/>
    <hyperlink r:id="rId1267" ref="C1252"/>
    <hyperlink r:id="rId1268" ref="C1253"/>
    <hyperlink r:id="rId1269" ref="C1254"/>
    <hyperlink r:id="rId1270" ref="C1255"/>
    <hyperlink r:id="rId1271" ref="C1256"/>
    <hyperlink r:id="rId1272" ref="C1257"/>
    <hyperlink r:id="rId1273" ref="C1258"/>
    <hyperlink r:id="rId1274" ref="C1259"/>
    <hyperlink r:id="rId1275" ref="C1260"/>
    <hyperlink r:id="rId1276" ref="C1261"/>
    <hyperlink r:id="rId1277" ref="C1262"/>
    <hyperlink r:id="rId1278" ref="C1263"/>
    <hyperlink r:id="rId1279" ref="C1264"/>
    <hyperlink r:id="rId1280" ref="C1265"/>
    <hyperlink r:id="rId1281" ref="C1266"/>
    <hyperlink r:id="rId1282" ref="C1267"/>
    <hyperlink r:id="rId1283" ref="C1268"/>
    <hyperlink r:id="rId1284" ref="C1269"/>
    <hyperlink r:id="rId1285" ref="C1270"/>
    <hyperlink r:id="rId1286" ref="C1271"/>
    <hyperlink r:id="rId1287" ref="C1272"/>
    <hyperlink r:id="rId1288" ref="C1273"/>
    <hyperlink r:id="rId1289" ref="C1274"/>
    <hyperlink r:id="rId1290" ref="C1275"/>
    <hyperlink r:id="rId1291" ref="C1276"/>
    <hyperlink r:id="rId1292" ref="C1277"/>
    <hyperlink r:id="rId1293" ref="C1278"/>
    <hyperlink r:id="rId1294" ref="C1279"/>
    <hyperlink r:id="rId1295" ref="C1280"/>
    <hyperlink r:id="rId1296" ref="C1281"/>
    <hyperlink r:id="rId1297" ref="C1282"/>
    <hyperlink r:id="rId1298" ref="C1283"/>
    <hyperlink r:id="rId1299" ref="C1284"/>
    <hyperlink r:id="rId1300" ref="C1285"/>
    <hyperlink r:id="rId1301" ref="C1286"/>
    <hyperlink r:id="rId1302" ref="C1287"/>
    <hyperlink r:id="rId1303" ref="C1288"/>
    <hyperlink r:id="rId1304" ref="C1289"/>
    <hyperlink r:id="rId1305" ref="C1290"/>
    <hyperlink r:id="rId1306" ref="C1291"/>
    <hyperlink r:id="rId1307" ref="C1292"/>
    <hyperlink r:id="rId1308" ref="C1293"/>
    <hyperlink r:id="rId1309" ref="C1294"/>
    <hyperlink r:id="rId1310" ref="C1295"/>
    <hyperlink r:id="rId1311" ref="C1297"/>
    <hyperlink r:id="rId1312" ref="C1298"/>
    <hyperlink r:id="rId1313" ref="C1299"/>
    <hyperlink r:id="rId1314" ref="C1300"/>
    <hyperlink r:id="rId1315" ref="C1301"/>
    <hyperlink r:id="rId1316" ref="C1302"/>
    <hyperlink r:id="rId1317" ref="C1303"/>
    <hyperlink r:id="rId1318" ref="C1304"/>
    <hyperlink r:id="rId1319" ref="C1305"/>
    <hyperlink r:id="rId1320" ref="C1306"/>
    <hyperlink r:id="rId1321" ref="C1307"/>
    <hyperlink r:id="rId1322" ref="C1308"/>
    <hyperlink r:id="rId1323" ref="C1309"/>
    <hyperlink r:id="rId1324" ref="C1310"/>
    <hyperlink r:id="rId1325" ref="C1311"/>
    <hyperlink r:id="rId1326" ref="C1312"/>
    <hyperlink r:id="rId1327" ref="C1313"/>
    <hyperlink r:id="rId1328" ref="C1314"/>
    <hyperlink r:id="rId1329" ref="C1315"/>
    <hyperlink r:id="rId1330" ref="C1316"/>
    <hyperlink r:id="rId1331" ref="C1317"/>
    <hyperlink r:id="rId1332" ref="C1318"/>
    <hyperlink r:id="rId1333" ref="C1319"/>
    <hyperlink r:id="rId1334" ref="C1320"/>
    <hyperlink r:id="rId1335" ref="C1321"/>
    <hyperlink r:id="rId1336" ref="C1322"/>
    <hyperlink r:id="rId1337" ref="C1323"/>
    <hyperlink r:id="rId1338" ref="C1324"/>
    <hyperlink r:id="rId1339" ref="C1325"/>
    <hyperlink r:id="rId1340" ref="C1326"/>
    <hyperlink r:id="rId1341" ref="C1327"/>
    <hyperlink r:id="rId1342" ref="C1328"/>
    <hyperlink r:id="rId1343" ref="C1329"/>
    <hyperlink r:id="rId1344" ref="C1330"/>
    <hyperlink r:id="rId1345" ref="C1331"/>
    <hyperlink r:id="rId1346" ref="C1332"/>
    <hyperlink r:id="rId1347" ref="C1333"/>
    <hyperlink r:id="rId1348" ref="C1334"/>
    <hyperlink r:id="rId1349" ref="C1335"/>
    <hyperlink r:id="rId1350" ref="C1336"/>
    <hyperlink r:id="rId1351" ref="C1337"/>
    <hyperlink r:id="rId1352" ref="C1338"/>
    <hyperlink r:id="rId1353" ref="C1339"/>
    <hyperlink r:id="rId1354" ref="C1340"/>
    <hyperlink r:id="rId1355" ref="C1341"/>
    <hyperlink r:id="rId1356" ref="C1342"/>
    <hyperlink r:id="rId1357" ref="C1343"/>
    <hyperlink r:id="rId1358" ref="C1344"/>
    <hyperlink r:id="rId1359" ref="C1345"/>
    <hyperlink r:id="rId1360" ref="C1346"/>
    <hyperlink r:id="rId1361" ref="C1347"/>
    <hyperlink r:id="rId1362" ref="C1348"/>
    <hyperlink r:id="rId1363" ref="C1349"/>
    <hyperlink r:id="rId1364" ref="C1350"/>
    <hyperlink r:id="rId1365" ref="C1351"/>
    <hyperlink r:id="rId1366" ref="C1352"/>
    <hyperlink r:id="rId1367" ref="C1353"/>
    <hyperlink r:id="rId1368" ref="C1354"/>
    <hyperlink r:id="rId1369" ref="C1355"/>
    <hyperlink r:id="rId1370" ref="C1356"/>
    <hyperlink r:id="rId1371" ref="C1358"/>
    <hyperlink r:id="rId1372" ref="C1359"/>
    <hyperlink r:id="rId1373" ref="C1360"/>
    <hyperlink r:id="rId1374" ref="C1361"/>
    <hyperlink r:id="rId1375" ref="C1362"/>
    <hyperlink r:id="rId1376" ref="C1363"/>
    <hyperlink r:id="rId1377" ref="C1364"/>
    <hyperlink r:id="rId1378" ref="C1365"/>
    <hyperlink r:id="rId1379" ref="C1366"/>
    <hyperlink r:id="rId1380" ref="C1367"/>
    <hyperlink r:id="rId1381" ref="C1368"/>
    <hyperlink r:id="rId1382" ref="C1369"/>
    <hyperlink r:id="rId1383" ref="C1370"/>
    <hyperlink r:id="rId1384" ref="C1371"/>
    <hyperlink r:id="rId1385" ref="C1372"/>
    <hyperlink r:id="rId1386" ref="C1373"/>
    <hyperlink r:id="rId1387" ref="C1374"/>
    <hyperlink r:id="rId1388" ref="C1375"/>
    <hyperlink r:id="rId1389" ref="C1376"/>
    <hyperlink r:id="rId1390" ref="C1377"/>
    <hyperlink r:id="rId1391" ref="C1378"/>
    <hyperlink r:id="rId1392" ref="C1379"/>
    <hyperlink r:id="rId1393" ref="C1380"/>
    <hyperlink r:id="rId1394" ref="C1381"/>
    <hyperlink r:id="rId1395" ref="C1382"/>
    <hyperlink r:id="rId1396" ref="C1383"/>
    <hyperlink r:id="rId1397" ref="C1384"/>
    <hyperlink r:id="rId1398" ref="C1385"/>
    <hyperlink r:id="rId1399" ref="C1386"/>
    <hyperlink r:id="rId1400" ref="C1387"/>
    <hyperlink r:id="rId1401" ref="C1388"/>
    <hyperlink r:id="rId1402" ref="C1389"/>
    <hyperlink r:id="rId1403" ref="C1390"/>
    <hyperlink r:id="rId1404" ref="C1391"/>
    <hyperlink r:id="rId1405" ref="C1392"/>
    <hyperlink r:id="rId1406" ref="C1393"/>
    <hyperlink r:id="rId1407" ref="C1394"/>
    <hyperlink r:id="rId1408" ref="C1395"/>
    <hyperlink r:id="rId1409" ref="C1396"/>
    <hyperlink r:id="rId1410" ref="C1397"/>
    <hyperlink r:id="rId1411" ref="C1398"/>
    <hyperlink r:id="rId1412" ref="C1399"/>
    <hyperlink r:id="rId1413" ref="C1400"/>
    <hyperlink r:id="rId1414" ref="C1401"/>
    <hyperlink r:id="rId1415" ref="C1402"/>
    <hyperlink r:id="rId1416" ref="C1403"/>
    <hyperlink r:id="rId1417" ref="C1404"/>
    <hyperlink r:id="rId1418" ref="C1405"/>
    <hyperlink r:id="rId1419" ref="C1406"/>
    <hyperlink r:id="rId1420" ref="C1407"/>
    <hyperlink r:id="rId1421" ref="C1408"/>
    <hyperlink r:id="rId1422" ref="C1409"/>
    <hyperlink r:id="rId1423" ref="C1410"/>
    <hyperlink r:id="rId1424" ref="C1411"/>
    <hyperlink r:id="rId1425" ref="C1412"/>
    <hyperlink r:id="rId1426" ref="C1413"/>
    <hyperlink r:id="rId1427" ref="C1414"/>
    <hyperlink r:id="rId1428" ref="C1415"/>
    <hyperlink r:id="rId1429" ref="C1416"/>
    <hyperlink r:id="rId1430" ref="C1417"/>
    <hyperlink r:id="rId1431" ref="C1418"/>
    <hyperlink r:id="rId1432" ref="C1419"/>
    <hyperlink r:id="rId1433" ref="C1420"/>
    <hyperlink r:id="rId1434" ref="C1421"/>
    <hyperlink r:id="rId1435" ref="C1422"/>
    <hyperlink r:id="rId1436" ref="C1423"/>
    <hyperlink r:id="rId1437" ref="C1424"/>
    <hyperlink r:id="rId1438" ref="C1425"/>
    <hyperlink r:id="rId1439" ref="C1426"/>
    <hyperlink r:id="rId1440" ref="C1427"/>
    <hyperlink r:id="rId1441" ref="C1428"/>
    <hyperlink r:id="rId1442" ref="C1429"/>
    <hyperlink r:id="rId1443" ref="C1430"/>
    <hyperlink r:id="rId1444" ref="C1431"/>
    <hyperlink r:id="rId1445" ref="C1433"/>
    <hyperlink r:id="rId1446" ref="C1434"/>
    <hyperlink r:id="rId1447" ref="C1435"/>
    <hyperlink r:id="rId1448" ref="C1436"/>
    <hyperlink r:id="rId1449" ref="C1438"/>
    <hyperlink r:id="rId1450" ref="C1439"/>
    <hyperlink r:id="rId1451" ref="C1440"/>
    <hyperlink r:id="rId1452" ref="C1441"/>
    <hyperlink r:id="rId1453" ref="C1442"/>
    <hyperlink r:id="rId1454" ref="C1443"/>
    <hyperlink r:id="rId1455" ref="C1444"/>
    <hyperlink r:id="rId1456" ref="C1445"/>
    <hyperlink r:id="rId1457" ref="C1446"/>
    <hyperlink r:id="rId1458" ref="C1447"/>
    <hyperlink r:id="rId1459" ref="A1448"/>
    <hyperlink r:id="rId1460" ref="C1448"/>
    <hyperlink r:id="rId1461" ref="C1449"/>
  </hyperlinks>
  <drawing r:id="rId14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88"/>
    <col customWidth="1" min="3" max="3" width="27.0"/>
  </cols>
  <sheetData>
    <row r="1">
      <c r="A1" s="5" t="s">
        <v>19</v>
      </c>
      <c r="B1" s="5" t="s">
        <v>30</v>
      </c>
      <c r="C1" s="5" t="s">
        <v>31</v>
      </c>
      <c r="D1" s="5" t="s">
        <v>32</v>
      </c>
    </row>
    <row r="2" hidden="1">
      <c r="A2" s="6">
        <v>2425.0</v>
      </c>
      <c r="B2" s="5" t="s">
        <v>35</v>
      </c>
      <c r="C2" s="2">
        <v>1.0</v>
      </c>
      <c r="D2" s="7"/>
    </row>
    <row r="3" hidden="1">
      <c r="A3" s="6">
        <v>2426.0</v>
      </c>
      <c r="B3" s="5" t="s">
        <v>36</v>
      </c>
      <c r="C3" s="2">
        <v>1.0</v>
      </c>
      <c r="D3" s="7"/>
    </row>
    <row r="4" hidden="1">
      <c r="A4" s="6">
        <v>2427.0</v>
      </c>
      <c r="B4" s="5" t="s">
        <v>37</v>
      </c>
      <c r="C4" s="2">
        <v>1.0</v>
      </c>
      <c r="D4" s="7"/>
    </row>
    <row r="5" hidden="1">
      <c r="A5" s="6">
        <v>2428.0</v>
      </c>
      <c r="B5" s="5" t="s">
        <v>38</v>
      </c>
      <c r="C5" s="2">
        <v>1.0</v>
      </c>
      <c r="D5" s="7"/>
    </row>
    <row r="6" hidden="1">
      <c r="A6" s="6">
        <v>2429.0</v>
      </c>
      <c r="B6" s="5" t="s">
        <v>39</v>
      </c>
      <c r="C6" s="2">
        <v>1.0</v>
      </c>
      <c r="D6" s="7"/>
    </row>
    <row r="7" hidden="1">
      <c r="A7" s="6">
        <v>2430.0</v>
      </c>
      <c r="B7" s="5" t="s">
        <v>40</v>
      </c>
      <c r="C7" s="2">
        <v>1.0</v>
      </c>
      <c r="D7" s="7"/>
    </row>
    <row r="8" hidden="1">
      <c r="A8" s="6">
        <v>2431.0</v>
      </c>
      <c r="B8" s="5" t="s">
        <v>41</v>
      </c>
      <c r="C8" s="2">
        <v>1.0</v>
      </c>
      <c r="D8" s="7"/>
    </row>
    <row r="9" hidden="1">
      <c r="A9" s="6">
        <v>2432.0</v>
      </c>
      <c r="B9" s="5" t="s">
        <v>42</v>
      </c>
      <c r="C9" s="2">
        <v>1.0</v>
      </c>
      <c r="D9" s="7"/>
    </row>
    <row r="10" hidden="1">
      <c r="A10" s="6">
        <v>2433.0</v>
      </c>
      <c r="B10" s="5" t="s">
        <v>43</v>
      </c>
      <c r="C10" s="2">
        <v>1.0</v>
      </c>
      <c r="D10" s="7"/>
    </row>
    <row r="11" hidden="1">
      <c r="A11" s="6">
        <v>2434.0</v>
      </c>
      <c r="B11" s="5" t="s">
        <v>44</v>
      </c>
      <c r="C11" s="2">
        <v>1.0</v>
      </c>
      <c r="D11" s="7"/>
    </row>
    <row r="12" hidden="1">
      <c r="A12" s="6">
        <v>2435.0</v>
      </c>
      <c r="B12" s="5" t="s">
        <v>45</v>
      </c>
      <c r="C12" s="2">
        <v>1.0</v>
      </c>
      <c r="D12" s="7"/>
    </row>
    <row r="13" hidden="1">
      <c r="A13" s="6">
        <v>2436.0</v>
      </c>
      <c r="B13" s="5" t="s">
        <v>46</v>
      </c>
      <c r="C13" s="2">
        <v>1.0</v>
      </c>
      <c r="D13" s="7"/>
    </row>
    <row r="14" hidden="1">
      <c r="A14" s="6">
        <v>2413.0</v>
      </c>
      <c r="B14" s="5" t="s">
        <v>47</v>
      </c>
      <c r="C14" s="2">
        <v>1.0</v>
      </c>
      <c r="D14" s="7"/>
    </row>
    <row r="15" hidden="1">
      <c r="A15" s="6">
        <v>2414.0</v>
      </c>
      <c r="B15" s="5" t="s">
        <v>48</v>
      </c>
      <c r="C15" s="2">
        <v>1.0</v>
      </c>
      <c r="D15" s="7"/>
    </row>
    <row r="16" hidden="1">
      <c r="A16" s="6">
        <v>2415.0</v>
      </c>
      <c r="B16" s="5" t="s">
        <v>49</v>
      </c>
      <c r="C16" s="2">
        <v>1.0</v>
      </c>
      <c r="D16" s="7"/>
    </row>
    <row r="17" hidden="1">
      <c r="A17" s="6">
        <v>2416.0</v>
      </c>
      <c r="B17" s="5" t="s">
        <v>51</v>
      </c>
      <c r="C17" s="2">
        <v>1.0</v>
      </c>
      <c r="D17" s="7"/>
    </row>
    <row r="18" hidden="1">
      <c r="A18" s="6">
        <v>2417.0</v>
      </c>
      <c r="B18" s="5" t="s">
        <v>52</v>
      </c>
      <c r="C18" s="2">
        <v>1.0</v>
      </c>
      <c r="D18" s="7"/>
    </row>
    <row r="19" hidden="1">
      <c r="A19" s="6">
        <v>2418.0</v>
      </c>
      <c r="B19" s="5" t="s">
        <v>53</v>
      </c>
      <c r="C19" s="2">
        <v>1.0</v>
      </c>
      <c r="D19" s="7"/>
    </row>
    <row r="20" hidden="1">
      <c r="A20" s="6">
        <v>2419.0</v>
      </c>
      <c r="B20" s="5" t="s">
        <v>54</v>
      </c>
      <c r="C20" s="2">
        <v>1.0</v>
      </c>
      <c r="D20" s="7"/>
    </row>
    <row r="21" hidden="1">
      <c r="A21" s="6">
        <v>2420.0</v>
      </c>
      <c r="B21" s="5" t="s">
        <v>55</v>
      </c>
      <c r="C21" s="2">
        <v>1.0</v>
      </c>
      <c r="D21" s="7"/>
    </row>
    <row r="22" hidden="1">
      <c r="A22" s="6">
        <v>2421.0</v>
      </c>
      <c r="B22" s="5" t="s">
        <v>56</v>
      </c>
      <c r="C22" s="2">
        <v>1.0</v>
      </c>
      <c r="D22" s="7"/>
    </row>
    <row r="23" hidden="1">
      <c r="A23" s="6">
        <v>2422.0</v>
      </c>
      <c r="B23" s="5" t="s">
        <v>57</v>
      </c>
      <c r="C23" s="2">
        <v>1.0</v>
      </c>
      <c r="D23" s="7"/>
    </row>
    <row r="24" hidden="1">
      <c r="A24" s="6">
        <v>2423.0</v>
      </c>
      <c r="B24" s="5" t="s">
        <v>58</v>
      </c>
      <c r="C24" s="2">
        <v>1.0</v>
      </c>
      <c r="D24" s="7"/>
    </row>
    <row r="25" hidden="1">
      <c r="A25" s="6">
        <v>2424.0</v>
      </c>
      <c r="B25" s="5" t="s">
        <v>59</v>
      </c>
      <c r="C25" s="2">
        <v>1.0</v>
      </c>
      <c r="D25" s="7"/>
    </row>
    <row r="26">
      <c r="A26" s="6">
        <v>2395.0</v>
      </c>
      <c r="B26" s="5" t="s">
        <v>27</v>
      </c>
      <c r="C26" s="8">
        <f>IFERROR(VLOOKUP(B26,'Лист1'!$A:$L,12,FALSE),"")</f>
        <v>50000</v>
      </c>
      <c r="D26" s="7">
        <f t="shared" ref="D26:D27" si="1">ROUND((C26*1.2)/36,0)</f>
        <v>1667</v>
      </c>
    </row>
    <row r="27">
      <c r="A27" s="6">
        <v>2396.0</v>
      </c>
      <c r="B27" s="5" t="s">
        <v>67</v>
      </c>
      <c r="C27" s="8">
        <f>IFERROR(VLOOKUP(B27,'Лист1'!$A:$L,12,FALSE),"")</f>
        <v>50000</v>
      </c>
      <c r="D27" s="7">
        <f t="shared" si="1"/>
        <v>1667</v>
      </c>
    </row>
    <row r="28" hidden="1">
      <c r="A28" s="6">
        <v>2397.0</v>
      </c>
      <c r="B28" s="5" t="s">
        <v>75</v>
      </c>
      <c r="C28" s="2">
        <v>1.0</v>
      </c>
      <c r="D28" s="7"/>
    </row>
    <row r="29" hidden="1">
      <c r="A29" s="6">
        <v>2398.0</v>
      </c>
      <c r="B29" s="5" t="s">
        <v>76</v>
      </c>
      <c r="C29" s="2">
        <v>1.0</v>
      </c>
      <c r="D29" s="7"/>
    </row>
    <row r="30" hidden="1">
      <c r="A30" s="6">
        <v>2399.0</v>
      </c>
      <c r="B30" s="5" t="s">
        <v>77</v>
      </c>
      <c r="C30" s="2">
        <v>1.0</v>
      </c>
      <c r="D30" s="7"/>
    </row>
    <row r="31" hidden="1">
      <c r="A31" s="6">
        <v>2400.0</v>
      </c>
      <c r="B31" s="5" t="s">
        <v>78</v>
      </c>
      <c r="C31" s="2">
        <v>1.0</v>
      </c>
      <c r="D31" s="7"/>
    </row>
    <row r="32" hidden="1">
      <c r="A32" s="6">
        <v>2401.0</v>
      </c>
      <c r="B32" s="5" t="s">
        <v>79</v>
      </c>
      <c r="C32" s="2">
        <v>1.0</v>
      </c>
      <c r="D32" s="7"/>
    </row>
    <row r="33" hidden="1">
      <c r="A33" s="6">
        <v>2402.0</v>
      </c>
      <c r="B33" s="5" t="s">
        <v>80</v>
      </c>
      <c r="C33" s="2">
        <v>1.0</v>
      </c>
      <c r="D33" s="7"/>
    </row>
    <row r="34" hidden="1">
      <c r="A34" s="6">
        <v>2403.0</v>
      </c>
      <c r="B34" s="5" t="s">
        <v>81</v>
      </c>
      <c r="C34" s="2">
        <v>1.0</v>
      </c>
      <c r="D34" s="7"/>
    </row>
    <row r="35" hidden="1">
      <c r="A35" s="6">
        <v>2404.0</v>
      </c>
      <c r="B35" s="5" t="s">
        <v>82</v>
      </c>
      <c r="C35" s="2">
        <v>1.0</v>
      </c>
      <c r="D35" s="7"/>
    </row>
    <row r="36" hidden="1">
      <c r="A36" s="6">
        <v>2405.0</v>
      </c>
      <c r="B36" s="5" t="s">
        <v>84</v>
      </c>
      <c r="C36" s="2">
        <v>1.0</v>
      </c>
      <c r="D36" s="7"/>
    </row>
    <row r="37" hidden="1">
      <c r="A37" s="6">
        <v>2406.0</v>
      </c>
      <c r="B37" s="5" t="s">
        <v>86</v>
      </c>
      <c r="C37" s="2">
        <v>1.0</v>
      </c>
      <c r="D37" s="7"/>
    </row>
    <row r="38" hidden="1">
      <c r="A38" s="6">
        <v>2407.0</v>
      </c>
      <c r="B38" s="5" t="s">
        <v>88</v>
      </c>
      <c r="C38" s="2">
        <v>1.0</v>
      </c>
      <c r="D38" s="7"/>
    </row>
    <row r="39" hidden="1">
      <c r="A39" s="6">
        <v>2408.0</v>
      </c>
      <c r="B39" s="5" t="s">
        <v>90</v>
      </c>
      <c r="C39" s="2">
        <v>1.0</v>
      </c>
      <c r="D39" s="7"/>
    </row>
    <row r="40" hidden="1">
      <c r="A40" s="6">
        <v>2409.0</v>
      </c>
      <c r="B40" s="5" t="s">
        <v>92</v>
      </c>
      <c r="C40" s="2">
        <v>1.0</v>
      </c>
      <c r="D40" s="7"/>
    </row>
    <row r="41" hidden="1">
      <c r="A41" s="6">
        <v>2410.0</v>
      </c>
      <c r="B41" s="5" t="s">
        <v>93</v>
      </c>
      <c r="C41" s="2">
        <v>1.0</v>
      </c>
      <c r="D41" s="7"/>
    </row>
    <row r="42" hidden="1">
      <c r="A42" s="6">
        <v>2411.0</v>
      </c>
      <c r="B42" s="5" t="s">
        <v>95</v>
      </c>
      <c r="C42" s="2">
        <v>1.0</v>
      </c>
      <c r="D42" s="7"/>
    </row>
    <row r="43" hidden="1">
      <c r="A43" s="6">
        <v>2412.0</v>
      </c>
      <c r="B43" s="5" t="s">
        <v>97</v>
      </c>
      <c r="C43" s="2">
        <v>1.0</v>
      </c>
      <c r="D43" s="7"/>
    </row>
    <row r="44">
      <c r="A44" s="6">
        <v>2380.0</v>
      </c>
      <c r="B44" s="5" t="s">
        <v>72</v>
      </c>
      <c r="C44" s="8">
        <f>IFERROR(VLOOKUP(B44,'Лист1'!$A:$L,12,FALSE),"")</f>
        <v>50000</v>
      </c>
      <c r="D44" s="7">
        <f>ROUND((C44*1.2)/36,0)</f>
        <v>1667</v>
      </c>
    </row>
    <row r="45" hidden="1">
      <c r="A45" s="6">
        <v>2381.0</v>
      </c>
      <c r="B45" s="5" t="s">
        <v>110</v>
      </c>
      <c r="C45" s="2">
        <v>1.0</v>
      </c>
      <c r="D45" s="7"/>
    </row>
    <row r="46" hidden="1">
      <c r="A46" s="6">
        <v>2382.0</v>
      </c>
      <c r="B46" s="5" t="s">
        <v>111</v>
      </c>
      <c r="C46" s="2">
        <v>1.0</v>
      </c>
      <c r="D46" s="7"/>
    </row>
    <row r="47" hidden="1">
      <c r="A47" s="6">
        <v>2383.0</v>
      </c>
      <c r="B47" s="5" t="s">
        <v>112</v>
      </c>
      <c r="C47" s="2">
        <v>1.0</v>
      </c>
      <c r="D47" s="7"/>
    </row>
    <row r="48" hidden="1">
      <c r="A48" s="6">
        <v>2384.0</v>
      </c>
      <c r="B48" s="5" t="s">
        <v>113</v>
      </c>
      <c r="C48" s="2">
        <v>1.0</v>
      </c>
      <c r="D48" s="7"/>
    </row>
    <row r="49" hidden="1">
      <c r="A49" s="6">
        <v>2385.0</v>
      </c>
      <c r="B49" s="5" t="s">
        <v>114</v>
      </c>
      <c r="C49" s="2">
        <v>1.0</v>
      </c>
      <c r="D49" s="7"/>
    </row>
    <row r="50" hidden="1">
      <c r="A50" s="6">
        <v>2386.0</v>
      </c>
      <c r="B50" s="5" t="s">
        <v>115</v>
      </c>
      <c r="C50" s="2">
        <v>1.0</v>
      </c>
      <c r="D50" s="7"/>
    </row>
    <row r="51" hidden="1">
      <c r="A51" s="6">
        <v>2387.0</v>
      </c>
      <c r="B51" s="5" t="s">
        <v>118</v>
      </c>
      <c r="C51" s="2">
        <v>1.0</v>
      </c>
      <c r="D51" s="7"/>
    </row>
    <row r="52" hidden="1">
      <c r="A52" s="6">
        <v>2388.0</v>
      </c>
      <c r="B52" s="5" t="s">
        <v>120</v>
      </c>
      <c r="C52" s="2">
        <v>1.0</v>
      </c>
      <c r="D52" s="7"/>
    </row>
    <row r="53" hidden="1">
      <c r="A53" s="6">
        <v>2389.0</v>
      </c>
      <c r="B53" s="5" t="s">
        <v>121</v>
      </c>
      <c r="C53" s="2">
        <v>1.0</v>
      </c>
      <c r="D53" s="7"/>
    </row>
    <row r="54" hidden="1">
      <c r="A54" s="6">
        <v>2390.0</v>
      </c>
      <c r="B54" s="5" t="s">
        <v>124</v>
      </c>
      <c r="C54" s="2">
        <v>1.0</v>
      </c>
      <c r="D54" s="7"/>
    </row>
    <row r="55" hidden="1">
      <c r="A55" s="6">
        <v>2391.0</v>
      </c>
      <c r="B55" s="5" t="s">
        <v>127</v>
      </c>
      <c r="C55" s="2">
        <v>1.0</v>
      </c>
      <c r="D55" s="7"/>
    </row>
    <row r="56" hidden="1">
      <c r="A56" s="6">
        <v>2392.0</v>
      </c>
      <c r="B56" s="5" t="s">
        <v>129</v>
      </c>
      <c r="C56" s="2">
        <v>1.0</v>
      </c>
      <c r="D56" s="7"/>
    </row>
    <row r="57" hidden="1">
      <c r="A57" s="6">
        <v>2393.0</v>
      </c>
      <c r="B57" s="5" t="s">
        <v>130</v>
      </c>
      <c r="C57" s="2">
        <v>1.0</v>
      </c>
      <c r="D57" s="7"/>
    </row>
    <row r="58" hidden="1">
      <c r="A58" s="6">
        <v>2394.0</v>
      </c>
      <c r="B58" s="5" t="s">
        <v>131</v>
      </c>
      <c r="C58" s="2">
        <v>1.0</v>
      </c>
      <c r="D58" s="7"/>
    </row>
    <row r="59">
      <c r="A59" s="6">
        <v>2350.0</v>
      </c>
      <c r="B59" s="5" t="s">
        <v>132</v>
      </c>
      <c r="C59" s="8">
        <f>IFERROR(VLOOKUP(B59,'Лист1'!$A:$L,12,FALSE),"")</f>
        <v>50000</v>
      </c>
      <c r="D59" s="7">
        <f t="shared" ref="D59:D68" si="2">ROUND((C59*1.2)/36,0)</f>
        <v>1667</v>
      </c>
    </row>
    <row r="60">
      <c r="A60" s="6">
        <v>2351.0</v>
      </c>
      <c r="B60" s="5" t="s">
        <v>126</v>
      </c>
      <c r="C60" s="8">
        <f>IFERROR(VLOOKUP(B60,'Лист1'!$A:$L,12,FALSE),"")</f>
        <v>50000</v>
      </c>
      <c r="D60" s="7">
        <f t="shared" si="2"/>
        <v>1667</v>
      </c>
    </row>
    <row r="61">
      <c r="A61" s="6">
        <v>2352.0</v>
      </c>
      <c r="B61" s="5" t="s">
        <v>96</v>
      </c>
      <c r="C61" s="8">
        <f>IFERROR(VLOOKUP(B61,'Лист1'!$A:$L,12,FALSE),"")</f>
        <v>50000</v>
      </c>
      <c r="D61" s="7">
        <f t="shared" si="2"/>
        <v>1667</v>
      </c>
    </row>
    <row r="62">
      <c r="A62" s="6">
        <v>2353.0</v>
      </c>
      <c r="B62" s="5" t="s">
        <v>169</v>
      </c>
      <c r="C62" s="8">
        <f>C60</f>
        <v>50000</v>
      </c>
      <c r="D62" s="7">
        <f t="shared" si="2"/>
        <v>1667</v>
      </c>
    </row>
    <row r="63">
      <c r="A63" s="6">
        <v>2354.0</v>
      </c>
      <c r="B63" s="5" t="s">
        <v>138</v>
      </c>
      <c r="C63" s="8">
        <f>IFERROR(VLOOKUP(B63,'Лист1'!$A:$L,12,FALSE),"")</f>
        <v>50000</v>
      </c>
      <c r="D63" s="7">
        <f t="shared" si="2"/>
        <v>1667</v>
      </c>
    </row>
    <row r="64">
      <c r="A64" s="6">
        <v>2355.0</v>
      </c>
      <c r="B64" s="5" t="s">
        <v>177</v>
      </c>
      <c r="C64" s="8">
        <f>IFERROR(VLOOKUP(B64,'Лист1'!$A:$L,12,FALSE),"")</f>
        <v>50000</v>
      </c>
      <c r="D64" s="7">
        <f t="shared" si="2"/>
        <v>1667</v>
      </c>
    </row>
    <row r="65">
      <c r="A65" s="6">
        <v>2356.0</v>
      </c>
      <c r="B65" s="5" t="s">
        <v>160</v>
      </c>
      <c r="C65" s="8">
        <f>IFERROR(VLOOKUP(B65,'Лист1'!$A:$L,12,FALSE),"")</f>
        <v>50000</v>
      </c>
      <c r="D65" s="7">
        <f t="shared" si="2"/>
        <v>1667</v>
      </c>
    </row>
    <row r="66">
      <c r="A66" s="6">
        <v>2357.0</v>
      </c>
      <c r="B66" s="5" t="s">
        <v>147</v>
      </c>
      <c r="C66" s="8">
        <f>IFERROR(VLOOKUP(B66,'Лист1'!$A:$L,12,FALSE),"")</f>
        <v>50000</v>
      </c>
      <c r="D66" s="7">
        <f t="shared" si="2"/>
        <v>1667</v>
      </c>
    </row>
    <row r="67">
      <c r="A67" s="6">
        <v>2358.0</v>
      </c>
      <c r="B67" s="5" t="s">
        <v>198</v>
      </c>
      <c r="C67" s="8">
        <f>C65</f>
        <v>50000</v>
      </c>
      <c r="D67" s="7">
        <f t="shared" si="2"/>
        <v>1667</v>
      </c>
    </row>
    <row r="68">
      <c r="A68" s="6">
        <v>2359.0</v>
      </c>
      <c r="B68" s="5" t="s">
        <v>173</v>
      </c>
      <c r="C68" s="8">
        <f>IFERROR(VLOOKUP(B68,'Лист1'!$A:$L,12,FALSE),"")</f>
        <v>50000</v>
      </c>
      <c r="D68" s="7">
        <f t="shared" si="2"/>
        <v>1667</v>
      </c>
    </row>
    <row r="69" hidden="1">
      <c r="A69" s="6">
        <v>2360.0</v>
      </c>
      <c r="B69" s="5" t="s">
        <v>207</v>
      </c>
      <c r="C69" s="2">
        <v>1.0</v>
      </c>
      <c r="D69" s="7"/>
    </row>
    <row r="70" hidden="1">
      <c r="A70" s="6">
        <v>2361.0</v>
      </c>
      <c r="B70" s="5" t="s">
        <v>209</v>
      </c>
      <c r="C70" s="2">
        <v>1.0</v>
      </c>
      <c r="D70" s="7"/>
    </row>
    <row r="71" hidden="1">
      <c r="A71" s="6">
        <v>2362.0</v>
      </c>
      <c r="B71" s="5" t="s">
        <v>210</v>
      </c>
      <c r="C71" s="2">
        <v>1.0</v>
      </c>
      <c r="D71" s="7"/>
    </row>
    <row r="72" hidden="1">
      <c r="A72" s="6">
        <v>2363.0</v>
      </c>
      <c r="B72" s="5" t="s">
        <v>212</v>
      </c>
      <c r="C72" s="2">
        <v>1.0</v>
      </c>
      <c r="D72" s="7"/>
    </row>
    <row r="73" hidden="1">
      <c r="A73" s="6">
        <v>2364.0</v>
      </c>
      <c r="B73" s="5" t="s">
        <v>213</v>
      </c>
      <c r="C73" s="2">
        <v>1.0</v>
      </c>
      <c r="D73" s="7"/>
    </row>
    <row r="74" hidden="1">
      <c r="A74" s="6">
        <v>2319.0</v>
      </c>
      <c r="B74" s="5" t="s">
        <v>214</v>
      </c>
      <c r="C74" s="2">
        <v>1.0</v>
      </c>
      <c r="D74" s="7"/>
    </row>
    <row r="75" hidden="1">
      <c r="A75" s="6">
        <v>2320.0</v>
      </c>
      <c r="B75" s="5" t="s">
        <v>215</v>
      </c>
      <c r="C75" s="2">
        <v>1.0</v>
      </c>
      <c r="D75" s="7"/>
    </row>
    <row r="76" hidden="1">
      <c r="A76" s="6">
        <v>2321.0</v>
      </c>
      <c r="B76" s="5" t="s">
        <v>216</v>
      </c>
      <c r="C76" s="2">
        <v>1.0</v>
      </c>
      <c r="D76" s="7"/>
    </row>
    <row r="77" hidden="1">
      <c r="A77" s="6">
        <v>2322.0</v>
      </c>
      <c r="B77" s="5" t="s">
        <v>218</v>
      </c>
      <c r="C77" s="2">
        <v>1.0</v>
      </c>
      <c r="D77" s="7"/>
    </row>
    <row r="78" hidden="1">
      <c r="A78" s="6">
        <v>2323.0</v>
      </c>
      <c r="B78" s="5" t="s">
        <v>221</v>
      </c>
      <c r="C78" s="2">
        <v>1.0</v>
      </c>
      <c r="D78" s="7"/>
    </row>
    <row r="79" hidden="1">
      <c r="A79" s="6">
        <v>2324.0</v>
      </c>
      <c r="B79" s="5" t="s">
        <v>222</v>
      </c>
      <c r="C79" s="2">
        <v>1.0</v>
      </c>
      <c r="D79" s="7"/>
    </row>
    <row r="80" hidden="1">
      <c r="A80" s="6">
        <v>2325.0</v>
      </c>
      <c r="B80" s="5" t="s">
        <v>223</v>
      </c>
      <c r="C80" s="2">
        <v>1.0</v>
      </c>
      <c r="D80" s="7"/>
    </row>
    <row r="81" hidden="1">
      <c r="A81" s="6">
        <v>2326.0</v>
      </c>
      <c r="B81" s="5" t="s">
        <v>224</v>
      </c>
      <c r="C81" s="2">
        <v>1.0</v>
      </c>
      <c r="D81" s="7"/>
    </row>
    <row r="82" hidden="1">
      <c r="A82" s="6">
        <v>2327.0</v>
      </c>
      <c r="B82" s="5" t="s">
        <v>225</v>
      </c>
      <c r="C82" s="2">
        <v>1.0</v>
      </c>
      <c r="D82" s="7"/>
    </row>
    <row r="83" hidden="1">
      <c r="A83" s="6">
        <v>2328.0</v>
      </c>
      <c r="B83" s="5" t="s">
        <v>226</v>
      </c>
      <c r="C83" s="2">
        <v>1.0</v>
      </c>
      <c r="D83" s="7"/>
    </row>
    <row r="84" hidden="1">
      <c r="A84" s="6">
        <v>2329.0</v>
      </c>
      <c r="B84" s="5" t="s">
        <v>227</v>
      </c>
      <c r="C84" s="2">
        <v>1.0</v>
      </c>
      <c r="D84" s="7"/>
    </row>
    <row r="85" hidden="1">
      <c r="A85" s="6">
        <v>2330.0</v>
      </c>
      <c r="B85" s="5" t="s">
        <v>229</v>
      </c>
      <c r="C85" s="2">
        <v>1.0</v>
      </c>
      <c r="D85" s="7"/>
    </row>
    <row r="86" hidden="1">
      <c r="A86" s="6">
        <v>2331.0</v>
      </c>
      <c r="B86" s="5" t="s">
        <v>230</v>
      </c>
      <c r="C86" s="2">
        <v>1.0</v>
      </c>
      <c r="D86" s="7"/>
    </row>
    <row r="87" hidden="1">
      <c r="A87" s="6">
        <v>2332.0</v>
      </c>
      <c r="B87" s="5" t="s">
        <v>232</v>
      </c>
      <c r="C87" s="2">
        <v>1.0</v>
      </c>
      <c r="D87" s="7"/>
    </row>
    <row r="88" hidden="1">
      <c r="A88" s="6">
        <v>2333.0</v>
      </c>
      <c r="B88" s="5" t="s">
        <v>233</v>
      </c>
      <c r="C88" s="2">
        <v>1.0</v>
      </c>
      <c r="D88" s="7"/>
    </row>
    <row r="89" hidden="1">
      <c r="A89" s="6">
        <v>2334.0</v>
      </c>
      <c r="B89" s="5" t="s">
        <v>234</v>
      </c>
      <c r="C89" s="2">
        <v>1.0</v>
      </c>
      <c r="D89" s="7"/>
    </row>
    <row r="90" hidden="1">
      <c r="A90" s="6">
        <v>2280.0</v>
      </c>
      <c r="B90" s="5" t="s">
        <v>235</v>
      </c>
      <c r="C90" s="2">
        <v>1.0</v>
      </c>
      <c r="D90" s="7"/>
    </row>
    <row r="91" hidden="1">
      <c r="A91" s="6">
        <v>2281.0</v>
      </c>
      <c r="B91" s="5" t="s">
        <v>238</v>
      </c>
      <c r="C91" s="2">
        <v>1.0</v>
      </c>
      <c r="D91" s="7"/>
    </row>
    <row r="92" hidden="1">
      <c r="A92" s="6">
        <v>2282.0</v>
      </c>
      <c r="B92" s="5" t="s">
        <v>239</v>
      </c>
      <c r="C92" s="2">
        <v>1.0</v>
      </c>
      <c r="D92" s="7"/>
    </row>
    <row r="93" hidden="1">
      <c r="A93" s="6">
        <v>2295.0</v>
      </c>
      <c r="B93" s="5" t="s">
        <v>241</v>
      </c>
      <c r="C93" s="2">
        <v>1.0</v>
      </c>
      <c r="D93" s="7"/>
    </row>
    <row r="94" hidden="1">
      <c r="A94" s="6">
        <v>2311.0</v>
      </c>
      <c r="B94" s="5" t="s">
        <v>242</v>
      </c>
      <c r="C94" s="2">
        <v>1.0</v>
      </c>
      <c r="D94" s="7"/>
    </row>
    <row r="95" hidden="1">
      <c r="A95" s="6">
        <v>2312.0</v>
      </c>
      <c r="B95" s="5" t="s">
        <v>243</v>
      </c>
      <c r="C95" s="2">
        <v>1.0</v>
      </c>
      <c r="D95" s="7"/>
    </row>
    <row r="96" hidden="1">
      <c r="A96" s="6">
        <v>2313.0</v>
      </c>
      <c r="B96" s="5" t="s">
        <v>245</v>
      </c>
      <c r="C96" s="2">
        <v>1.0</v>
      </c>
      <c r="D96" s="7"/>
    </row>
    <row r="97" hidden="1">
      <c r="A97" s="6">
        <v>2314.0</v>
      </c>
      <c r="B97" s="5" t="s">
        <v>247</v>
      </c>
      <c r="C97" s="2">
        <v>1.0</v>
      </c>
      <c r="D97" s="7"/>
    </row>
    <row r="98" hidden="1">
      <c r="A98" s="6">
        <v>2315.0</v>
      </c>
      <c r="B98" s="5" t="s">
        <v>248</v>
      </c>
      <c r="C98" s="2">
        <v>1.0</v>
      </c>
      <c r="D98" s="7"/>
    </row>
    <row r="99" hidden="1">
      <c r="A99" s="6">
        <v>2316.0</v>
      </c>
      <c r="B99" s="5" t="s">
        <v>249</v>
      </c>
      <c r="C99" s="2">
        <v>1.0</v>
      </c>
      <c r="D99" s="7"/>
    </row>
    <row r="100" hidden="1">
      <c r="A100" s="6">
        <v>2317.0</v>
      </c>
      <c r="B100" s="5" t="s">
        <v>251</v>
      </c>
      <c r="C100" s="2">
        <v>1.0</v>
      </c>
      <c r="D100" s="7"/>
    </row>
    <row r="101" hidden="1">
      <c r="A101" s="6">
        <v>2318.0</v>
      </c>
      <c r="B101" s="5" t="s">
        <v>252</v>
      </c>
      <c r="C101" s="2">
        <v>1.0</v>
      </c>
      <c r="D101" s="7"/>
    </row>
    <row r="102">
      <c r="A102" s="6">
        <v>3158.0</v>
      </c>
      <c r="B102" s="5" t="s">
        <v>254</v>
      </c>
      <c r="C102" s="8">
        <f>IFERROR(VLOOKUP(B102,'Лист1'!$A:$L,12,FALSE),"")</f>
        <v>50000</v>
      </c>
      <c r="D102" s="7">
        <f t="shared" ref="D102:D111" si="3">ROUND((C102*1.2)/36,0)</f>
        <v>1667</v>
      </c>
    </row>
    <row r="103">
      <c r="A103" s="6">
        <v>3149.0</v>
      </c>
      <c r="B103" s="5" t="s">
        <v>262</v>
      </c>
      <c r="C103" s="8">
        <f>IFERROR(VLOOKUP(B103,'Лист1'!$A:$L,12,FALSE),"")</f>
        <v>50000</v>
      </c>
      <c r="D103" s="7">
        <f t="shared" si="3"/>
        <v>1667</v>
      </c>
    </row>
    <row r="104">
      <c r="A104" s="6">
        <v>3155.0</v>
      </c>
      <c r="B104" s="5" t="s">
        <v>267</v>
      </c>
      <c r="C104" s="8">
        <f>IFERROR(VLOOKUP(B104,'Лист1'!$A:$L,12,FALSE),"")</f>
        <v>50000</v>
      </c>
      <c r="D104" s="7">
        <f t="shared" si="3"/>
        <v>1667</v>
      </c>
    </row>
    <row r="105">
      <c r="A105" s="6">
        <v>3164.0</v>
      </c>
      <c r="B105" s="5" t="s">
        <v>182</v>
      </c>
      <c r="C105" s="8">
        <f>IFERROR(VLOOKUP(B105,'Лист1'!$A:$L,12,FALSE),"")</f>
        <v>50000</v>
      </c>
      <c r="D105" s="7">
        <f t="shared" si="3"/>
        <v>1667</v>
      </c>
    </row>
    <row r="106">
      <c r="A106" s="6">
        <v>3161.0</v>
      </c>
      <c r="B106" s="5" t="s">
        <v>275</v>
      </c>
      <c r="C106" s="8">
        <f>IFERROR(VLOOKUP(B106,'Лист1'!$A:$L,12,FALSE),"")</f>
        <v>50000</v>
      </c>
      <c r="D106" s="7">
        <f t="shared" si="3"/>
        <v>1667</v>
      </c>
    </row>
    <row r="107">
      <c r="A107" s="6">
        <v>3159.0</v>
      </c>
      <c r="B107" s="5" t="s">
        <v>280</v>
      </c>
      <c r="C107" s="8">
        <f>IFERROR(VLOOKUP(B107,'Лист1'!$A:$L,12,FALSE),"")</f>
        <v>50000</v>
      </c>
      <c r="D107" s="7">
        <f t="shared" si="3"/>
        <v>1667</v>
      </c>
    </row>
    <row r="108">
      <c r="A108" s="6">
        <v>3150.0</v>
      </c>
      <c r="B108" s="5" t="s">
        <v>284</v>
      </c>
      <c r="C108" s="8">
        <f>IFERROR(VLOOKUP(B108,'Лист1'!$A:$L,12,FALSE),"")</f>
        <v>50000</v>
      </c>
      <c r="D108" s="7">
        <f t="shared" si="3"/>
        <v>1667</v>
      </c>
    </row>
    <row r="109">
      <c r="A109" s="6">
        <v>3156.0</v>
      </c>
      <c r="B109" s="5" t="s">
        <v>289</v>
      </c>
      <c r="C109" s="8">
        <f>IFERROR(VLOOKUP(B109,'Лист1'!$A:$L,12,FALSE),"")</f>
        <v>50000</v>
      </c>
      <c r="D109" s="7">
        <f t="shared" si="3"/>
        <v>1667</v>
      </c>
    </row>
    <row r="110">
      <c r="A110" s="6">
        <v>3165.0</v>
      </c>
      <c r="B110" s="5" t="s">
        <v>293</v>
      </c>
      <c r="C110" s="8">
        <f>IFERROR(VLOOKUP(B110,'Лист1'!$A:$L,12,FALSE),"")</f>
        <v>50000</v>
      </c>
      <c r="D110" s="7">
        <f t="shared" si="3"/>
        <v>1667</v>
      </c>
    </row>
    <row r="111">
      <c r="A111" s="6">
        <v>3162.0</v>
      </c>
      <c r="B111" s="5" t="s">
        <v>297</v>
      </c>
      <c r="C111" s="8">
        <f>IFERROR(VLOOKUP(B111,'Лист1'!$A:$L,12,FALSE),"")</f>
        <v>50000</v>
      </c>
      <c r="D111" s="7">
        <f t="shared" si="3"/>
        <v>1667</v>
      </c>
    </row>
    <row r="112" hidden="1">
      <c r="A112" s="6">
        <v>3160.0</v>
      </c>
      <c r="B112" s="5" t="s">
        <v>303</v>
      </c>
      <c r="C112" s="2">
        <v>1.0</v>
      </c>
      <c r="D112" s="7"/>
    </row>
    <row r="113" hidden="1">
      <c r="A113" s="6">
        <v>3151.0</v>
      </c>
      <c r="B113" s="5" t="s">
        <v>305</v>
      </c>
      <c r="C113" s="2">
        <v>1.0</v>
      </c>
      <c r="D113" s="7"/>
    </row>
    <row r="114" hidden="1">
      <c r="A114" s="6">
        <v>3157.0</v>
      </c>
      <c r="B114" s="5" t="s">
        <v>306</v>
      </c>
      <c r="C114" s="2">
        <v>1.0</v>
      </c>
      <c r="D114" s="7"/>
    </row>
    <row r="115" hidden="1">
      <c r="A115" s="6">
        <v>3166.0</v>
      </c>
      <c r="B115" s="5" t="s">
        <v>307</v>
      </c>
      <c r="C115" s="2">
        <v>1.0</v>
      </c>
      <c r="D115" s="7"/>
    </row>
    <row r="116" hidden="1">
      <c r="A116" s="6">
        <v>3163.0</v>
      </c>
      <c r="B116" s="5" t="s">
        <v>309</v>
      </c>
      <c r="C116" s="2">
        <v>1.0</v>
      </c>
      <c r="D116" s="7"/>
    </row>
    <row r="117">
      <c r="A117" s="6">
        <v>3179.0</v>
      </c>
      <c r="B117" s="5" t="s">
        <v>311</v>
      </c>
      <c r="C117" s="8">
        <f>IFERROR(VLOOKUP(B117,'Лист1'!$A:$L,12,FALSE),"")</f>
        <v>50000</v>
      </c>
      <c r="D117" s="7">
        <f t="shared" ref="D117:D126" si="4">ROUND((C117*1.2)/36,0)</f>
        <v>1667</v>
      </c>
    </row>
    <row r="118">
      <c r="A118" s="6">
        <v>3170.0</v>
      </c>
      <c r="B118" s="5" t="s">
        <v>318</v>
      </c>
      <c r="C118" s="8">
        <f>IFERROR(VLOOKUP(B118,'Лист1'!$A:$L,12,FALSE),"")</f>
        <v>50000</v>
      </c>
      <c r="D118" s="7">
        <f t="shared" si="4"/>
        <v>1667</v>
      </c>
    </row>
    <row r="119">
      <c r="A119" s="6">
        <v>3176.0</v>
      </c>
      <c r="B119" s="5" t="s">
        <v>326</v>
      </c>
      <c r="C119" s="8">
        <f>IFERROR(VLOOKUP(B119,'Лист1'!$A:$L,12,FALSE),"")</f>
        <v>50000</v>
      </c>
      <c r="D119" s="7">
        <f t="shared" si="4"/>
        <v>1667</v>
      </c>
    </row>
    <row r="120">
      <c r="A120" s="6">
        <v>3185.0</v>
      </c>
      <c r="B120" s="5" t="s">
        <v>334</v>
      </c>
      <c r="C120" s="8">
        <f>IFERROR(VLOOKUP(B120,'Лист1'!$A:$L,12,FALSE),"")</f>
        <v>50000</v>
      </c>
      <c r="D120" s="7">
        <f t="shared" si="4"/>
        <v>1667</v>
      </c>
    </row>
    <row r="121">
      <c r="A121" s="6">
        <v>3182.0</v>
      </c>
      <c r="B121" s="5" t="s">
        <v>340</v>
      </c>
      <c r="C121" s="8">
        <f>IFERROR(VLOOKUP(B121,'Лист1'!$A:$L,12,FALSE),"")</f>
        <v>50000</v>
      </c>
      <c r="D121" s="7">
        <f t="shared" si="4"/>
        <v>1667</v>
      </c>
    </row>
    <row r="122">
      <c r="A122" s="6">
        <v>3180.0</v>
      </c>
      <c r="B122" s="5" t="s">
        <v>344</v>
      </c>
      <c r="C122" s="8">
        <f>IFERROR(VLOOKUP(B122,'Лист1'!$A:$L,12,FALSE),"")</f>
        <v>50000</v>
      </c>
      <c r="D122" s="7">
        <f t="shared" si="4"/>
        <v>1667</v>
      </c>
    </row>
    <row r="123">
      <c r="A123" s="6">
        <v>3171.0</v>
      </c>
      <c r="B123" s="5" t="s">
        <v>348</v>
      </c>
      <c r="C123" s="8">
        <f>IFERROR(VLOOKUP(B123,'Лист1'!$A:$L,12,FALSE),"")</f>
        <v>50000</v>
      </c>
      <c r="D123" s="7">
        <f t="shared" si="4"/>
        <v>1667</v>
      </c>
    </row>
    <row r="124">
      <c r="A124" s="6">
        <v>3177.0</v>
      </c>
      <c r="B124" s="5" t="s">
        <v>353</v>
      </c>
      <c r="C124" s="8">
        <f>IFERROR(VLOOKUP(B124,'Лист1'!$A:$L,12,FALSE),"")</f>
        <v>50000</v>
      </c>
      <c r="D124" s="7">
        <f t="shared" si="4"/>
        <v>1667</v>
      </c>
    </row>
    <row r="125">
      <c r="A125" s="6">
        <v>3186.0</v>
      </c>
      <c r="B125" s="5" t="s">
        <v>359</v>
      </c>
      <c r="C125" s="8">
        <f>IFERROR(VLOOKUP(B125,'Лист1'!$A:$L,12,FALSE),"")</f>
        <v>50000</v>
      </c>
      <c r="D125" s="7">
        <f t="shared" si="4"/>
        <v>1667</v>
      </c>
    </row>
    <row r="126">
      <c r="A126" s="6">
        <v>3183.0</v>
      </c>
      <c r="B126" s="5" t="s">
        <v>362</v>
      </c>
      <c r="C126" s="8">
        <f>IFERROR(VLOOKUP(B126,'Лист1'!$A:$L,12,FALSE),"")</f>
        <v>50000</v>
      </c>
      <c r="D126" s="7">
        <f t="shared" si="4"/>
        <v>1667</v>
      </c>
    </row>
    <row r="127" hidden="1">
      <c r="A127" s="6">
        <v>3181.0</v>
      </c>
      <c r="B127" s="5" t="s">
        <v>365</v>
      </c>
      <c r="C127" s="2">
        <v>1.0</v>
      </c>
      <c r="D127" s="7"/>
    </row>
    <row r="128" hidden="1">
      <c r="A128" s="6">
        <v>3172.0</v>
      </c>
      <c r="B128" s="5" t="s">
        <v>368</v>
      </c>
      <c r="C128" s="2">
        <v>1.0</v>
      </c>
      <c r="D128" s="7"/>
    </row>
    <row r="129" hidden="1">
      <c r="A129" s="6">
        <v>3178.0</v>
      </c>
      <c r="B129" s="5" t="s">
        <v>370</v>
      </c>
      <c r="C129" s="2">
        <v>1.0</v>
      </c>
      <c r="D129" s="7"/>
    </row>
    <row r="130" hidden="1">
      <c r="A130" s="6">
        <v>3187.0</v>
      </c>
      <c r="B130" s="5" t="s">
        <v>373</v>
      </c>
      <c r="C130" s="2">
        <v>1.0</v>
      </c>
      <c r="D130" s="7"/>
    </row>
    <row r="131" hidden="1">
      <c r="A131" s="6">
        <v>3184.0</v>
      </c>
      <c r="B131" s="5" t="s">
        <v>374</v>
      </c>
      <c r="C131" s="2">
        <v>1.0</v>
      </c>
      <c r="D131" s="7"/>
    </row>
    <row r="132">
      <c r="A132" s="6">
        <v>3188.0</v>
      </c>
      <c r="B132" s="5" t="s">
        <v>376</v>
      </c>
      <c r="C132" s="8">
        <f>IFERROR(VLOOKUP(B132,'Лист1'!$A:$L,12,FALSE),"")</f>
        <v>50000</v>
      </c>
      <c r="D132" s="7">
        <f t="shared" ref="D132:D135" si="5">ROUND((C132*1.2)/36,0)</f>
        <v>1667</v>
      </c>
    </row>
    <row r="133">
      <c r="A133" s="6">
        <v>3192.0</v>
      </c>
      <c r="B133" s="5" t="s">
        <v>382</v>
      </c>
      <c r="C133" s="8">
        <f>IFERROR(VLOOKUP(B133,'Лист1'!$A:$L,12,FALSE),"")</f>
        <v>50000</v>
      </c>
      <c r="D133" s="7">
        <f t="shared" si="5"/>
        <v>1667</v>
      </c>
    </row>
    <row r="134">
      <c r="A134" s="6">
        <v>3196.0</v>
      </c>
      <c r="B134" s="5" t="s">
        <v>386</v>
      </c>
      <c r="C134" s="8">
        <f>IFERROR(VLOOKUP(B134,'Лист1'!$A:$L,12,FALSE),"")</f>
        <v>50000</v>
      </c>
      <c r="D134" s="7">
        <f t="shared" si="5"/>
        <v>1667</v>
      </c>
    </row>
    <row r="135">
      <c r="A135" s="6">
        <v>3200.0</v>
      </c>
      <c r="B135" s="5" t="s">
        <v>389</v>
      </c>
      <c r="C135" s="8">
        <f>IFERROR(VLOOKUP(B135,'Лист1'!$A:$L,12,FALSE),"")</f>
        <v>50000</v>
      </c>
      <c r="D135" s="7">
        <f t="shared" si="5"/>
        <v>1667</v>
      </c>
    </row>
    <row r="136" hidden="1">
      <c r="A136" s="6">
        <v>3189.0</v>
      </c>
      <c r="B136" s="5" t="s">
        <v>394</v>
      </c>
      <c r="C136" s="2">
        <v>1.0</v>
      </c>
      <c r="D136" s="7"/>
    </row>
    <row r="137" hidden="1">
      <c r="A137" s="6">
        <v>3193.0</v>
      </c>
      <c r="B137" s="5" t="s">
        <v>396</v>
      </c>
      <c r="C137" s="2">
        <v>1.0</v>
      </c>
      <c r="D137" s="7"/>
    </row>
    <row r="138" hidden="1">
      <c r="A138" s="6">
        <v>3197.0</v>
      </c>
      <c r="B138" s="5" t="s">
        <v>398</v>
      </c>
      <c r="C138" s="2">
        <v>1.0</v>
      </c>
      <c r="D138" s="7"/>
    </row>
    <row r="139" hidden="1">
      <c r="A139" s="6">
        <v>3201.0</v>
      </c>
      <c r="B139" s="5" t="s">
        <v>400</v>
      </c>
      <c r="C139" s="2">
        <v>1.0</v>
      </c>
      <c r="D139" s="7"/>
    </row>
    <row r="140" hidden="1">
      <c r="A140" s="6">
        <v>3190.0</v>
      </c>
      <c r="B140" s="5" t="s">
        <v>402</v>
      </c>
      <c r="C140" s="2">
        <v>1.0</v>
      </c>
      <c r="D140" s="7"/>
    </row>
    <row r="141" hidden="1">
      <c r="A141" s="6">
        <v>3194.0</v>
      </c>
      <c r="B141" s="5" t="s">
        <v>403</v>
      </c>
      <c r="C141" s="2">
        <v>1.0</v>
      </c>
      <c r="D141" s="7"/>
    </row>
    <row r="142" hidden="1">
      <c r="A142" s="6">
        <v>3198.0</v>
      </c>
      <c r="B142" s="5" t="s">
        <v>404</v>
      </c>
      <c r="C142" s="2">
        <v>1.0</v>
      </c>
      <c r="D142" s="7"/>
    </row>
    <row r="143" hidden="1">
      <c r="A143" s="6">
        <v>3202.0</v>
      </c>
      <c r="B143" s="5" t="s">
        <v>405</v>
      </c>
      <c r="C143" s="2">
        <v>1.0</v>
      </c>
      <c r="D143" s="7"/>
    </row>
    <row r="144" hidden="1">
      <c r="A144" s="6">
        <v>3191.0</v>
      </c>
      <c r="B144" s="5" t="s">
        <v>406</v>
      </c>
      <c r="C144" s="2">
        <v>1.0</v>
      </c>
      <c r="D144" s="7"/>
    </row>
    <row r="145" hidden="1">
      <c r="A145" s="6">
        <v>3195.0</v>
      </c>
      <c r="B145" s="5" t="s">
        <v>407</v>
      </c>
      <c r="C145" s="2">
        <v>1.0</v>
      </c>
      <c r="D145" s="7"/>
    </row>
    <row r="146" hidden="1">
      <c r="A146" s="6">
        <v>3199.0</v>
      </c>
      <c r="B146" s="5" t="s">
        <v>408</v>
      </c>
      <c r="C146" s="2">
        <v>1.0</v>
      </c>
      <c r="D146" s="7"/>
    </row>
    <row r="147" hidden="1">
      <c r="A147" s="6">
        <v>3203.0</v>
      </c>
      <c r="B147" s="5" t="s">
        <v>409</v>
      </c>
      <c r="C147" s="2">
        <v>1.0</v>
      </c>
      <c r="D147" s="7"/>
    </row>
    <row r="148">
      <c r="A148" s="6">
        <v>3204.0</v>
      </c>
      <c r="B148" s="5" t="s">
        <v>410</v>
      </c>
      <c r="C148" s="8">
        <f>IFERROR(VLOOKUP(B148,'Лист1'!$A:$L,12,FALSE),"")</f>
        <v>50000</v>
      </c>
      <c r="D148" s="7">
        <f t="shared" ref="D148:D151" si="6">ROUND((C148*1.2)/36,0)</f>
        <v>1667</v>
      </c>
    </row>
    <row r="149">
      <c r="A149" s="6">
        <v>3207.0</v>
      </c>
      <c r="B149" s="5" t="s">
        <v>416</v>
      </c>
      <c r="C149" s="8">
        <f>IFERROR(VLOOKUP(B149,'Лист1'!$A:$L,12,FALSE),"")</f>
        <v>50000</v>
      </c>
      <c r="D149" s="7">
        <f t="shared" si="6"/>
        <v>1667</v>
      </c>
    </row>
    <row r="150">
      <c r="A150" s="6">
        <v>3210.0</v>
      </c>
      <c r="B150" s="5" t="s">
        <v>420</v>
      </c>
      <c r="C150" s="8">
        <f>IFERROR(VLOOKUP(B150,'Лист1'!$A:$L,12,FALSE),"")</f>
        <v>50000</v>
      </c>
      <c r="D150" s="7">
        <f t="shared" si="6"/>
        <v>1667</v>
      </c>
    </row>
    <row r="151">
      <c r="A151" s="6">
        <v>3213.0</v>
      </c>
      <c r="B151" s="5" t="s">
        <v>421</v>
      </c>
      <c r="C151" s="8">
        <f>IFERROR(VLOOKUP(B151,'Лист1'!$A:$L,12,FALSE),"")</f>
        <v>50000</v>
      </c>
      <c r="D151" s="7">
        <f t="shared" si="6"/>
        <v>1667</v>
      </c>
    </row>
    <row r="152" hidden="1">
      <c r="A152" s="6">
        <v>3205.0</v>
      </c>
      <c r="B152" s="5" t="s">
        <v>424</v>
      </c>
      <c r="C152" s="2">
        <v>1.0</v>
      </c>
      <c r="D152" s="7"/>
    </row>
    <row r="153" hidden="1">
      <c r="A153" s="6">
        <v>3208.0</v>
      </c>
      <c r="B153" s="5" t="s">
        <v>425</v>
      </c>
      <c r="C153" s="2">
        <v>1.0</v>
      </c>
      <c r="D153" s="7"/>
    </row>
    <row r="154" hidden="1">
      <c r="A154" s="6">
        <v>3211.0</v>
      </c>
      <c r="B154" s="5" t="s">
        <v>427</v>
      </c>
      <c r="C154" s="2">
        <v>1.0</v>
      </c>
      <c r="D154" s="7"/>
    </row>
    <row r="155" hidden="1">
      <c r="A155" s="6">
        <v>3214.0</v>
      </c>
      <c r="B155" s="5" t="s">
        <v>429</v>
      </c>
      <c r="C155" s="2">
        <v>1.0</v>
      </c>
      <c r="D155" s="7"/>
    </row>
    <row r="156" hidden="1">
      <c r="A156" s="6">
        <v>3206.0</v>
      </c>
      <c r="B156" s="5" t="s">
        <v>430</v>
      </c>
      <c r="C156" s="2">
        <v>1.0</v>
      </c>
      <c r="D156" s="7"/>
    </row>
    <row r="157" hidden="1">
      <c r="A157" s="6">
        <v>3209.0</v>
      </c>
      <c r="B157" s="5" t="s">
        <v>431</v>
      </c>
      <c r="C157" s="2">
        <v>1.0</v>
      </c>
      <c r="D157" s="7"/>
    </row>
    <row r="158" hidden="1">
      <c r="A158" s="6">
        <v>3212.0</v>
      </c>
      <c r="B158" s="5" t="s">
        <v>432</v>
      </c>
      <c r="C158" s="2">
        <v>1.0</v>
      </c>
      <c r="D158" s="7"/>
    </row>
    <row r="159" hidden="1">
      <c r="A159" s="6">
        <v>3215.0</v>
      </c>
      <c r="B159" s="5" t="s">
        <v>433</v>
      </c>
      <c r="C159" s="2">
        <v>1.0</v>
      </c>
      <c r="D159" s="7"/>
    </row>
    <row r="160" hidden="1">
      <c r="A160" s="6">
        <v>2439.0</v>
      </c>
      <c r="B160" s="5" t="s">
        <v>434</v>
      </c>
      <c r="C160" s="2">
        <v>1.0</v>
      </c>
      <c r="D160" s="7"/>
    </row>
    <row r="161" hidden="1">
      <c r="A161" s="6">
        <v>2440.0</v>
      </c>
      <c r="B161" s="5" t="s">
        <v>435</v>
      </c>
      <c r="C161" s="2">
        <v>1.0</v>
      </c>
      <c r="D161" s="7"/>
    </row>
    <row r="162" hidden="1">
      <c r="A162" s="6">
        <v>2441.0</v>
      </c>
      <c r="B162" s="5" t="s">
        <v>436</v>
      </c>
      <c r="C162" s="2">
        <v>1.0</v>
      </c>
      <c r="D162" s="7"/>
    </row>
    <row r="163" hidden="1">
      <c r="A163" s="6">
        <v>2442.0</v>
      </c>
      <c r="B163" s="5" t="s">
        <v>437</v>
      </c>
      <c r="C163" s="2">
        <v>1.0</v>
      </c>
      <c r="D163" s="7"/>
    </row>
    <row r="164" hidden="1">
      <c r="A164" s="6">
        <v>2875.0</v>
      </c>
      <c r="B164" s="5" t="s">
        <v>439</v>
      </c>
      <c r="C164" s="2">
        <v>1.0</v>
      </c>
      <c r="D164" s="7"/>
    </row>
    <row r="165" hidden="1">
      <c r="A165" s="6">
        <v>2876.0</v>
      </c>
      <c r="B165" s="5" t="s">
        <v>440</v>
      </c>
      <c r="C165" s="2">
        <v>1.0</v>
      </c>
      <c r="D165" s="7"/>
    </row>
    <row r="166" hidden="1">
      <c r="A166" s="6">
        <v>2877.0</v>
      </c>
      <c r="B166" s="5" t="s">
        <v>442</v>
      </c>
      <c r="C166" s="2">
        <v>1.0</v>
      </c>
      <c r="D166" s="7"/>
    </row>
    <row r="167" hidden="1">
      <c r="A167" s="6">
        <v>2878.0</v>
      </c>
      <c r="B167" s="5" t="s">
        <v>443</v>
      </c>
      <c r="C167" s="2">
        <v>1.0</v>
      </c>
      <c r="D167" s="7"/>
    </row>
    <row r="168" hidden="1">
      <c r="A168" s="6">
        <v>2879.0</v>
      </c>
      <c r="B168" s="5" t="s">
        <v>444</v>
      </c>
      <c r="C168" s="2">
        <v>1.0</v>
      </c>
      <c r="D168" s="7"/>
    </row>
    <row r="169" hidden="1">
      <c r="A169" s="6">
        <v>2880.0</v>
      </c>
      <c r="B169" s="5" t="s">
        <v>446</v>
      </c>
      <c r="C169" s="2">
        <v>1.0</v>
      </c>
      <c r="D169" s="7"/>
    </row>
    <row r="170" hidden="1">
      <c r="A170" s="6">
        <v>2881.0</v>
      </c>
      <c r="B170" s="5" t="s">
        <v>447</v>
      </c>
      <c r="C170" s="2">
        <v>1.0</v>
      </c>
      <c r="D170" s="7"/>
    </row>
    <row r="171" hidden="1">
      <c r="A171" s="6">
        <v>2882.0</v>
      </c>
      <c r="B171" s="5" t="s">
        <v>448</v>
      </c>
      <c r="C171" s="2">
        <v>1.0</v>
      </c>
      <c r="D171" s="7"/>
    </row>
    <row r="172" hidden="1">
      <c r="A172" s="6">
        <v>2883.0</v>
      </c>
      <c r="B172" s="5" t="s">
        <v>449</v>
      </c>
      <c r="C172" s="2">
        <v>1.0</v>
      </c>
      <c r="D172" s="7"/>
    </row>
    <row r="173" hidden="1">
      <c r="A173" s="6">
        <v>2884.0</v>
      </c>
      <c r="B173" s="5" t="s">
        <v>450</v>
      </c>
      <c r="C173" s="2">
        <v>1.0</v>
      </c>
      <c r="D173" s="7"/>
    </row>
    <row r="174" hidden="1">
      <c r="A174" s="6">
        <v>2885.0</v>
      </c>
      <c r="B174" s="5" t="s">
        <v>451</v>
      </c>
      <c r="C174" s="2">
        <v>1.0</v>
      </c>
      <c r="D174" s="7"/>
    </row>
    <row r="175" hidden="1">
      <c r="A175" s="6">
        <v>2886.0</v>
      </c>
      <c r="B175" s="5" t="s">
        <v>452</v>
      </c>
      <c r="C175" s="2">
        <v>1.0</v>
      </c>
      <c r="D175" s="7"/>
    </row>
    <row r="176" hidden="1">
      <c r="A176" s="6">
        <v>2887.0</v>
      </c>
      <c r="B176" s="5" t="s">
        <v>453</v>
      </c>
      <c r="C176" s="2">
        <v>1.0</v>
      </c>
      <c r="D176" s="7"/>
    </row>
    <row r="177" hidden="1">
      <c r="A177" s="6">
        <v>2888.0</v>
      </c>
      <c r="B177" s="5" t="s">
        <v>454</v>
      </c>
      <c r="C177" s="2">
        <v>1.0</v>
      </c>
      <c r="D177" s="7"/>
    </row>
    <row r="178" hidden="1">
      <c r="A178" s="6">
        <v>2889.0</v>
      </c>
      <c r="B178" s="5" t="s">
        <v>455</v>
      </c>
      <c r="C178" s="2">
        <v>1.0</v>
      </c>
      <c r="D178" s="7"/>
    </row>
    <row r="179" hidden="1">
      <c r="A179" s="6">
        <v>2890.0</v>
      </c>
      <c r="B179" s="5" t="s">
        <v>457</v>
      </c>
      <c r="C179" s="2">
        <v>1.0</v>
      </c>
      <c r="D179" s="7"/>
    </row>
    <row r="180">
      <c r="A180" s="6">
        <v>2993.0</v>
      </c>
      <c r="B180" s="5" t="s">
        <v>459</v>
      </c>
      <c r="C180" s="8">
        <f>IFERROR(VLOOKUP(B180,'Лист1'!$A:$L,12,FALSE),"")</f>
        <v>90390</v>
      </c>
      <c r="D180" s="7">
        <f t="shared" ref="D180:D201" si="7">ROUND((C180*1.2)/36,0)</f>
        <v>3013</v>
      </c>
    </row>
    <row r="181">
      <c r="A181" s="6">
        <v>2994.0</v>
      </c>
      <c r="B181" s="5" t="s">
        <v>463</v>
      </c>
      <c r="C181" s="8">
        <f>IFERROR(VLOOKUP(B181,'Лист1'!$A:$L,12,FALSE),"")</f>
        <v>110390</v>
      </c>
      <c r="D181" s="7">
        <f t="shared" si="7"/>
        <v>3680</v>
      </c>
    </row>
    <row r="182">
      <c r="A182" s="6">
        <v>2995.0</v>
      </c>
      <c r="B182" s="5" t="s">
        <v>464</v>
      </c>
      <c r="C182" s="8">
        <f>IFERROR(VLOOKUP(B182,'Лист1'!$A:$L,12,FALSE),"")</f>
        <v>90390</v>
      </c>
      <c r="D182" s="7">
        <f t="shared" si="7"/>
        <v>3013</v>
      </c>
    </row>
    <row r="183">
      <c r="A183" s="6">
        <v>2996.0</v>
      </c>
      <c r="B183" s="5" t="s">
        <v>469</v>
      </c>
      <c r="C183" s="8">
        <f>IFERROR(VLOOKUP(B183,'Лист1'!$A:$L,12,FALSE),"")</f>
        <v>110390</v>
      </c>
      <c r="D183" s="7">
        <f t="shared" si="7"/>
        <v>3680</v>
      </c>
    </row>
    <row r="184">
      <c r="A184" s="6">
        <v>3492.0</v>
      </c>
      <c r="B184" s="5" t="s">
        <v>471</v>
      </c>
      <c r="C184" s="8">
        <f>IFERROR(VLOOKUP(B184,'Лист1'!$A:$L,12,FALSE),"")</f>
        <v>148390</v>
      </c>
      <c r="D184" s="7">
        <f t="shared" si="7"/>
        <v>4946</v>
      </c>
    </row>
    <row r="185">
      <c r="A185" s="6">
        <v>3493.0</v>
      </c>
      <c r="B185" s="5" t="s">
        <v>472</v>
      </c>
      <c r="C185" s="8">
        <f>IFERROR(VLOOKUP(B185,'Лист1'!$A:$L,12,FALSE),"")</f>
        <v>145390</v>
      </c>
      <c r="D185" s="7">
        <f t="shared" si="7"/>
        <v>4846</v>
      </c>
    </row>
    <row r="186">
      <c r="A186" s="6">
        <v>3494.0</v>
      </c>
      <c r="B186" s="5" t="s">
        <v>475</v>
      </c>
      <c r="C186" s="8">
        <f>IFERROR(VLOOKUP(B186,'Лист1'!$A:$L,12,FALSE),"")</f>
        <v>110390</v>
      </c>
      <c r="D186" s="7">
        <f t="shared" si="7"/>
        <v>3680</v>
      </c>
    </row>
    <row r="187">
      <c r="A187" s="6">
        <v>3495.0</v>
      </c>
      <c r="B187" s="5" t="s">
        <v>481</v>
      </c>
      <c r="C187" s="8">
        <f>IFERROR(VLOOKUP(B187,'Лист1'!$A:$L,12,FALSE),"")</f>
        <v>106390</v>
      </c>
      <c r="D187" s="7">
        <f t="shared" si="7"/>
        <v>3546</v>
      </c>
    </row>
    <row r="188">
      <c r="A188" s="6">
        <v>3496.0</v>
      </c>
      <c r="B188" s="5" t="s">
        <v>484</v>
      </c>
      <c r="C188" s="8">
        <f>IFERROR(VLOOKUP(B188,'Лист1'!$A:$L,12,FALSE),"")</f>
        <v>154390</v>
      </c>
      <c r="D188" s="7">
        <f t="shared" si="7"/>
        <v>5146</v>
      </c>
    </row>
    <row r="189">
      <c r="A189" s="6">
        <v>3497.0</v>
      </c>
      <c r="B189" s="5" t="s">
        <v>486</v>
      </c>
      <c r="C189" s="8">
        <f>IFERROR(VLOOKUP(B189,'Лист1'!$A:$L,12,FALSE),"")</f>
        <v>154390</v>
      </c>
      <c r="D189" s="7">
        <f t="shared" si="7"/>
        <v>5146</v>
      </c>
    </row>
    <row r="190">
      <c r="A190" s="6">
        <v>2997.0</v>
      </c>
      <c r="B190" s="5" t="s">
        <v>489</v>
      </c>
      <c r="C190" s="8">
        <f>IFERROR(VLOOKUP(B190,'Лист1'!$A:$L,12,FALSE),"")</f>
        <v>110390</v>
      </c>
      <c r="D190" s="7">
        <f t="shared" si="7"/>
        <v>3680</v>
      </c>
    </row>
    <row r="191">
      <c r="A191" s="6">
        <v>2999.0</v>
      </c>
      <c r="B191" s="5" t="s">
        <v>493</v>
      </c>
      <c r="C191" s="8">
        <f>IFERROR(VLOOKUP(B191,'Лист1'!$A:$L,12,FALSE),"")</f>
        <v>110390</v>
      </c>
      <c r="D191" s="7">
        <f t="shared" si="7"/>
        <v>3680</v>
      </c>
    </row>
    <row r="192">
      <c r="A192" s="6">
        <v>2998.0</v>
      </c>
      <c r="B192" s="5" t="s">
        <v>496</v>
      </c>
      <c r="C192" s="8">
        <f>IFERROR(VLOOKUP(B192,'Лист1'!$A:$L,12,FALSE),"")</f>
        <v>123890</v>
      </c>
      <c r="D192" s="7">
        <f t="shared" si="7"/>
        <v>4130</v>
      </c>
    </row>
    <row r="193">
      <c r="A193" s="6">
        <v>3000.0</v>
      </c>
      <c r="B193" s="5" t="s">
        <v>497</v>
      </c>
      <c r="C193" s="8">
        <f>IFERROR(VLOOKUP(B193,'Лист1'!$A:$L,12,FALSE),"")</f>
        <v>123890</v>
      </c>
      <c r="D193" s="7">
        <f t="shared" si="7"/>
        <v>4130</v>
      </c>
    </row>
    <row r="194">
      <c r="A194" s="6">
        <v>3500.0</v>
      </c>
      <c r="B194" s="5" t="s">
        <v>499</v>
      </c>
      <c r="C194" s="8">
        <f>IFERROR(VLOOKUP(B194,'Лист1'!$A:$L,12,FALSE),"")</f>
        <v>128390</v>
      </c>
      <c r="D194" s="7">
        <f t="shared" si="7"/>
        <v>4280</v>
      </c>
    </row>
    <row r="195">
      <c r="A195" s="6">
        <v>3503.0</v>
      </c>
      <c r="B195" s="5" t="s">
        <v>503</v>
      </c>
      <c r="C195" s="8">
        <f>IFERROR(VLOOKUP(B195,'Лист1'!$A:$L,12,FALSE),"")</f>
        <v>129390</v>
      </c>
      <c r="D195" s="7">
        <f t="shared" si="7"/>
        <v>4313</v>
      </c>
    </row>
    <row r="196">
      <c r="A196" s="6">
        <v>3498.0</v>
      </c>
      <c r="B196" s="5" t="s">
        <v>510</v>
      </c>
      <c r="C196" s="8">
        <f>IFERROR(VLOOKUP(B196,'Лист1'!$A:$L,12,FALSE),"")</f>
        <v>144390</v>
      </c>
      <c r="D196" s="7">
        <f t="shared" si="7"/>
        <v>4813</v>
      </c>
    </row>
    <row r="197">
      <c r="A197" s="6">
        <v>3505.0</v>
      </c>
      <c r="B197" s="5" t="s">
        <v>512</v>
      </c>
      <c r="C197" s="8">
        <f>IFERROR(VLOOKUP(B197,'Лист1'!$A:$L,12,FALSE),"")</f>
        <v>144390</v>
      </c>
      <c r="D197" s="7">
        <f t="shared" si="7"/>
        <v>4813</v>
      </c>
    </row>
    <row r="198">
      <c r="A198" s="6">
        <v>3501.0</v>
      </c>
      <c r="B198" s="5" t="s">
        <v>515</v>
      </c>
      <c r="C198" s="8">
        <f>IFERROR(VLOOKUP(B198,'Лист1'!$A:$L,12,FALSE),"")</f>
        <v>166390</v>
      </c>
      <c r="D198" s="7">
        <f t="shared" si="7"/>
        <v>5546</v>
      </c>
    </row>
    <row r="199">
      <c r="A199" s="6">
        <v>3502.0</v>
      </c>
      <c r="B199" s="5" t="s">
        <v>516</v>
      </c>
      <c r="C199" s="8">
        <f>IFERROR(VLOOKUP(B199,'Лист1'!$A:$L,12,FALSE),"")</f>
        <v>166390</v>
      </c>
      <c r="D199" s="7">
        <f t="shared" si="7"/>
        <v>5546</v>
      </c>
    </row>
    <row r="200">
      <c r="A200" s="6">
        <v>3499.0</v>
      </c>
      <c r="B200" s="5" t="s">
        <v>525</v>
      </c>
      <c r="C200" s="8">
        <f>IFERROR(VLOOKUP(B200,'Лист1'!$A:$L,12,FALSE),"")</f>
        <v>161390</v>
      </c>
      <c r="D200" s="7">
        <f t="shared" si="7"/>
        <v>5380</v>
      </c>
    </row>
    <row r="201">
      <c r="A201" s="6">
        <v>3504.0</v>
      </c>
      <c r="B201" s="5" t="s">
        <v>536</v>
      </c>
      <c r="C201" s="8">
        <f>IFERROR(VLOOKUP(B201,'Лист1'!$A:$L,12,FALSE),"")</f>
        <v>161390</v>
      </c>
      <c r="D201" s="7">
        <f t="shared" si="7"/>
        <v>5380</v>
      </c>
    </row>
    <row r="202" hidden="1">
      <c r="A202" s="6">
        <v>3054.0</v>
      </c>
      <c r="B202" s="5" t="s">
        <v>539</v>
      </c>
      <c r="C202" s="2">
        <v>1.0</v>
      </c>
      <c r="D202" s="7"/>
    </row>
    <row r="203" hidden="1">
      <c r="A203" s="6">
        <v>3057.0</v>
      </c>
      <c r="B203" s="5" t="s">
        <v>540</v>
      </c>
      <c r="C203" s="2">
        <v>1.0</v>
      </c>
      <c r="D203" s="7"/>
    </row>
    <row r="204" hidden="1">
      <c r="A204" s="6">
        <v>3060.0</v>
      </c>
      <c r="B204" s="5" t="s">
        <v>541</v>
      </c>
      <c r="C204" s="2">
        <v>1.0</v>
      </c>
      <c r="D204" s="7"/>
    </row>
    <row r="205" hidden="1">
      <c r="A205" s="6">
        <v>3063.0</v>
      </c>
      <c r="B205" s="5" t="s">
        <v>542</v>
      </c>
      <c r="C205" s="2">
        <v>1.0</v>
      </c>
      <c r="D205" s="7"/>
    </row>
    <row r="206" hidden="1">
      <c r="A206" s="6">
        <v>3055.0</v>
      </c>
      <c r="B206" s="5" t="s">
        <v>543</v>
      </c>
      <c r="C206" s="2">
        <v>1.0</v>
      </c>
      <c r="D206" s="7"/>
    </row>
    <row r="207" hidden="1">
      <c r="A207" s="6">
        <v>3058.0</v>
      </c>
      <c r="B207" s="5" t="s">
        <v>544</v>
      </c>
      <c r="C207" s="2">
        <v>1.0</v>
      </c>
      <c r="D207" s="7"/>
    </row>
    <row r="208" hidden="1">
      <c r="A208" s="6">
        <v>3061.0</v>
      </c>
      <c r="B208" s="5" t="s">
        <v>545</v>
      </c>
      <c r="C208" s="2">
        <v>1.0</v>
      </c>
      <c r="D208" s="7"/>
    </row>
    <row r="209" hidden="1">
      <c r="A209" s="6">
        <v>3064.0</v>
      </c>
      <c r="B209" s="5" t="s">
        <v>546</v>
      </c>
      <c r="C209" s="2">
        <v>1.0</v>
      </c>
      <c r="D209" s="7"/>
    </row>
    <row r="210" hidden="1">
      <c r="A210" s="6">
        <v>3506.0</v>
      </c>
      <c r="B210" s="5" t="s">
        <v>549</v>
      </c>
      <c r="C210" s="2">
        <v>1.0</v>
      </c>
      <c r="D210" s="7"/>
    </row>
    <row r="211" hidden="1">
      <c r="A211" s="6">
        <v>3509.0</v>
      </c>
      <c r="B211" s="5" t="s">
        <v>550</v>
      </c>
      <c r="C211" s="2">
        <v>1.0</v>
      </c>
      <c r="D211" s="7"/>
    </row>
    <row r="212" hidden="1">
      <c r="A212" s="6">
        <v>3510.0</v>
      </c>
      <c r="B212" s="5" t="s">
        <v>551</v>
      </c>
      <c r="C212" s="2">
        <v>1.0</v>
      </c>
      <c r="D212" s="7"/>
    </row>
    <row r="213" hidden="1">
      <c r="A213" s="6">
        <v>3513.0</v>
      </c>
      <c r="B213" s="5" t="s">
        <v>552</v>
      </c>
      <c r="C213" s="2">
        <v>1.0</v>
      </c>
      <c r="D213" s="7"/>
    </row>
    <row r="214" hidden="1">
      <c r="A214" s="6">
        <v>3507.0</v>
      </c>
      <c r="B214" s="5" t="s">
        <v>553</v>
      </c>
      <c r="C214" s="2">
        <v>1.0</v>
      </c>
      <c r="D214" s="7"/>
    </row>
    <row r="215" hidden="1">
      <c r="A215" s="6">
        <v>3508.0</v>
      </c>
      <c r="B215" s="5" t="s">
        <v>554</v>
      </c>
      <c r="C215" s="2">
        <v>1.0</v>
      </c>
      <c r="D215" s="7"/>
    </row>
    <row r="216" hidden="1">
      <c r="A216" s="6">
        <v>3511.0</v>
      </c>
      <c r="B216" s="5" t="s">
        <v>555</v>
      </c>
      <c r="C216" s="2">
        <v>1.0</v>
      </c>
      <c r="D216" s="7"/>
    </row>
    <row r="217" hidden="1">
      <c r="A217" s="6">
        <v>3512.0</v>
      </c>
      <c r="B217" s="5" t="s">
        <v>556</v>
      </c>
      <c r="C217" s="2">
        <v>1.0</v>
      </c>
      <c r="D217" s="7"/>
    </row>
    <row r="218" hidden="1">
      <c r="A218" s="6">
        <v>3056.0</v>
      </c>
      <c r="B218" s="5" t="s">
        <v>557</v>
      </c>
      <c r="C218" s="2">
        <v>1.0</v>
      </c>
      <c r="D218" s="7"/>
    </row>
    <row r="219" hidden="1">
      <c r="A219" s="6">
        <v>3059.0</v>
      </c>
      <c r="B219" s="5" t="s">
        <v>559</v>
      </c>
      <c r="C219" s="2">
        <v>1.0</v>
      </c>
      <c r="D219" s="7"/>
    </row>
    <row r="220" hidden="1">
      <c r="A220" s="6">
        <v>3062.0</v>
      </c>
      <c r="B220" s="5" t="s">
        <v>560</v>
      </c>
      <c r="C220" s="2">
        <v>1.0</v>
      </c>
      <c r="D220" s="7"/>
    </row>
    <row r="221" hidden="1">
      <c r="A221" s="6">
        <v>3065.0</v>
      </c>
      <c r="B221" s="5" t="s">
        <v>561</v>
      </c>
      <c r="C221" s="2">
        <v>1.0</v>
      </c>
      <c r="D221" s="7"/>
    </row>
    <row r="222" hidden="1">
      <c r="A222" s="6">
        <v>3066.0</v>
      </c>
      <c r="B222" s="5" t="s">
        <v>562</v>
      </c>
      <c r="C222" s="2">
        <v>1.0</v>
      </c>
      <c r="D222" s="7"/>
    </row>
    <row r="223" hidden="1">
      <c r="A223" s="6">
        <v>3069.0</v>
      </c>
      <c r="B223" s="5" t="s">
        <v>563</v>
      </c>
      <c r="C223" s="2">
        <v>1.0</v>
      </c>
      <c r="D223" s="7"/>
    </row>
    <row r="224" hidden="1">
      <c r="A224" s="6">
        <v>3072.0</v>
      </c>
      <c r="B224" s="5" t="s">
        <v>564</v>
      </c>
      <c r="C224" s="2">
        <v>1.0</v>
      </c>
      <c r="D224" s="7"/>
    </row>
    <row r="225" hidden="1">
      <c r="A225" s="6">
        <v>3075.0</v>
      </c>
      <c r="B225" s="5" t="s">
        <v>566</v>
      </c>
      <c r="C225" s="2">
        <v>1.0</v>
      </c>
      <c r="D225" s="7"/>
    </row>
    <row r="226" hidden="1">
      <c r="A226" s="6">
        <v>3078.0</v>
      </c>
      <c r="B226" s="5" t="s">
        <v>567</v>
      </c>
      <c r="C226" s="2">
        <v>1.0</v>
      </c>
      <c r="D226" s="7"/>
    </row>
    <row r="227" hidden="1">
      <c r="A227" s="6">
        <v>3081.0</v>
      </c>
      <c r="B227" s="5" t="s">
        <v>568</v>
      </c>
      <c r="C227" s="2">
        <v>1.0</v>
      </c>
      <c r="D227" s="7"/>
    </row>
    <row r="228" hidden="1">
      <c r="A228" s="6">
        <v>3084.0</v>
      </c>
      <c r="B228" s="5" t="s">
        <v>569</v>
      </c>
      <c r="C228" s="2">
        <v>1.0</v>
      </c>
      <c r="D228" s="7"/>
    </row>
    <row r="229" hidden="1">
      <c r="A229" s="6">
        <v>3087.0</v>
      </c>
      <c r="B229" s="5" t="s">
        <v>570</v>
      </c>
      <c r="C229" s="2">
        <v>1.0</v>
      </c>
      <c r="D229" s="7"/>
    </row>
    <row r="230" hidden="1">
      <c r="A230" s="6">
        <v>3067.0</v>
      </c>
      <c r="B230" s="5" t="s">
        <v>571</v>
      </c>
      <c r="C230" s="2">
        <v>1.0</v>
      </c>
      <c r="D230" s="7"/>
    </row>
    <row r="231" hidden="1">
      <c r="A231" s="6">
        <v>3070.0</v>
      </c>
      <c r="B231" s="5" t="s">
        <v>572</v>
      </c>
      <c r="C231" s="2">
        <v>1.0</v>
      </c>
      <c r="D231" s="7"/>
    </row>
    <row r="232" hidden="1">
      <c r="A232" s="6">
        <v>3073.0</v>
      </c>
      <c r="B232" s="5" t="s">
        <v>574</v>
      </c>
      <c r="C232" s="2">
        <v>1.0</v>
      </c>
      <c r="D232" s="7"/>
    </row>
    <row r="233" hidden="1">
      <c r="A233" s="6">
        <v>3076.0</v>
      </c>
      <c r="B233" s="5" t="s">
        <v>575</v>
      </c>
      <c r="C233" s="2">
        <v>1.0</v>
      </c>
      <c r="D233" s="7"/>
    </row>
    <row r="234" hidden="1">
      <c r="A234" s="6">
        <v>3068.0</v>
      </c>
      <c r="B234" s="5" t="s">
        <v>576</v>
      </c>
      <c r="C234" s="2">
        <v>1.0</v>
      </c>
      <c r="D234" s="7"/>
    </row>
    <row r="235" hidden="1">
      <c r="A235" s="6">
        <v>3071.0</v>
      </c>
      <c r="B235" s="5" t="s">
        <v>578</v>
      </c>
      <c r="C235" s="2">
        <v>1.0</v>
      </c>
      <c r="D235" s="7"/>
    </row>
    <row r="236" hidden="1">
      <c r="A236" s="6">
        <v>3074.0</v>
      </c>
      <c r="B236" s="5" t="s">
        <v>579</v>
      </c>
      <c r="C236" s="2">
        <v>1.0</v>
      </c>
      <c r="D236" s="7"/>
    </row>
    <row r="237" hidden="1">
      <c r="A237" s="6">
        <v>3077.0</v>
      </c>
      <c r="B237" s="5" t="s">
        <v>580</v>
      </c>
      <c r="C237" s="2">
        <v>1.0</v>
      </c>
      <c r="D237" s="7"/>
    </row>
    <row r="238" hidden="1">
      <c r="A238" s="6">
        <v>3079.0</v>
      </c>
      <c r="B238" s="5" t="s">
        <v>581</v>
      </c>
      <c r="C238" s="2">
        <v>1.0</v>
      </c>
      <c r="D238" s="7"/>
    </row>
    <row r="239" hidden="1">
      <c r="A239" s="6">
        <v>3082.0</v>
      </c>
      <c r="B239" s="5" t="s">
        <v>582</v>
      </c>
      <c r="C239" s="2">
        <v>1.0</v>
      </c>
      <c r="D239" s="7"/>
    </row>
    <row r="240" hidden="1">
      <c r="A240" s="6">
        <v>3085.0</v>
      </c>
      <c r="B240" s="5" t="s">
        <v>584</v>
      </c>
      <c r="C240" s="2">
        <v>1.0</v>
      </c>
      <c r="D240" s="7"/>
    </row>
    <row r="241" hidden="1">
      <c r="A241" s="6">
        <v>3088.0</v>
      </c>
      <c r="B241" s="5" t="s">
        <v>585</v>
      </c>
      <c r="C241" s="2">
        <v>1.0</v>
      </c>
      <c r="D241" s="7"/>
    </row>
    <row r="242" hidden="1">
      <c r="A242" s="6">
        <v>3080.0</v>
      </c>
      <c r="B242" s="5" t="s">
        <v>586</v>
      </c>
      <c r="C242" s="2">
        <v>1.0</v>
      </c>
      <c r="D242" s="7"/>
    </row>
    <row r="243" hidden="1">
      <c r="A243" s="6">
        <v>3083.0</v>
      </c>
      <c r="B243" s="5" t="s">
        <v>587</v>
      </c>
      <c r="C243" s="2">
        <v>1.0</v>
      </c>
      <c r="D243" s="7"/>
    </row>
    <row r="244" hidden="1">
      <c r="A244" s="6">
        <v>3086.0</v>
      </c>
      <c r="B244" s="5" t="s">
        <v>588</v>
      </c>
      <c r="C244" s="2">
        <v>1.0</v>
      </c>
      <c r="D244" s="7"/>
    </row>
    <row r="245" hidden="1">
      <c r="A245" s="6">
        <v>3089.0</v>
      </c>
      <c r="B245" s="5" t="s">
        <v>589</v>
      </c>
      <c r="C245" s="2">
        <v>1.0</v>
      </c>
      <c r="D245" s="7"/>
    </row>
    <row r="246" hidden="1">
      <c r="A246" s="6">
        <v>2437.0</v>
      </c>
      <c r="B246" s="5" t="s">
        <v>590</v>
      </c>
      <c r="C246" s="2">
        <v>1.0</v>
      </c>
      <c r="D246" s="7"/>
    </row>
    <row r="247" hidden="1">
      <c r="A247" s="6">
        <v>2438.0</v>
      </c>
      <c r="B247" s="5" t="s">
        <v>592</v>
      </c>
      <c r="C247" s="2">
        <v>1.0</v>
      </c>
      <c r="D247" s="7"/>
    </row>
    <row r="248" hidden="1">
      <c r="A248" s="6">
        <v>2484.0</v>
      </c>
      <c r="B248" s="5" t="s">
        <v>593</v>
      </c>
      <c r="C248" s="2">
        <v>1.0</v>
      </c>
      <c r="D248" s="7"/>
    </row>
    <row r="249" hidden="1">
      <c r="A249" s="6">
        <v>2485.0</v>
      </c>
      <c r="B249" s="5" t="s">
        <v>595</v>
      </c>
      <c r="C249" s="2">
        <v>1.0</v>
      </c>
      <c r="D249" s="7"/>
    </row>
    <row r="250" hidden="1">
      <c r="A250" s="6">
        <v>2486.0</v>
      </c>
      <c r="B250" s="5" t="s">
        <v>597</v>
      </c>
      <c r="C250" s="2">
        <v>1.0</v>
      </c>
      <c r="D250" s="7"/>
    </row>
    <row r="251" hidden="1">
      <c r="A251" s="6">
        <v>2735.0</v>
      </c>
      <c r="B251" s="5" t="s">
        <v>598</v>
      </c>
      <c r="C251" s="2">
        <v>1.0</v>
      </c>
      <c r="D251" s="7"/>
    </row>
    <row r="252" hidden="1">
      <c r="A252" s="6">
        <v>2487.0</v>
      </c>
      <c r="B252" s="5" t="s">
        <v>599</v>
      </c>
      <c r="C252" s="2">
        <v>1.0</v>
      </c>
      <c r="D252" s="7"/>
    </row>
    <row r="253" hidden="1">
      <c r="A253" s="6">
        <v>2488.0</v>
      </c>
      <c r="B253" s="5" t="s">
        <v>600</v>
      </c>
      <c r="C253" s="2">
        <v>1.0</v>
      </c>
      <c r="D253" s="7"/>
    </row>
    <row r="254" hidden="1">
      <c r="A254" s="6">
        <v>2489.0</v>
      </c>
      <c r="B254" s="5" t="s">
        <v>601</v>
      </c>
      <c r="C254" s="2">
        <v>1.0</v>
      </c>
      <c r="D254" s="7"/>
    </row>
    <row r="255" hidden="1">
      <c r="A255" s="6">
        <v>2734.0</v>
      </c>
      <c r="B255" s="5" t="s">
        <v>603</v>
      </c>
      <c r="C255" s="2">
        <v>1.0</v>
      </c>
      <c r="D255" s="7"/>
    </row>
    <row r="256" hidden="1">
      <c r="A256" s="6">
        <v>2736.0</v>
      </c>
      <c r="B256" s="5" t="s">
        <v>604</v>
      </c>
      <c r="C256" s="2">
        <v>1.0</v>
      </c>
      <c r="D256" s="7"/>
    </row>
    <row r="257" hidden="1">
      <c r="A257" s="6">
        <v>2739.0</v>
      </c>
      <c r="B257" s="5" t="s">
        <v>605</v>
      </c>
      <c r="C257" s="2">
        <v>1.0</v>
      </c>
      <c r="D257" s="7"/>
    </row>
    <row r="258" hidden="1">
      <c r="A258" s="6">
        <v>2741.0</v>
      </c>
      <c r="B258" s="5" t="s">
        <v>606</v>
      </c>
      <c r="C258" s="2">
        <v>1.0</v>
      </c>
      <c r="D258" s="7"/>
    </row>
    <row r="259" hidden="1">
      <c r="A259" s="6">
        <v>2743.0</v>
      </c>
      <c r="B259" s="5" t="s">
        <v>607</v>
      </c>
      <c r="C259" s="2">
        <v>1.0</v>
      </c>
      <c r="D259" s="7"/>
    </row>
    <row r="260" hidden="1">
      <c r="A260" s="6">
        <v>2737.0</v>
      </c>
      <c r="B260" s="5" t="s">
        <v>608</v>
      </c>
      <c r="C260" s="2">
        <v>1.0</v>
      </c>
      <c r="D260" s="7"/>
    </row>
    <row r="261" hidden="1">
      <c r="A261" s="6">
        <v>2738.0</v>
      </c>
      <c r="B261" s="5" t="s">
        <v>609</v>
      </c>
      <c r="C261" s="2">
        <v>1.0</v>
      </c>
      <c r="D261" s="7"/>
    </row>
    <row r="262" hidden="1">
      <c r="A262" s="6">
        <v>2740.0</v>
      </c>
      <c r="B262" s="5" t="s">
        <v>611</v>
      </c>
      <c r="C262" s="2">
        <v>1.0</v>
      </c>
      <c r="D262" s="7"/>
    </row>
    <row r="263" hidden="1">
      <c r="A263" s="6">
        <v>2742.0</v>
      </c>
      <c r="B263" s="5" t="s">
        <v>612</v>
      </c>
      <c r="C263" s="2">
        <v>1.0</v>
      </c>
      <c r="D263" s="7"/>
    </row>
    <row r="264" hidden="1">
      <c r="A264" s="6">
        <v>2744.0</v>
      </c>
      <c r="B264" s="5" t="s">
        <v>614</v>
      </c>
      <c r="C264" s="2">
        <v>1.0</v>
      </c>
      <c r="D264" s="7"/>
    </row>
    <row r="265" hidden="1">
      <c r="A265" s="6">
        <v>2745.0</v>
      </c>
      <c r="B265" s="5" t="s">
        <v>615</v>
      </c>
      <c r="C265" s="2">
        <v>1.0</v>
      </c>
      <c r="D265" s="7"/>
    </row>
    <row r="266" hidden="1">
      <c r="A266" s="6">
        <v>2746.0</v>
      </c>
      <c r="B266" s="5" t="s">
        <v>616</v>
      </c>
      <c r="C266" s="2">
        <v>1.0</v>
      </c>
      <c r="D266" s="7"/>
    </row>
    <row r="267" hidden="1">
      <c r="A267" s="6">
        <v>2747.0</v>
      </c>
      <c r="B267" s="5" t="s">
        <v>617</v>
      </c>
      <c r="C267" s="2">
        <v>1.0</v>
      </c>
      <c r="D267" s="7"/>
    </row>
    <row r="268" hidden="1">
      <c r="A268" s="6">
        <v>3519.0</v>
      </c>
      <c r="B268" s="5" t="s">
        <v>618</v>
      </c>
      <c r="C268" s="2">
        <v>1.0</v>
      </c>
      <c r="D268" s="7"/>
    </row>
    <row r="269" hidden="1">
      <c r="A269" s="6">
        <v>3520.0</v>
      </c>
      <c r="B269" s="5" t="s">
        <v>619</v>
      </c>
      <c r="C269" s="2">
        <v>1.0</v>
      </c>
      <c r="D269" s="7"/>
    </row>
    <row r="270" hidden="1">
      <c r="A270" s="6">
        <v>3521.0</v>
      </c>
      <c r="B270" s="5" t="s">
        <v>620</v>
      </c>
      <c r="C270" s="2">
        <v>1.0</v>
      </c>
      <c r="D270" s="7"/>
    </row>
    <row r="271" hidden="1">
      <c r="A271" s="6">
        <v>3522.0</v>
      </c>
      <c r="B271" s="5" t="s">
        <v>622</v>
      </c>
      <c r="C271" s="2">
        <v>1.0</v>
      </c>
      <c r="D271" s="7"/>
    </row>
    <row r="272" hidden="1">
      <c r="A272" s="6">
        <v>2764.0</v>
      </c>
      <c r="B272" s="5" t="s">
        <v>623</v>
      </c>
      <c r="C272" s="2">
        <v>1.0</v>
      </c>
      <c r="D272" s="7"/>
    </row>
    <row r="273" hidden="1">
      <c r="A273" s="6">
        <v>2766.0</v>
      </c>
      <c r="B273" s="5" t="s">
        <v>624</v>
      </c>
      <c r="C273" s="2">
        <v>1.0</v>
      </c>
      <c r="D273" s="7"/>
    </row>
    <row r="274" hidden="1">
      <c r="A274" s="6">
        <v>2765.0</v>
      </c>
      <c r="B274" s="5" t="s">
        <v>625</v>
      </c>
      <c r="C274" s="2">
        <v>1.0</v>
      </c>
      <c r="D274" s="7"/>
    </row>
    <row r="275" hidden="1">
      <c r="A275" s="6">
        <v>2767.0</v>
      </c>
      <c r="B275" s="5" t="s">
        <v>626</v>
      </c>
      <c r="C275" s="2">
        <v>1.0</v>
      </c>
      <c r="D275" s="7"/>
    </row>
    <row r="276" hidden="1">
      <c r="A276" s="6">
        <v>2769.0</v>
      </c>
      <c r="B276" s="5" t="s">
        <v>627</v>
      </c>
      <c r="C276" s="2">
        <v>1.0</v>
      </c>
      <c r="D276" s="7"/>
    </row>
    <row r="277" hidden="1">
      <c r="A277" s="6">
        <v>2768.0</v>
      </c>
      <c r="B277" s="5" t="s">
        <v>629</v>
      </c>
      <c r="C277" s="2">
        <v>1.0</v>
      </c>
      <c r="D277" s="7"/>
    </row>
    <row r="278" hidden="1">
      <c r="A278" s="6">
        <v>3515.0</v>
      </c>
      <c r="B278" s="5" t="s">
        <v>630</v>
      </c>
      <c r="C278" s="2">
        <v>1.0</v>
      </c>
      <c r="D278" s="7"/>
    </row>
    <row r="279" hidden="1">
      <c r="A279" s="6">
        <v>3518.0</v>
      </c>
      <c r="B279" s="5" t="s">
        <v>632</v>
      </c>
      <c r="C279" s="2">
        <v>1.0</v>
      </c>
      <c r="D279" s="7"/>
    </row>
    <row r="280" hidden="1">
      <c r="A280" s="6">
        <v>3514.0</v>
      </c>
      <c r="B280" s="5" t="s">
        <v>633</v>
      </c>
      <c r="C280" s="2">
        <v>1.0</v>
      </c>
      <c r="D280" s="7"/>
    </row>
    <row r="281" hidden="1">
      <c r="A281" s="6">
        <v>3517.0</v>
      </c>
      <c r="B281" s="5" t="s">
        <v>634</v>
      </c>
      <c r="C281" s="2">
        <v>1.0</v>
      </c>
      <c r="D281" s="7"/>
    </row>
    <row r="282" hidden="1">
      <c r="A282" s="6">
        <v>3527.0</v>
      </c>
      <c r="B282" s="5" t="s">
        <v>635</v>
      </c>
      <c r="C282" s="2">
        <v>1.0</v>
      </c>
      <c r="D282" s="7"/>
    </row>
    <row r="283" hidden="1">
      <c r="A283" s="6">
        <v>3528.0</v>
      </c>
      <c r="B283" s="5" t="s">
        <v>636</v>
      </c>
      <c r="C283" s="2">
        <v>1.0</v>
      </c>
      <c r="D283" s="7"/>
    </row>
    <row r="284" hidden="1">
      <c r="A284" s="6">
        <v>3529.0</v>
      </c>
      <c r="B284" s="5" t="s">
        <v>637</v>
      </c>
      <c r="C284" s="2">
        <v>1.0</v>
      </c>
      <c r="D284" s="7"/>
    </row>
    <row r="285" hidden="1">
      <c r="A285" s="6">
        <v>3530.0</v>
      </c>
      <c r="B285" s="5" t="s">
        <v>638</v>
      </c>
      <c r="C285" s="2">
        <v>1.0</v>
      </c>
      <c r="D285" s="7"/>
    </row>
    <row r="286" hidden="1">
      <c r="A286" s="6">
        <v>3523.0</v>
      </c>
      <c r="B286" s="5" t="s">
        <v>640</v>
      </c>
      <c r="C286" s="2">
        <v>1.0</v>
      </c>
      <c r="D286" s="7"/>
    </row>
    <row r="287" hidden="1">
      <c r="A287" s="6">
        <v>3524.0</v>
      </c>
      <c r="B287" s="5" t="s">
        <v>641</v>
      </c>
      <c r="C287" s="2">
        <v>1.0</v>
      </c>
      <c r="D287" s="7"/>
    </row>
    <row r="288" hidden="1">
      <c r="A288" s="6">
        <v>3525.0</v>
      </c>
      <c r="B288" s="5" t="s">
        <v>642</v>
      </c>
      <c r="C288" s="2">
        <v>1.0</v>
      </c>
      <c r="D288" s="7"/>
    </row>
    <row r="289" hidden="1">
      <c r="A289" s="6">
        <v>3526.0</v>
      </c>
      <c r="B289" s="5" t="s">
        <v>643</v>
      </c>
      <c r="C289" s="2">
        <v>1.0</v>
      </c>
      <c r="D289" s="7"/>
    </row>
    <row r="290" hidden="1">
      <c r="A290" s="6">
        <v>3531.0</v>
      </c>
      <c r="B290" s="5" t="s">
        <v>644</v>
      </c>
      <c r="C290" s="2">
        <v>1.0</v>
      </c>
      <c r="D290" s="7"/>
    </row>
    <row r="291" hidden="1">
      <c r="A291" s="6">
        <v>3532.0</v>
      </c>
      <c r="B291" s="5" t="s">
        <v>645</v>
      </c>
      <c r="C291" s="2">
        <v>1.0</v>
      </c>
      <c r="D291" s="7"/>
    </row>
    <row r="292" hidden="1">
      <c r="A292" s="6">
        <v>3533.0</v>
      </c>
      <c r="B292" s="5" t="s">
        <v>647</v>
      </c>
      <c r="C292" s="2">
        <v>1.0</v>
      </c>
      <c r="D292" s="7"/>
    </row>
    <row r="293" hidden="1">
      <c r="A293" s="6">
        <v>3534.0</v>
      </c>
      <c r="B293" s="5" t="s">
        <v>648</v>
      </c>
      <c r="C293" s="2">
        <v>1.0</v>
      </c>
      <c r="D293" s="7"/>
    </row>
    <row r="294" hidden="1">
      <c r="A294" s="6">
        <v>3539.0</v>
      </c>
      <c r="B294" s="5" t="s">
        <v>649</v>
      </c>
      <c r="C294" s="2">
        <v>1.0</v>
      </c>
      <c r="D294" s="7"/>
    </row>
    <row r="295" hidden="1">
      <c r="A295" s="6">
        <v>3540.0</v>
      </c>
      <c r="B295" s="5" t="s">
        <v>651</v>
      </c>
      <c r="C295" s="2">
        <v>1.0</v>
      </c>
      <c r="D295" s="7"/>
    </row>
    <row r="296" hidden="1">
      <c r="A296" s="6">
        <v>3541.0</v>
      </c>
      <c r="B296" s="5" t="s">
        <v>652</v>
      </c>
      <c r="C296" s="2">
        <v>1.0</v>
      </c>
      <c r="D296" s="7"/>
    </row>
    <row r="297" hidden="1">
      <c r="A297" s="6">
        <v>3542.0</v>
      </c>
      <c r="B297" s="5" t="s">
        <v>653</v>
      </c>
      <c r="C297" s="2">
        <v>1.0</v>
      </c>
      <c r="D297" s="7"/>
    </row>
    <row r="298" hidden="1">
      <c r="A298" s="6">
        <v>3535.0</v>
      </c>
      <c r="B298" s="5" t="s">
        <v>654</v>
      </c>
      <c r="C298" s="2">
        <v>1.0</v>
      </c>
      <c r="D298" s="7"/>
    </row>
    <row r="299" hidden="1">
      <c r="A299" s="6">
        <v>3536.0</v>
      </c>
      <c r="B299" s="5" t="s">
        <v>655</v>
      </c>
      <c r="C299" s="2">
        <v>1.0</v>
      </c>
      <c r="D299" s="7"/>
    </row>
    <row r="300" hidden="1">
      <c r="A300" s="6">
        <v>3537.0</v>
      </c>
      <c r="B300" s="5" t="s">
        <v>657</v>
      </c>
      <c r="C300" s="2">
        <v>1.0</v>
      </c>
      <c r="D300" s="7"/>
    </row>
    <row r="301" hidden="1">
      <c r="A301" s="6">
        <v>3538.0</v>
      </c>
      <c r="B301" s="5" t="s">
        <v>658</v>
      </c>
      <c r="C301" s="2">
        <v>1.0</v>
      </c>
      <c r="D301" s="7"/>
    </row>
    <row r="302" hidden="1">
      <c r="A302" s="6">
        <v>3543.0</v>
      </c>
      <c r="B302" s="5" t="s">
        <v>659</v>
      </c>
      <c r="C302" s="2">
        <v>1.0</v>
      </c>
      <c r="D302" s="7"/>
    </row>
    <row r="303" hidden="1">
      <c r="A303" s="6">
        <v>3544.0</v>
      </c>
      <c r="B303" s="5" t="s">
        <v>660</v>
      </c>
      <c r="C303" s="2">
        <v>1.0</v>
      </c>
      <c r="D303" s="7"/>
    </row>
    <row r="304" hidden="1">
      <c r="A304" s="6">
        <v>3545.0</v>
      </c>
      <c r="B304" s="5" t="s">
        <v>661</v>
      </c>
      <c r="C304" s="2">
        <v>1.0</v>
      </c>
      <c r="D304" s="7"/>
    </row>
    <row r="305" hidden="1">
      <c r="A305" s="6">
        <v>3546.0</v>
      </c>
      <c r="B305" s="5" t="s">
        <v>662</v>
      </c>
      <c r="C305" s="2">
        <v>1.0</v>
      </c>
      <c r="D305" s="7"/>
    </row>
    <row r="306" hidden="1">
      <c r="A306" s="6">
        <v>2458.0</v>
      </c>
      <c r="B306" s="5" t="s">
        <v>663</v>
      </c>
      <c r="C306" s="2">
        <v>1.0</v>
      </c>
      <c r="D306" s="7"/>
    </row>
    <row r="307" hidden="1">
      <c r="A307" s="6">
        <v>2459.0</v>
      </c>
      <c r="B307" s="5" t="s">
        <v>664</v>
      </c>
      <c r="C307" s="2">
        <v>1.0</v>
      </c>
      <c r="D307" s="7"/>
    </row>
    <row r="308">
      <c r="A308" s="6">
        <v>3223.0</v>
      </c>
      <c r="B308" s="5" t="s">
        <v>479</v>
      </c>
      <c r="C308" s="8">
        <f>IFERROR(VLOOKUP(B308,'Лист1'!$A:$L,12,FALSE),"")</f>
        <v>11390</v>
      </c>
      <c r="D308" s="7">
        <f t="shared" ref="D308:D310" si="8">ROUND((C308*1.2)/36,0)</f>
        <v>380</v>
      </c>
    </row>
    <row r="309">
      <c r="A309" s="6">
        <v>3224.0</v>
      </c>
      <c r="B309" s="5" t="s">
        <v>482</v>
      </c>
      <c r="C309" s="8">
        <f>IFERROR(VLOOKUP(B309,'Лист1'!$A:$L,12,FALSE),"")</f>
        <v>13890</v>
      </c>
      <c r="D309" s="7">
        <f t="shared" si="8"/>
        <v>463</v>
      </c>
    </row>
    <row r="310">
      <c r="A310" s="6">
        <v>2460.0</v>
      </c>
      <c r="B310" s="5" t="s">
        <v>498</v>
      </c>
      <c r="C310" s="8">
        <f>IFERROR(VLOOKUP(B310,'Лист1'!$A:$L,12,FALSE),"")</f>
        <v>16390</v>
      </c>
      <c r="D310" s="7">
        <f t="shared" si="8"/>
        <v>546</v>
      </c>
    </row>
    <row r="311" hidden="1">
      <c r="A311" s="6">
        <v>2461.0</v>
      </c>
      <c r="B311" s="5" t="s">
        <v>670</v>
      </c>
      <c r="C311" s="2">
        <v>1.0</v>
      </c>
      <c r="D311" s="7"/>
    </row>
    <row r="312" hidden="1">
      <c r="A312" s="6">
        <v>2462.0</v>
      </c>
      <c r="B312" s="5" t="s">
        <v>671</v>
      </c>
      <c r="C312" s="2">
        <v>1.0</v>
      </c>
      <c r="D312" s="7"/>
    </row>
    <row r="313" hidden="1">
      <c r="A313" s="6">
        <v>2463.0</v>
      </c>
      <c r="B313" s="5" t="s">
        <v>672</v>
      </c>
      <c r="C313" s="2">
        <v>1.0</v>
      </c>
      <c r="D313" s="7"/>
    </row>
    <row r="314" hidden="1">
      <c r="A314" s="6">
        <v>2464.0</v>
      </c>
      <c r="B314" s="5" t="s">
        <v>673</v>
      </c>
      <c r="C314" s="2">
        <v>1.0</v>
      </c>
      <c r="D314" s="7"/>
    </row>
    <row r="315" hidden="1">
      <c r="A315" s="6">
        <v>2465.0</v>
      </c>
      <c r="B315" s="5" t="s">
        <v>674</v>
      </c>
      <c r="C315" s="2">
        <v>1.0</v>
      </c>
      <c r="D315" s="7"/>
    </row>
    <row r="316" hidden="1">
      <c r="A316" s="6">
        <v>2815.0</v>
      </c>
      <c r="B316" s="5" t="s">
        <v>675</v>
      </c>
      <c r="C316" s="2">
        <v>1.0</v>
      </c>
      <c r="D316" s="7"/>
    </row>
    <row r="317" hidden="1">
      <c r="A317" s="6">
        <v>2816.0</v>
      </c>
      <c r="B317" s="5" t="s">
        <v>677</v>
      </c>
      <c r="C317" s="2">
        <v>1.0</v>
      </c>
      <c r="D317" s="7"/>
    </row>
    <row r="318" hidden="1">
      <c r="A318" s="6">
        <v>2819.0</v>
      </c>
      <c r="B318" s="5" t="s">
        <v>678</v>
      </c>
      <c r="C318" s="2">
        <v>1.0</v>
      </c>
      <c r="D318" s="7"/>
    </row>
    <row r="319" hidden="1">
      <c r="A319" s="6">
        <v>2814.0</v>
      </c>
      <c r="B319" s="5" t="s">
        <v>679</v>
      </c>
      <c r="C319" s="2">
        <v>1.0</v>
      </c>
      <c r="D319" s="7"/>
    </row>
    <row r="320" hidden="1">
      <c r="A320" s="6">
        <v>2817.0</v>
      </c>
      <c r="B320" s="5" t="s">
        <v>680</v>
      </c>
      <c r="C320" s="2">
        <v>1.0</v>
      </c>
      <c r="D320" s="7"/>
    </row>
    <row r="321" hidden="1">
      <c r="A321" s="6">
        <v>2818.0</v>
      </c>
      <c r="B321" s="5" t="s">
        <v>682</v>
      </c>
      <c r="C321" s="2">
        <v>1.0</v>
      </c>
      <c r="D321" s="7"/>
    </row>
    <row r="322" hidden="1">
      <c r="A322" s="6">
        <v>3220.0</v>
      </c>
      <c r="B322" s="5" t="s">
        <v>683</v>
      </c>
      <c r="C322" s="2">
        <v>1.0</v>
      </c>
      <c r="D322" s="7"/>
    </row>
    <row r="323" hidden="1">
      <c r="A323" s="6">
        <v>3221.0</v>
      </c>
      <c r="B323" s="5" t="s">
        <v>684</v>
      </c>
      <c r="C323" s="2">
        <v>1.0</v>
      </c>
      <c r="D323" s="7"/>
    </row>
    <row r="324" hidden="1">
      <c r="A324" s="6">
        <v>3222.0</v>
      </c>
      <c r="B324" s="5" t="s">
        <v>685</v>
      </c>
      <c r="C324" s="2">
        <v>1.0</v>
      </c>
      <c r="D324" s="7"/>
    </row>
    <row r="325" hidden="1">
      <c r="A325" s="6">
        <v>3217.0</v>
      </c>
      <c r="B325" s="5" t="s">
        <v>686</v>
      </c>
      <c r="C325" s="2">
        <v>1.0</v>
      </c>
      <c r="D325" s="7"/>
    </row>
    <row r="326" hidden="1">
      <c r="A326" s="6">
        <v>3218.0</v>
      </c>
      <c r="B326" s="5" t="s">
        <v>687</v>
      </c>
      <c r="C326" s="2">
        <v>1.0</v>
      </c>
      <c r="D326" s="7"/>
    </row>
    <row r="327" hidden="1">
      <c r="A327" s="6">
        <v>3219.0</v>
      </c>
      <c r="B327" s="5" t="s">
        <v>688</v>
      </c>
      <c r="C327" s="2">
        <v>1.0</v>
      </c>
      <c r="D327" s="7"/>
    </row>
    <row r="328" hidden="1">
      <c r="A328" s="6">
        <v>2802.0</v>
      </c>
      <c r="B328" s="5" t="s">
        <v>689</v>
      </c>
      <c r="C328" s="2">
        <v>1.0</v>
      </c>
      <c r="D328" s="7"/>
    </row>
    <row r="329" hidden="1">
      <c r="A329" s="6">
        <v>2803.0</v>
      </c>
      <c r="B329" s="5" t="s">
        <v>690</v>
      </c>
      <c r="C329" s="2">
        <v>1.0</v>
      </c>
      <c r="D329" s="7"/>
    </row>
    <row r="330" hidden="1">
      <c r="A330" s="6">
        <v>2805.0</v>
      </c>
      <c r="B330" s="5" t="s">
        <v>691</v>
      </c>
      <c r="C330" s="2">
        <v>1.0</v>
      </c>
      <c r="D330" s="7"/>
    </row>
    <row r="331" hidden="1">
      <c r="A331" s="6">
        <v>2807.0</v>
      </c>
      <c r="B331" s="5" t="s">
        <v>692</v>
      </c>
      <c r="C331" s="2">
        <v>1.0</v>
      </c>
      <c r="D331" s="7"/>
    </row>
    <row r="332" hidden="1">
      <c r="A332" s="6">
        <v>2801.0</v>
      </c>
      <c r="B332" s="5" t="s">
        <v>693</v>
      </c>
      <c r="C332" s="2">
        <v>1.0</v>
      </c>
      <c r="D332" s="7"/>
    </row>
    <row r="333" hidden="1">
      <c r="A333" s="6">
        <v>2804.0</v>
      </c>
      <c r="B333" s="5" t="s">
        <v>695</v>
      </c>
      <c r="C333" s="2">
        <v>1.0</v>
      </c>
      <c r="D333" s="7"/>
    </row>
    <row r="334" hidden="1">
      <c r="A334" s="6">
        <v>2806.0</v>
      </c>
      <c r="B334" s="5" t="s">
        <v>696</v>
      </c>
      <c r="C334" s="2">
        <v>1.0</v>
      </c>
      <c r="D334" s="7"/>
    </row>
    <row r="335" hidden="1">
      <c r="A335" s="6">
        <v>2808.0</v>
      </c>
      <c r="B335" s="5" t="s">
        <v>697</v>
      </c>
      <c r="C335" s="2">
        <v>1.0</v>
      </c>
      <c r="D335" s="7"/>
    </row>
    <row r="336">
      <c r="A336" s="6">
        <v>2820.0</v>
      </c>
      <c r="B336" s="5" t="s">
        <v>698</v>
      </c>
      <c r="C336" s="8">
        <f>IFERROR(VLOOKUP(B336,'Лист1'!$A:$L,12,FALSE),"")</f>
        <v>64390</v>
      </c>
      <c r="D336" s="7">
        <f t="shared" ref="D336:D338" si="9">ROUND((C336*1.2)/36,0)</f>
        <v>2146</v>
      </c>
    </row>
    <row r="337">
      <c r="A337" s="6">
        <v>2821.0</v>
      </c>
      <c r="B337" s="5" t="s">
        <v>701</v>
      </c>
      <c r="C337" s="8">
        <f>IFERROR(VLOOKUP(B337,'Лист1'!$A:$L,12,FALSE),"")</f>
        <v>64390</v>
      </c>
      <c r="D337" s="7">
        <f t="shared" si="9"/>
        <v>2146</v>
      </c>
    </row>
    <row r="338">
      <c r="A338" s="6">
        <v>2822.0</v>
      </c>
      <c r="B338" s="5" t="s">
        <v>703</v>
      </c>
      <c r="C338" s="8">
        <f>IFERROR(VLOOKUP(B338,'Лист1'!$A:$L,12,FALSE),"")</f>
        <v>64390</v>
      </c>
      <c r="D338" s="7">
        <f t="shared" si="9"/>
        <v>2146</v>
      </c>
    </row>
    <row r="339" hidden="1">
      <c r="A339" s="6">
        <v>2493.0</v>
      </c>
      <c r="B339" s="5" t="s">
        <v>706</v>
      </c>
      <c r="C339" s="2">
        <v>1.0</v>
      </c>
      <c r="D339" s="7"/>
    </row>
    <row r="340" hidden="1">
      <c r="A340" s="6">
        <v>2494.0</v>
      </c>
      <c r="B340" s="5" t="s">
        <v>707</v>
      </c>
      <c r="C340" s="2">
        <v>1.0</v>
      </c>
      <c r="D340" s="7"/>
    </row>
    <row r="341">
      <c r="A341" s="6">
        <v>2508.0</v>
      </c>
      <c r="B341" s="5" t="s">
        <v>465</v>
      </c>
      <c r="C341" s="8">
        <f>IFERROR(VLOOKUP(B341,'Лист1'!$A:$L,12,FALSE),"")</f>
        <v>9390</v>
      </c>
      <c r="D341" s="7">
        <f>ROUND((C341*1.2)/36,0)</f>
        <v>313</v>
      </c>
    </row>
    <row r="342" hidden="1">
      <c r="A342" s="6">
        <v>2509.0</v>
      </c>
      <c r="B342" s="5" t="s">
        <v>712</v>
      </c>
      <c r="C342" s="2">
        <v>1.0</v>
      </c>
      <c r="D342" s="7"/>
    </row>
    <row r="343">
      <c r="A343" s="6">
        <v>2497.0</v>
      </c>
      <c r="B343" s="5" t="s">
        <v>488</v>
      </c>
      <c r="C343" s="8">
        <f>IFERROR(VLOOKUP(B343,'Лист1'!$A:$L,12,FALSE),"")</f>
        <v>9390</v>
      </c>
      <c r="D343" s="7">
        <f t="shared" ref="D343:D372" si="10">ROUND((C343*1.2)/36,0)</f>
        <v>313</v>
      </c>
    </row>
    <row r="344">
      <c r="A344" s="6">
        <v>2709.0</v>
      </c>
      <c r="B344" s="5" t="s">
        <v>720</v>
      </c>
      <c r="C344" s="2">
        <v>990.0</v>
      </c>
      <c r="D344" s="7">
        <f t="shared" si="10"/>
        <v>33</v>
      </c>
    </row>
    <row r="345">
      <c r="A345" s="6">
        <v>2707.0</v>
      </c>
      <c r="B345" s="5" t="s">
        <v>723</v>
      </c>
      <c r="C345" s="2">
        <v>1090.0</v>
      </c>
      <c r="D345" s="7">
        <f t="shared" si="10"/>
        <v>36</v>
      </c>
    </row>
    <row r="346">
      <c r="A346" s="6">
        <v>2706.0</v>
      </c>
      <c r="B346" s="5" t="s">
        <v>725</v>
      </c>
      <c r="C346" s="2">
        <v>1190.0</v>
      </c>
      <c r="D346" s="7">
        <f t="shared" si="10"/>
        <v>40</v>
      </c>
    </row>
    <row r="347">
      <c r="A347" s="6">
        <v>2712.0</v>
      </c>
      <c r="B347" s="5" t="s">
        <v>727</v>
      </c>
      <c r="C347" s="2">
        <v>1290.0</v>
      </c>
      <c r="D347" s="7">
        <f t="shared" si="10"/>
        <v>43</v>
      </c>
    </row>
    <row r="348">
      <c r="A348" s="6">
        <v>2711.0</v>
      </c>
      <c r="B348" s="5" t="s">
        <v>728</v>
      </c>
      <c r="C348" s="2">
        <v>1390.0</v>
      </c>
      <c r="D348" s="7">
        <f t="shared" si="10"/>
        <v>46</v>
      </c>
    </row>
    <row r="349">
      <c r="A349" s="6">
        <v>2504.0</v>
      </c>
      <c r="B349" s="5" t="s">
        <v>729</v>
      </c>
      <c r="C349" s="2">
        <v>1490.0</v>
      </c>
      <c r="D349" s="7">
        <f t="shared" si="10"/>
        <v>50</v>
      </c>
    </row>
    <row r="350">
      <c r="A350" s="6">
        <v>2503.0</v>
      </c>
      <c r="B350" s="5" t="s">
        <v>730</v>
      </c>
      <c r="C350" s="2">
        <v>1790.0</v>
      </c>
      <c r="D350" s="7">
        <f t="shared" si="10"/>
        <v>60</v>
      </c>
    </row>
    <row r="351">
      <c r="A351" s="6">
        <v>2505.0</v>
      </c>
      <c r="B351" s="5" t="s">
        <v>731</v>
      </c>
      <c r="C351" s="2">
        <v>1790.0</v>
      </c>
      <c r="D351" s="7">
        <f t="shared" si="10"/>
        <v>60</v>
      </c>
    </row>
    <row r="352">
      <c r="A352" s="6">
        <v>2506.0</v>
      </c>
      <c r="B352" s="5" t="s">
        <v>732</v>
      </c>
      <c r="C352" s="2">
        <v>1990.0</v>
      </c>
      <c r="D352" s="7">
        <f t="shared" si="10"/>
        <v>66</v>
      </c>
    </row>
    <row r="353">
      <c r="A353" s="6">
        <v>2714.0</v>
      </c>
      <c r="B353" s="5" t="s">
        <v>736</v>
      </c>
      <c r="C353" s="2">
        <v>1790.0</v>
      </c>
      <c r="D353" s="7">
        <f t="shared" si="10"/>
        <v>60</v>
      </c>
    </row>
    <row r="354">
      <c r="A354" s="6">
        <v>2507.0</v>
      </c>
      <c r="B354" s="5" t="s">
        <v>737</v>
      </c>
      <c r="C354" s="2">
        <v>2490.0</v>
      </c>
      <c r="D354" s="7">
        <f t="shared" si="10"/>
        <v>83</v>
      </c>
    </row>
    <row r="355">
      <c r="A355" s="6">
        <v>2705.0</v>
      </c>
      <c r="B355" s="5" t="s">
        <v>738</v>
      </c>
      <c r="C355" s="2">
        <v>1990.0</v>
      </c>
      <c r="D355" s="7">
        <f t="shared" si="10"/>
        <v>66</v>
      </c>
    </row>
    <row r="356">
      <c r="A356" s="6">
        <v>2715.0</v>
      </c>
      <c r="B356" s="5" t="s">
        <v>739</v>
      </c>
      <c r="C356" s="2">
        <v>1990.0</v>
      </c>
      <c r="D356" s="7">
        <f t="shared" si="10"/>
        <v>66</v>
      </c>
    </row>
    <row r="357">
      <c r="A357" s="6">
        <v>2718.0</v>
      </c>
      <c r="B357" s="5" t="s">
        <v>740</v>
      </c>
      <c r="C357" s="2">
        <v>1990.0</v>
      </c>
      <c r="D357" s="7">
        <f t="shared" si="10"/>
        <v>66</v>
      </c>
    </row>
    <row r="358">
      <c r="A358" s="6">
        <v>2713.0</v>
      </c>
      <c r="B358" s="5" t="s">
        <v>741</v>
      </c>
      <c r="C358" s="2">
        <v>2290.0</v>
      </c>
      <c r="D358" s="7">
        <f t="shared" si="10"/>
        <v>76</v>
      </c>
    </row>
    <row r="359">
      <c r="A359" s="6">
        <v>2502.0</v>
      </c>
      <c r="B359" s="5" t="s">
        <v>744</v>
      </c>
      <c r="C359" s="2">
        <v>3490.0</v>
      </c>
      <c r="D359" s="7">
        <f t="shared" si="10"/>
        <v>116</v>
      </c>
    </row>
    <row r="360">
      <c r="A360" s="6">
        <v>2704.0</v>
      </c>
      <c r="B360" s="5" t="s">
        <v>747</v>
      </c>
      <c r="C360" s="2">
        <v>2990.0</v>
      </c>
      <c r="D360" s="7">
        <f t="shared" si="10"/>
        <v>100</v>
      </c>
    </row>
    <row r="361">
      <c r="A361" s="6">
        <v>2716.0</v>
      </c>
      <c r="B361" s="5" t="s">
        <v>748</v>
      </c>
      <c r="C361" s="2">
        <v>3490.0</v>
      </c>
      <c r="D361" s="7">
        <f t="shared" si="10"/>
        <v>116</v>
      </c>
    </row>
    <row r="362">
      <c r="A362" s="6">
        <v>2719.0</v>
      </c>
      <c r="B362" s="5" t="s">
        <v>749</v>
      </c>
      <c r="C362" s="2">
        <v>3490.0</v>
      </c>
      <c r="D362" s="7">
        <f t="shared" si="10"/>
        <v>116</v>
      </c>
    </row>
    <row r="363">
      <c r="A363" s="6">
        <v>2720.0</v>
      </c>
      <c r="B363" s="5" t="s">
        <v>750</v>
      </c>
      <c r="C363" s="2">
        <v>3490.0</v>
      </c>
      <c r="D363" s="7">
        <f t="shared" si="10"/>
        <v>116</v>
      </c>
    </row>
    <row r="364">
      <c r="A364" s="6">
        <v>2717.0</v>
      </c>
      <c r="B364" s="5" t="s">
        <v>751</v>
      </c>
      <c r="C364" s="2">
        <v>3990.0</v>
      </c>
      <c r="D364" s="7">
        <f t="shared" si="10"/>
        <v>133</v>
      </c>
    </row>
    <row r="365">
      <c r="A365" s="6">
        <v>2721.0</v>
      </c>
      <c r="B365" s="5" t="s">
        <v>754</v>
      </c>
      <c r="C365" s="2">
        <v>4990.0</v>
      </c>
      <c r="D365" s="7">
        <f t="shared" si="10"/>
        <v>166</v>
      </c>
    </row>
    <row r="366">
      <c r="A366" s="6">
        <v>2500.0</v>
      </c>
      <c r="B366" s="5" t="s">
        <v>757</v>
      </c>
      <c r="C366" s="2">
        <v>5990.0</v>
      </c>
      <c r="D366" s="7">
        <f t="shared" si="10"/>
        <v>200</v>
      </c>
    </row>
    <row r="367">
      <c r="A367" s="6">
        <v>2501.0</v>
      </c>
      <c r="B367" s="5" t="s">
        <v>758</v>
      </c>
      <c r="C367" s="2">
        <v>12990.0</v>
      </c>
      <c r="D367" s="7">
        <f t="shared" si="10"/>
        <v>433</v>
      </c>
    </row>
    <row r="368">
      <c r="A368" s="6">
        <v>2499.0</v>
      </c>
      <c r="B368" s="5" t="s">
        <v>759</v>
      </c>
      <c r="C368" s="2">
        <v>13990.0</v>
      </c>
      <c r="D368" s="7">
        <f t="shared" si="10"/>
        <v>466</v>
      </c>
    </row>
    <row r="369">
      <c r="A369" s="6">
        <v>2839.0</v>
      </c>
      <c r="B369" s="5" t="s">
        <v>760</v>
      </c>
      <c r="C369" s="8">
        <f>IFERROR(VLOOKUP(B369,'Лист1'!$A:$L,12,FALSE),"")</f>
        <v>451890</v>
      </c>
      <c r="D369" s="7">
        <f t="shared" si="10"/>
        <v>15063</v>
      </c>
    </row>
    <row r="370">
      <c r="A370" s="6">
        <v>2840.0</v>
      </c>
      <c r="B370" s="5" t="s">
        <v>764</v>
      </c>
      <c r="C370" s="8">
        <f>IFERROR(VLOOKUP(B370,'Лист1'!$A:$L,12,FALSE),"")</f>
        <v>468390</v>
      </c>
      <c r="D370" s="7">
        <f t="shared" si="10"/>
        <v>15613</v>
      </c>
    </row>
    <row r="371">
      <c r="A371" s="6">
        <v>2841.0</v>
      </c>
      <c r="B371" s="5" t="s">
        <v>769</v>
      </c>
      <c r="C371" s="8">
        <f>IFERROR(VLOOKUP(B371,'Лист1'!$A:$L,12,FALSE),"")</f>
        <v>484890</v>
      </c>
      <c r="D371" s="7">
        <f t="shared" si="10"/>
        <v>16163</v>
      </c>
    </row>
    <row r="372">
      <c r="A372" s="6">
        <v>2895.0</v>
      </c>
      <c r="B372" s="5" t="s">
        <v>770</v>
      </c>
      <c r="C372" s="8">
        <f>IFERROR(VLOOKUP(B372,'Лист1'!$A:$L,12,FALSE),"")</f>
        <v>10390</v>
      </c>
      <c r="D372" s="7">
        <f t="shared" si="10"/>
        <v>346</v>
      </c>
    </row>
    <row r="373" hidden="1">
      <c r="A373" s="6">
        <v>2541.0</v>
      </c>
      <c r="B373" s="5" t="s">
        <v>774</v>
      </c>
      <c r="C373" s="2">
        <v>1.0</v>
      </c>
      <c r="D373" s="7"/>
    </row>
    <row r="374" hidden="1">
      <c r="A374" s="6">
        <v>2542.0</v>
      </c>
      <c r="B374" s="5" t="s">
        <v>775</v>
      </c>
      <c r="C374" s="2">
        <v>1.0</v>
      </c>
      <c r="D374" s="7"/>
    </row>
    <row r="375" hidden="1">
      <c r="A375" s="6">
        <v>2543.0</v>
      </c>
      <c r="B375" s="5" t="s">
        <v>776</v>
      </c>
      <c r="C375" s="2">
        <v>1.0</v>
      </c>
      <c r="D375" s="7"/>
    </row>
    <row r="376" hidden="1">
      <c r="A376" s="6">
        <v>2544.0</v>
      </c>
      <c r="B376" s="5" t="s">
        <v>778</v>
      </c>
      <c r="C376" s="2">
        <v>1.0</v>
      </c>
      <c r="D376" s="7"/>
    </row>
    <row r="377" hidden="1">
      <c r="A377" s="6">
        <v>2548.0</v>
      </c>
      <c r="B377" s="5" t="s">
        <v>784</v>
      </c>
      <c r="C377" s="2">
        <v>1.0</v>
      </c>
      <c r="D377" s="7"/>
    </row>
    <row r="378">
      <c r="A378" s="6">
        <v>2894.0</v>
      </c>
      <c r="B378" s="5" t="s">
        <v>788</v>
      </c>
      <c r="C378" s="8">
        <f>IFERROR(VLOOKUP(B378,'Лист1'!$A:$L,12,FALSE),"")</f>
        <v>39390</v>
      </c>
      <c r="D378" s="7">
        <f>ROUND((C378*1.2)/36,0)</f>
        <v>1313</v>
      </c>
    </row>
    <row r="379" hidden="1">
      <c r="A379" s="6">
        <v>2874.0</v>
      </c>
      <c r="B379" s="5" t="s">
        <v>796</v>
      </c>
      <c r="C379" s="2">
        <v>1.0</v>
      </c>
      <c r="D379" s="7"/>
    </row>
    <row r="380" hidden="1">
      <c r="A380" s="6">
        <v>2891.0</v>
      </c>
      <c r="B380" s="5" t="s">
        <v>797</v>
      </c>
      <c r="C380" s="2">
        <v>1.0</v>
      </c>
      <c r="D380" s="7"/>
    </row>
    <row r="381" hidden="1">
      <c r="A381" s="6">
        <v>2892.0</v>
      </c>
      <c r="B381" s="5" t="s">
        <v>798</v>
      </c>
      <c r="C381" s="2">
        <v>1.0</v>
      </c>
      <c r="D381" s="7"/>
    </row>
    <row r="382" hidden="1">
      <c r="A382" s="6">
        <v>2549.0</v>
      </c>
      <c r="B382" s="5" t="s">
        <v>799</v>
      </c>
      <c r="C382" s="2">
        <v>1.0</v>
      </c>
      <c r="D382" s="7"/>
    </row>
    <row r="383" hidden="1">
      <c r="A383" s="6">
        <v>2550.0</v>
      </c>
      <c r="B383" s="5" t="s">
        <v>800</v>
      </c>
      <c r="C383" s="2">
        <v>1.0</v>
      </c>
      <c r="D383" s="7"/>
    </row>
    <row r="384" hidden="1">
      <c r="A384" s="6">
        <v>2551.0</v>
      </c>
      <c r="B384" s="5" t="s">
        <v>801</v>
      </c>
      <c r="C384" s="2">
        <v>1.0</v>
      </c>
      <c r="D384" s="7"/>
    </row>
    <row r="385" hidden="1">
      <c r="A385" s="6">
        <v>2552.0</v>
      </c>
      <c r="B385" s="5" t="s">
        <v>802</v>
      </c>
      <c r="C385" s="2">
        <v>1.0</v>
      </c>
      <c r="D385" s="7"/>
    </row>
    <row r="386" hidden="1">
      <c r="A386" s="6">
        <v>2553.0</v>
      </c>
      <c r="B386" s="5" t="s">
        <v>803</v>
      </c>
      <c r="C386" s="2">
        <v>1.0</v>
      </c>
      <c r="D386" s="7"/>
    </row>
    <row r="387" hidden="1">
      <c r="A387" s="6">
        <v>2554.0</v>
      </c>
      <c r="B387" s="5" t="s">
        <v>807</v>
      </c>
      <c r="C387" s="2">
        <v>1.0</v>
      </c>
      <c r="D387" s="7"/>
    </row>
    <row r="388" hidden="1">
      <c r="A388" s="6">
        <v>2555.0</v>
      </c>
      <c r="B388" s="5" t="s">
        <v>810</v>
      </c>
      <c r="C388" s="2">
        <v>1.0</v>
      </c>
      <c r="D388" s="7"/>
    </row>
    <row r="389" hidden="1">
      <c r="A389" s="6">
        <v>2556.0</v>
      </c>
      <c r="B389" s="5" t="s">
        <v>811</v>
      </c>
      <c r="C389" s="2">
        <v>1.0</v>
      </c>
      <c r="D389" s="7"/>
    </row>
    <row r="390" hidden="1">
      <c r="A390" s="6">
        <v>2557.0</v>
      </c>
      <c r="B390" s="5" t="s">
        <v>814</v>
      </c>
      <c r="C390" s="2">
        <v>1.0</v>
      </c>
      <c r="D390" s="7"/>
    </row>
    <row r="391" hidden="1">
      <c r="A391" s="6">
        <v>2558.0</v>
      </c>
      <c r="B391" s="5" t="s">
        <v>817</v>
      </c>
      <c r="C391" s="2">
        <v>1.0</v>
      </c>
      <c r="D391" s="7"/>
    </row>
    <row r="392" hidden="1">
      <c r="A392" s="6">
        <v>2559.0</v>
      </c>
      <c r="B392" s="5" t="s">
        <v>820</v>
      </c>
      <c r="C392" s="2">
        <v>1.0</v>
      </c>
      <c r="D392" s="7"/>
    </row>
    <row r="393" hidden="1">
      <c r="A393" s="6">
        <v>2560.0</v>
      </c>
      <c r="B393" s="5" t="s">
        <v>822</v>
      </c>
      <c r="C393" s="2">
        <v>1.0</v>
      </c>
      <c r="D393" s="7"/>
    </row>
    <row r="394" hidden="1">
      <c r="A394" s="6">
        <v>2562.0</v>
      </c>
      <c r="B394" s="5" t="s">
        <v>825</v>
      </c>
      <c r="C394" s="2">
        <v>1.0</v>
      </c>
      <c r="D394" s="7"/>
    </row>
    <row r="395" hidden="1">
      <c r="A395" s="6">
        <v>2563.0</v>
      </c>
      <c r="B395" s="5" t="s">
        <v>829</v>
      </c>
      <c r="C395" s="2">
        <v>1.0</v>
      </c>
      <c r="D395" s="7"/>
    </row>
    <row r="396" hidden="1">
      <c r="A396" s="6">
        <v>2565.0</v>
      </c>
      <c r="B396" s="5" t="s">
        <v>835</v>
      </c>
      <c r="C396" s="2">
        <v>1.0</v>
      </c>
      <c r="D396" s="7"/>
    </row>
    <row r="397" hidden="1">
      <c r="A397" s="6">
        <v>2566.0</v>
      </c>
      <c r="B397" s="5" t="s">
        <v>838</v>
      </c>
      <c r="C397" s="2">
        <v>1.0</v>
      </c>
      <c r="D397" s="7"/>
    </row>
    <row r="398" hidden="1">
      <c r="A398" s="6">
        <v>2568.0</v>
      </c>
      <c r="B398" s="5" t="s">
        <v>840</v>
      </c>
      <c r="C398" s="2">
        <v>1.0</v>
      </c>
      <c r="D398" s="7"/>
    </row>
    <row r="399" hidden="1">
      <c r="A399" s="6">
        <v>2569.0</v>
      </c>
      <c r="B399" s="5" t="s">
        <v>842</v>
      </c>
      <c r="C399" s="2">
        <v>1.0</v>
      </c>
      <c r="D399" s="7"/>
    </row>
    <row r="400" hidden="1">
      <c r="A400" s="6">
        <v>2571.0</v>
      </c>
      <c r="B400" s="5" t="s">
        <v>844</v>
      </c>
      <c r="C400" s="2">
        <v>1.0</v>
      </c>
      <c r="D400" s="7"/>
    </row>
    <row r="401" hidden="1">
      <c r="A401" s="6">
        <v>2572.0</v>
      </c>
      <c r="B401" s="5" t="s">
        <v>845</v>
      </c>
      <c r="C401" s="2">
        <v>1.0</v>
      </c>
      <c r="D401" s="7"/>
    </row>
    <row r="402" hidden="1">
      <c r="A402" s="6">
        <v>2574.0</v>
      </c>
      <c r="B402" s="5" t="s">
        <v>846</v>
      </c>
      <c r="C402" s="2">
        <v>1.0</v>
      </c>
      <c r="D402" s="7"/>
    </row>
    <row r="403" hidden="1">
      <c r="A403" s="6">
        <v>2575.0</v>
      </c>
      <c r="B403" s="5" t="s">
        <v>847</v>
      </c>
      <c r="C403" s="2">
        <v>1.0</v>
      </c>
      <c r="D403" s="7"/>
    </row>
    <row r="404" hidden="1">
      <c r="A404" s="6">
        <v>2577.0</v>
      </c>
      <c r="B404" s="5" t="s">
        <v>848</v>
      </c>
      <c r="C404" s="2">
        <v>1.0</v>
      </c>
      <c r="D404" s="7"/>
    </row>
    <row r="405" hidden="1">
      <c r="A405" s="6">
        <v>2578.0</v>
      </c>
      <c r="B405" s="5" t="s">
        <v>849</v>
      </c>
      <c r="C405" s="2">
        <v>1.0</v>
      </c>
      <c r="D405" s="7"/>
    </row>
    <row r="406" hidden="1">
      <c r="A406" s="6">
        <v>2580.0</v>
      </c>
      <c r="B406" s="5" t="s">
        <v>852</v>
      </c>
      <c r="C406" s="2">
        <v>1.0</v>
      </c>
      <c r="D406" s="7"/>
    </row>
    <row r="407" hidden="1">
      <c r="A407" s="6">
        <v>2581.0</v>
      </c>
      <c r="B407" s="5" t="s">
        <v>853</v>
      </c>
      <c r="C407" s="2">
        <v>1.0</v>
      </c>
      <c r="D407" s="7"/>
    </row>
    <row r="408" hidden="1">
      <c r="A408" s="6">
        <v>2582.0</v>
      </c>
      <c r="B408" s="5" t="s">
        <v>854</v>
      </c>
      <c r="C408" s="2">
        <v>1.0</v>
      </c>
      <c r="D408" s="7"/>
    </row>
    <row r="409" hidden="1">
      <c r="A409" s="6">
        <v>2583.0</v>
      </c>
      <c r="B409" s="5" t="s">
        <v>856</v>
      </c>
      <c r="C409" s="2">
        <v>1.0</v>
      </c>
      <c r="D409" s="7"/>
    </row>
    <row r="410" hidden="1">
      <c r="A410" s="6">
        <v>2584.0</v>
      </c>
      <c r="B410" s="5" t="s">
        <v>859</v>
      </c>
      <c r="C410" s="2">
        <v>1.0</v>
      </c>
      <c r="D410" s="7"/>
    </row>
    <row r="411" hidden="1">
      <c r="A411" s="6">
        <v>2585.0</v>
      </c>
      <c r="B411" s="5" t="s">
        <v>862</v>
      </c>
      <c r="C411" s="2">
        <v>1.0</v>
      </c>
      <c r="D411" s="7"/>
    </row>
    <row r="412" hidden="1">
      <c r="A412" s="6">
        <v>2586.0</v>
      </c>
      <c r="B412" s="5" t="s">
        <v>865</v>
      </c>
      <c r="C412" s="2">
        <v>1.0</v>
      </c>
      <c r="D412" s="7"/>
    </row>
    <row r="413" hidden="1">
      <c r="A413" s="6">
        <v>2587.0</v>
      </c>
      <c r="B413" s="5" t="s">
        <v>868</v>
      </c>
      <c r="C413" s="2">
        <v>1.0</v>
      </c>
      <c r="D413" s="7"/>
    </row>
    <row r="414" hidden="1">
      <c r="A414" s="6">
        <v>2842.0</v>
      </c>
      <c r="B414" s="5" t="s">
        <v>873</v>
      </c>
      <c r="C414" s="2">
        <v>1.0</v>
      </c>
      <c r="D414" s="7"/>
    </row>
    <row r="415" hidden="1">
      <c r="A415" s="6">
        <v>2843.0</v>
      </c>
      <c r="B415" s="5" t="s">
        <v>875</v>
      </c>
      <c r="C415" s="2">
        <v>1.0</v>
      </c>
      <c r="D415" s="7"/>
    </row>
    <row r="416" hidden="1">
      <c r="A416" s="6">
        <v>2844.0</v>
      </c>
      <c r="B416" s="5" t="s">
        <v>878</v>
      </c>
      <c r="C416" s="2">
        <v>1.0</v>
      </c>
      <c r="D416" s="7"/>
    </row>
    <row r="417" hidden="1">
      <c r="A417" s="6">
        <v>2845.0</v>
      </c>
      <c r="B417" s="5" t="s">
        <v>881</v>
      </c>
      <c r="C417" s="2">
        <v>1.0</v>
      </c>
      <c r="D417" s="7"/>
    </row>
    <row r="418" hidden="1">
      <c r="A418" s="6">
        <v>2846.0</v>
      </c>
      <c r="B418" s="5" t="s">
        <v>883</v>
      </c>
      <c r="C418" s="2">
        <v>1.0</v>
      </c>
      <c r="D418" s="7"/>
    </row>
    <row r="419" hidden="1">
      <c r="A419" s="6">
        <v>2847.0</v>
      </c>
      <c r="B419" s="5" t="s">
        <v>886</v>
      </c>
      <c r="C419" s="2">
        <v>1.0</v>
      </c>
      <c r="D419" s="7"/>
    </row>
    <row r="420" hidden="1">
      <c r="A420" s="6">
        <v>2848.0</v>
      </c>
      <c r="B420" s="5" t="s">
        <v>889</v>
      </c>
      <c r="C420" s="2">
        <v>1.0</v>
      </c>
      <c r="D420" s="7"/>
    </row>
    <row r="421" hidden="1">
      <c r="A421" s="6">
        <v>2849.0</v>
      </c>
      <c r="B421" s="5" t="s">
        <v>892</v>
      </c>
      <c r="C421" s="2">
        <v>1.0</v>
      </c>
      <c r="D421" s="7"/>
    </row>
    <row r="422" hidden="1">
      <c r="A422" s="6">
        <v>2850.0</v>
      </c>
      <c r="B422" s="5" t="s">
        <v>895</v>
      </c>
      <c r="C422" s="2">
        <v>1.0</v>
      </c>
      <c r="D422" s="7"/>
    </row>
    <row r="423" hidden="1">
      <c r="A423" s="6">
        <v>2851.0</v>
      </c>
      <c r="B423" s="5" t="s">
        <v>898</v>
      </c>
      <c r="C423" s="2">
        <v>1.0</v>
      </c>
      <c r="D423" s="7"/>
    </row>
    <row r="424" hidden="1">
      <c r="A424" s="6">
        <v>2852.0</v>
      </c>
      <c r="B424" s="5" t="s">
        <v>901</v>
      </c>
      <c r="C424" s="2">
        <v>1.0</v>
      </c>
      <c r="D424" s="7"/>
    </row>
    <row r="425" hidden="1">
      <c r="A425" s="6">
        <v>2853.0</v>
      </c>
      <c r="B425" s="5" t="s">
        <v>904</v>
      </c>
      <c r="C425" s="2">
        <v>1.0</v>
      </c>
      <c r="D425" s="7"/>
    </row>
    <row r="426" hidden="1">
      <c r="A426" s="6">
        <v>2854.0</v>
      </c>
      <c r="B426" s="5" t="s">
        <v>907</v>
      </c>
      <c r="C426" s="2">
        <v>1.0</v>
      </c>
      <c r="D426" s="7"/>
    </row>
    <row r="427" hidden="1">
      <c r="A427" s="6">
        <v>2855.0</v>
      </c>
      <c r="B427" s="5" t="s">
        <v>909</v>
      </c>
      <c r="C427" s="2">
        <v>1.0</v>
      </c>
      <c r="D427" s="7"/>
    </row>
    <row r="428" hidden="1">
      <c r="A428" s="6">
        <v>2856.0</v>
      </c>
      <c r="B428" s="5" t="s">
        <v>911</v>
      </c>
      <c r="C428" s="2">
        <v>1.0</v>
      </c>
      <c r="D428" s="7"/>
    </row>
    <row r="429" hidden="1">
      <c r="A429" s="6">
        <v>2857.0</v>
      </c>
      <c r="B429" s="5" t="s">
        <v>914</v>
      </c>
      <c r="C429" s="2">
        <v>1.0</v>
      </c>
      <c r="D429" s="7"/>
    </row>
    <row r="430" hidden="1">
      <c r="A430" s="6">
        <v>2858.0</v>
      </c>
      <c r="B430" s="5" t="s">
        <v>916</v>
      </c>
      <c r="C430" s="2">
        <v>1.0</v>
      </c>
      <c r="D430" s="7"/>
    </row>
    <row r="431" hidden="1">
      <c r="A431" s="6">
        <v>2859.0</v>
      </c>
      <c r="B431" s="5" t="s">
        <v>918</v>
      </c>
      <c r="C431" s="2">
        <v>1.0</v>
      </c>
      <c r="D431" s="7"/>
    </row>
    <row r="432" hidden="1">
      <c r="A432" s="6">
        <v>2860.0</v>
      </c>
      <c r="B432" s="5" t="s">
        <v>920</v>
      </c>
      <c r="C432" s="2">
        <v>1.0</v>
      </c>
      <c r="D432" s="7"/>
    </row>
    <row r="433" hidden="1">
      <c r="A433" s="6">
        <v>2861.0</v>
      </c>
      <c r="B433" s="5" t="s">
        <v>923</v>
      </c>
      <c r="C433" s="2">
        <v>1.0</v>
      </c>
      <c r="D433" s="7"/>
    </row>
    <row r="434" hidden="1">
      <c r="A434" s="6">
        <v>2866.0</v>
      </c>
      <c r="B434" s="5" t="s">
        <v>925</v>
      </c>
      <c r="C434" s="2">
        <v>1.0</v>
      </c>
      <c r="D434" s="7"/>
    </row>
    <row r="435" hidden="1">
      <c r="A435" s="6">
        <v>2867.0</v>
      </c>
      <c r="B435" s="5" t="s">
        <v>928</v>
      </c>
      <c r="C435" s="2">
        <v>1.0</v>
      </c>
      <c r="D435" s="7"/>
    </row>
    <row r="436" hidden="1">
      <c r="A436" s="6">
        <v>2868.0</v>
      </c>
      <c r="B436" s="5" t="s">
        <v>934</v>
      </c>
      <c r="C436" s="2">
        <v>1.0</v>
      </c>
      <c r="D436" s="7"/>
    </row>
    <row r="437" hidden="1">
      <c r="A437" s="6">
        <v>2869.0</v>
      </c>
      <c r="B437" s="5" t="s">
        <v>937</v>
      </c>
      <c r="C437" s="2">
        <v>1.0</v>
      </c>
      <c r="D437" s="7"/>
    </row>
    <row r="438" hidden="1">
      <c r="A438" s="6">
        <v>2870.0</v>
      </c>
      <c r="B438" s="5" t="s">
        <v>940</v>
      </c>
      <c r="C438" s="2">
        <v>1.0</v>
      </c>
      <c r="D438" s="7"/>
    </row>
    <row r="439" hidden="1">
      <c r="A439" s="6">
        <v>2871.0</v>
      </c>
      <c r="B439" s="5" t="s">
        <v>942</v>
      </c>
      <c r="C439" s="2">
        <v>1.0</v>
      </c>
      <c r="D439" s="7"/>
    </row>
    <row r="440" hidden="1">
      <c r="A440" s="6">
        <v>2872.0</v>
      </c>
      <c r="B440" s="5" t="s">
        <v>946</v>
      </c>
      <c r="C440" s="2">
        <v>1.0</v>
      </c>
      <c r="D440" s="7"/>
    </row>
    <row r="441" hidden="1">
      <c r="A441" s="6">
        <v>2873.0</v>
      </c>
      <c r="B441" s="5" t="s">
        <v>949</v>
      </c>
      <c r="C441" s="2">
        <v>1.0</v>
      </c>
      <c r="D441" s="7"/>
    </row>
    <row r="442">
      <c r="A442" s="6">
        <v>2588.0</v>
      </c>
      <c r="B442" s="5" t="s">
        <v>504</v>
      </c>
      <c r="C442" s="8">
        <f>IFERROR(VLOOKUP(B442,'Лист1'!$A:$L,12,FALSE),"")</f>
        <v>6890</v>
      </c>
      <c r="D442" s="7">
        <f t="shared" ref="D442:D445" si="11">ROUND((C442*1.2)/36,0)</f>
        <v>230</v>
      </c>
    </row>
    <row r="443">
      <c r="A443" s="6">
        <v>2540.0</v>
      </c>
      <c r="B443" s="5" t="s">
        <v>958</v>
      </c>
      <c r="C443" s="8">
        <f>IFERROR(VLOOKUP(B443,'Лист1'!$A:$L,12,FALSE),"")</f>
        <v>64890</v>
      </c>
      <c r="D443" s="7">
        <f t="shared" si="11"/>
        <v>2163</v>
      </c>
    </row>
    <row r="444">
      <c r="A444" s="6">
        <v>2823.0</v>
      </c>
      <c r="B444" s="5" t="s">
        <v>501</v>
      </c>
      <c r="C444" s="8">
        <f>IFERROR(VLOOKUP(B444,'Лист1'!$A:$L,12,FALSE),"")</f>
        <v>71390</v>
      </c>
      <c r="D444" s="7">
        <f t="shared" si="11"/>
        <v>2380</v>
      </c>
    </row>
    <row r="445">
      <c r="A445" s="6">
        <v>2589.0</v>
      </c>
      <c r="B445" s="5" t="s">
        <v>968</v>
      </c>
      <c r="C445" s="8">
        <f>IFERROR(VLOOKUP(B445,'Лист1'!$A:$L,12,FALSE),"")</f>
        <v>35390</v>
      </c>
      <c r="D445" s="7">
        <f t="shared" si="11"/>
        <v>1180</v>
      </c>
    </row>
    <row r="446" hidden="1">
      <c r="A446" s="6">
        <v>2703.0</v>
      </c>
      <c r="B446" s="5" t="s">
        <v>976</v>
      </c>
      <c r="C446" s="2">
        <v>1.0</v>
      </c>
      <c r="D446" s="7"/>
    </row>
    <row r="447">
      <c r="A447" s="6">
        <v>2602.0</v>
      </c>
      <c r="B447" s="5" t="s">
        <v>977</v>
      </c>
      <c r="C447" s="2">
        <v>990.0</v>
      </c>
      <c r="D447" s="7">
        <f t="shared" ref="D447:D450" si="12">ROUND((C447*1.2)/36,0)</f>
        <v>33</v>
      </c>
    </row>
    <row r="448">
      <c r="A448" s="6">
        <v>2701.0</v>
      </c>
      <c r="B448" s="5" t="s">
        <v>984</v>
      </c>
      <c r="C448" s="2">
        <v>1490.0</v>
      </c>
      <c r="D448" s="7">
        <f t="shared" si="12"/>
        <v>50</v>
      </c>
    </row>
    <row r="449">
      <c r="A449" s="6">
        <v>2702.0</v>
      </c>
      <c r="B449" s="5" t="s">
        <v>989</v>
      </c>
      <c r="C449" s="2">
        <v>1490.0</v>
      </c>
      <c r="D449" s="7">
        <f t="shared" si="12"/>
        <v>50</v>
      </c>
    </row>
    <row r="450">
      <c r="A450" s="6">
        <v>2594.0</v>
      </c>
      <c r="B450" s="5" t="s">
        <v>990</v>
      </c>
      <c r="C450" s="2">
        <v>1990.0</v>
      </c>
      <c r="D450" s="7">
        <f t="shared" si="12"/>
        <v>66</v>
      </c>
    </row>
    <row r="451" hidden="1">
      <c r="A451" s="6">
        <v>2601.0</v>
      </c>
      <c r="B451" s="5" t="s">
        <v>993</v>
      </c>
      <c r="C451" s="2">
        <v>1.0</v>
      </c>
      <c r="D451" s="7"/>
    </row>
    <row r="452">
      <c r="A452" s="6">
        <v>2695.0</v>
      </c>
      <c r="B452" s="5" t="s">
        <v>994</v>
      </c>
      <c r="C452" s="2">
        <v>1990.0</v>
      </c>
      <c r="D452" s="7">
        <f>ROUND((C452*1.2)/36,0)</f>
        <v>66</v>
      </c>
    </row>
    <row r="453" hidden="1">
      <c r="A453" s="6">
        <v>2596.0</v>
      </c>
      <c r="B453" s="5" t="s">
        <v>1001</v>
      </c>
      <c r="C453" s="2">
        <v>1.0</v>
      </c>
      <c r="D453" s="7"/>
    </row>
    <row r="454">
      <c r="A454" s="6">
        <v>2600.0</v>
      </c>
      <c r="B454" s="5" t="s">
        <v>1004</v>
      </c>
      <c r="C454" s="2">
        <v>1690.0</v>
      </c>
      <c r="D454" s="7">
        <f t="shared" ref="D454:D455" si="13">ROUND((C454*1.2)/36,0)</f>
        <v>56</v>
      </c>
    </row>
    <row r="455">
      <c r="A455" s="6">
        <v>2593.0</v>
      </c>
      <c r="B455" s="5" t="s">
        <v>1007</v>
      </c>
      <c r="C455" s="2">
        <v>2990.0</v>
      </c>
      <c r="D455" s="7">
        <f t="shared" si="13"/>
        <v>100</v>
      </c>
    </row>
    <row r="456" hidden="1">
      <c r="A456" s="6">
        <v>2599.0</v>
      </c>
      <c r="B456" s="5" t="s">
        <v>1009</v>
      </c>
      <c r="C456" s="2">
        <v>1.0</v>
      </c>
      <c r="D456" s="7"/>
    </row>
    <row r="457">
      <c r="A457" s="6">
        <v>2605.0</v>
      </c>
      <c r="B457" s="5" t="s">
        <v>1012</v>
      </c>
      <c r="C457" s="2">
        <v>2990.0</v>
      </c>
      <c r="D457" s="7">
        <f t="shared" ref="D457:D463" si="14">ROUND((C457*1.2)/36,0)</f>
        <v>100</v>
      </c>
    </row>
    <row r="458">
      <c r="A458" s="6">
        <v>2608.0</v>
      </c>
      <c r="B458" s="5" t="s">
        <v>1017</v>
      </c>
      <c r="C458" s="2">
        <v>2990.0</v>
      </c>
      <c r="D458" s="7">
        <f t="shared" si="14"/>
        <v>100</v>
      </c>
    </row>
    <row r="459">
      <c r="A459" s="6">
        <v>2696.0</v>
      </c>
      <c r="B459" s="5" t="s">
        <v>1019</v>
      </c>
      <c r="C459" s="2">
        <v>2990.0</v>
      </c>
      <c r="D459" s="7">
        <f t="shared" si="14"/>
        <v>100</v>
      </c>
    </row>
    <row r="460">
      <c r="A460" s="6">
        <v>2698.0</v>
      </c>
      <c r="B460" s="5" t="s">
        <v>1024</v>
      </c>
      <c r="C460" s="2">
        <v>2990.0</v>
      </c>
      <c r="D460" s="7">
        <f t="shared" si="14"/>
        <v>100</v>
      </c>
    </row>
    <row r="461">
      <c r="A461" s="6">
        <v>2697.0</v>
      </c>
      <c r="B461" s="5" t="s">
        <v>1025</v>
      </c>
      <c r="C461" s="2">
        <v>3490.0</v>
      </c>
      <c r="D461" s="7">
        <f t="shared" si="14"/>
        <v>116</v>
      </c>
    </row>
    <row r="462">
      <c r="A462" s="6">
        <v>2699.0</v>
      </c>
      <c r="B462" s="5" t="s">
        <v>1028</v>
      </c>
      <c r="C462" s="2">
        <v>3490.0</v>
      </c>
      <c r="D462" s="7">
        <f t="shared" si="14"/>
        <v>116</v>
      </c>
    </row>
    <row r="463">
      <c r="A463" s="6">
        <v>2728.0</v>
      </c>
      <c r="B463" s="5" t="s">
        <v>1030</v>
      </c>
      <c r="C463" s="2">
        <v>2990.0</v>
      </c>
      <c r="D463" s="7">
        <f t="shared" si="14"/>
        <v>100</v>
      </c>
    </row>
    <row r="464" hidden="1">
      <c r="A464" s="6">
        <v>2591.0</v>
      </c>
      <c r="B464" s="5" t="s">
        <v>1032</v>
      </c>
      <c r="C464" s="2">
        <v>1.0</v>
      </c>
      <c r="D464" s="7"/>
    </row>
    <row r="465">
      <c r="A465" s="6">
        <v>2597.0</v>
      </c>
      <c r="B465" s="5" t="s">
        <v>1035</v>
      </c>
      <c r="C465" s="2">
        <v>3990.0</v>
      </c>
      <c r="D465" s="7">
        <f t="shared" ref="D465:D474" si="15">ROUND((C465*1.2)/36,0)</f>
        <v>133</v>
      </c>
    </row>
    <row r="466">
      <c r="A466" s="6">
        <v>2604.0</v>
      </c>
      <c r="B466" s="5" t="s">
        <v>1042</v>
      </c>
      <c r="C466" s="2">
        <v>3990.0</v>
      </c>
      <c r="D466" s="7">
        <f t="shared" si="15"/>
        <v>133</v>
      </c>
    </row>
    <row r="467">
      <c r="A467" s="6">
        <v>2598.0</v>
      </c>
      <c r="B467" s="5" t="s">
        <v>1044</v>
      </c>
      <c r="C467" s="2">
        <v>4490.0</v>
      </c>
      <c r="D467" s="7">
        <f t="shared" si="15"/>
        <v>150</v>
      </c>
    </row>
    <row r="468">
      <c r="A468" s="6">
        <v>2700.0</v>
      </c>
      <c r="B468" s="5" t="s">
        <v>1046</v>
      </c>
      <c r="C468" s="2">
        <v>4490.0</v>
      </c>
      <c r="D468" s="7">
        <f t="shared" si="15"/>
        <v>150</v>
      </c>
    </row>
    <row r="469">
      <c r="A469" s="6">
        <v>2595.0</v>
      </c>
      <c r="B469" s="5" t="s">
        <v>1050</v>
      </c>
      <c r="C469" s="2">
        <v>6990.0</v>
      </c>
      <c r="D469" s="7">
        <f t="shared" si="15"/>
        <v>233</v>
      </c>
    </row>
    <row r="470">
      <c r="A470" s="6">
        <v>2603.0</v>
      </c>
      <c r="B470" s="5" t="s">
        <v>1052</v>
      </c>
      <c r="C470" s="2">
        <v>5990.0</v>
      </c>
      <c r="D470" s="7">
        <f t="shared" si="15"/>
        <v>200</v>
      </c>
    </row>
    <row r="471">
      <c r="A471" s="6">
        <v>2607.0</v>
      </c>
      <c r="B471" s="5" t="s">
        <v>1053</v>
      </c>
      <c r="C471" s="2">
        <v>6990.0</v>
      </c>
      <c r="D471" s="7">
        <f t="shared" si="15"/>
        <v>233</v>
      </c>
    </row>
    <row r="472">
      <c r="A472" s="6">
        <v>2606.0</v>
      </c>
      <c r="B472" s="5" t="s">
        <v>1055</v>
      </c>
      <c r="C472" s="2">
        <v>3490.0</v>
      </c>
      <c r="D472" s="7">
        <f t="shared" si="15"/>
        <v>116</v>
      </c>
    </row>
    <row r="473">
      <c r="A473" s="6">
        <v>2592.0</v>
      </c>
      <c r="B473" s="5" t="s">
        <v>1056</v>
      </c>
      <c r="C473" s="2">
        <v>18990.0</v>
      </c>
      <c r="D473" s="7">
        <f t="shared" si="15"/>
        <v>633</v>
      </c>
    </row>
    <row r="474">
      <c r="A474" s="6">
        <v>2680.0</v>
      </c>
      <c r="B474" s="5" t="s">
        <v>1057</v>
      </c>
      <c r="C474" s="2">
        <v>990.0</v>
      </c>
      <c r="D474" s="7">
        <f t="shared" si="15"/>
        <v>33</v>
      </c>
    </row>
    <row r="475" hidden="1">
      <c r="A475" s="6">
        <v>2694.0</v>
      </c>
      <c r="B475" s="5" t="s">
        <v>1058</v>
      </c>
      <c r="C475" s="2">
        <v>1.0</v>
      </c>
      <c r="D475" s="7"/>
    </row>
    <row r="476">
      <c r="A476" s="6">
        <v>2690.0</v>
      </c>
      <c r="B476" s="5" t="s">
        <v>1060</v>
      </c>
      <c r="C476" s="2">
        <v>1990.0</v>
      </c>
      <c r="D476" s="7">
        <f t="shared" ref="D476:D507" si="16">ROUND((C476*1.2)/36,0)</f>
        <v>66</v>
      </c>
    </row>
    <row r="477">
      <c r="A477" s="6">
        <v>2693.0</v>
      </c>
      <c r="B477" s="5" t="s">
        <v>1065</v>
      </c>
      <c r="C477" s="2">
        <v>890.0</v>
      </c>
      <c r="D477" s="7">
        <f t="shared" si="16"/>
        <v>30</v>
      </c>
    </row>
    <row r="478">
      <c r="A478" s="6">
        <v>2681.0</v>
      </c>
      <c r="B478" s="5" t="s">
        <v>1066</v>
      </c>
      <c r="C478" s="2">
        <v>1290.0</v>
      </c>
      <c r="D478" s="7">
        <f t="shared" si="16"/>
        <v>43</v>
      </c>
    </row>
    <row r="479">
      <c r="A479" s="6">
        <v>2682.0</v>
      </c>
      <c r="B479" s="5" t="s">
        <v>1069</v>
      </c>
      <c r="C479" s="2">
        <v>1290.0</v>
      </c>
      <c r="D479" s="7">
        <f t="shared" si="16"/>
        <v>43</v>
      </c>
    </row>
    <row r="480">
      <c r="A480" s="6">
        <v>2683.0</v>
      </c>
      <c r="B480" s="5" t="s">
        <v>1071</v>
      </c>
      <c r="C480" s="2">
        <v>990.0</v>
      </c>
      <c r="D480" s="7">
        <f t="shared" si="16"/>
        <v>33</v>
      </c>
    </row>
    <row r="481">
      <c r="A481" s="6">
        <v>2679.0</v>
      </c>
      <c r="B481" s="5" t="s">
        <v>1073</v>
      </c>
      <c r="C481" s="2">
        <v>1590.0</v>
      </c>
      <c r="D481" s="7">
        <f t="shared" si="16"/>
        <v>53</v>
      </c>
    </row>
    <row r="482">
      <c r="A482" s="6">
        <v>2686.0</v>
      </c>
      <c r="B482" s="5" t="s">
        <v>1075</v>
      </c>
      <c r="C482" s="2">
        <v>1590.0</v>
      </c>
      <c r="D482" s="7">
        <f t="shared" si="16"/>
        <v>53</v>
      </c>
    </row>
    <row r="483">
      <c r="A483" s="6">
        <v>2678.0</v>
      </c>
      <c r="B483" s="5" t="s">
        <v>1077</v>
      </c>
      <c r="C483" s="2">
        <v>1490.0</v>
      </c>
      <c r="D483" s="7">
        <f t="shared" si="16"/>
        <v>50</v>
      </c>
    </row>
    <row r="484">
      <c r="A484" s="6">
        <v>2677.0</v>
      </c>
      <c r="B484" s="5" t="s">
        <v>1080</v>
      </c>
      <c r="C484" s="2">
        <v>1990.0</v>
      </c>
      <c r="D484" s="7">
        <f t="shared" si="16"/>
        <v>66</v>
      </c>
    </row>
    <row r="485">
      <c r="A485" s="6">
        <v>2691.0</v>
      </c>
      <c r="B485" s="5" t="s">
        <v>1083</v>
      </c>
      <c r="C485" s="2">
        <v>1990.0</v>
      </c>
      <c r="D485" s="7">
        <f t="shared" si="16"/>
        <v>66</v>
      </c>
    </row>
    <row r="486">
      <c r="A486" s="6">
        <v>2676.0</v>
      </c>
      <c r="B486" s="5" t="s">
        <v>1086</v>
      </c>
      <c r="C486" s="2">
        <v>1990.0</v>
      </c>
      <c r="D486" s="7">
        <f t="shared" si="16"/>
        <v>66</v>
      </c>
    </row>
    <row r="487">
      <c r="A487" s="6">
        <v>2692.0</v>
      </c>
      <c r="B487" s="5" t="s">
        <v>1087</v>
      </c>
      <c r="C487" s="2">
        <v>2990.0</v>
      </c>
      <c r="D487" s="7">
        <f t="shared" si="16"/>
        <v>100</v>
      </c>
    </row>
    <row r="488">
      <c r="A488" s="6">
        <v>2684.0</v>
      </c>
      <c r="B488" s="5" t="s">
        <v>1090</v>
      </c>
      <c r="C488" s="2">
        <v>3490.0</v>
      </c>
      <c r="D488" s="7">
        <f t="shared" si="16"/>
        <v>116</v>
      </c>
    </row>
    <row r="489">
      <c r="A489" s="6">
        <v>2689.0</v>
      </c>
      <c r="B489" s="5" t="s">
        <v>1091</v>
      </c>
      <c r="C489" s="2">
        <v>3490.0</v>
      </c>
      <c r="D489" s="7">
        <f t="shared" si="16"/>
        <v>116</v>
      </c>
    </row>
    <row r="490">
      <c r="A490" s="6">
        <v>2733.0</v>
      </c>
      <c r="B490" s="5" t="s">
        <v>1094</v>
      </c>
      <c r="C490" s="2">
        <v>3490.0</v>
      </c>
      <c r="D490" s="7">
        <f t="shared" si="16"/>
        <v>116</v>
      </c>
    </row>
    <row r="491">
      <c r="A491" s="6">
        <v>2687.0</v>
      </c>
      <c r="B491" s="5" t="s">
        <v>1097</v>
      </c>
      <c r="C491" s="2">
        <v>3490.0</v>
      </c>
      <c r="D491" s="7">
        <f t="shared" si="16"/>
        <v>116</v>
      </c>
    </row>
    <row r="492">
      <c r="A492" s="6">
        <v>2685.0</v>
      </c>
      <c r="B492" s="5" t="s">
        <v>1099</v>
      </c>
      <c r="C492" s="2">
        <v>2490.0</v>
      </c>
      <c r="D492" s="7">
        <f t="shared" si="16"/>
        <v>83</v>
      </c>
    </row>
    <row r="493">
      <c r="A493" s="6">
        <v>2688.0</v>
      </c>
      <c r="B493" s="5" t="s">
        <v>1103</v>
      </c>
      <c r="C493" s="2">
        <v>3490.0</v>
      </c>
      <c r="D493" s="7">
        <f t="shared" si="16"/>
        <v>116</v>
      </c>
    </row>
    <row r="494">
      <c r="A494" s="6">
        <v>2732.0</v>
      </c>
      <c r="B494" s="5" t="s">
        <v>1105</v>
      </c>
      <c r="C494" s="2">
        <v>3990.0</v>
      </c>
      <c r="D494" s="7">
        <f t="shared" si="16"/>
        <v>133</v>
      </c>
    </row>
    <row r="495">
      <c r="A495" s="6">
        <v>2724.0</v>
      </c>
      <c r="B495" s="5" t="s">
        <v>1108</v>
      </c>
      <c r="C495" s="2">
        <v>1890.0</v>
      </c>
      <c r="D495" s="7">
        <f t="shared" si="16"/>
        <v>63</v>
      </c>
    </row>
    <row r="496">
      <c r="A496" s="6">
        <v>2725.0</v>
      </c>
      <c r="B496" s="5" t="s">
        <v>1109</v>
      </c>
      <c r="C496" s="2">
        <v>1890.0</v>
      </c>
      <c r="D496" s="7">
        <f t="shared" si="16"/>
        <v>63</v>
      </c>
    </row>
    <row r="497">
      <c r="A497" s="6">
        <v>2730.0</v>
      </c>
      <c r="B497" s="5" t="s">
        <v>1112</v>
      </c>
      <c r="C497" s="2">
        <v>1990.0</v>
      </c>
      <c r="D497" s="7">
        <f t="shared" si="16"/>
        <v>66</v>
      </c>
    </row>
    <row r="498">
      <c r="A498" s="6">
        <v>2723.0</v>
      </c>
      <c r="B498" s="5" t="s">
        <v>1116</v>
      </c>
      <c r="C498" s="2">
        <v>2990.0</v>
      </c>
      <c r="D498" s="7">
        <f t="shared" si="16"/>
        <v>100</v>
      </c>
    </row>
    <row r="499">
      <c r="A499" s="6">
        <v>2729.0</v>
      </c>
      <c r="B499" s="5" t="s">
        <v>1118</v>
      </c>
      <c r="C499" s="2">
        <v>1990.0</v>
      </c>
      <c r="D499" s="7">
        <f t="shared" si="16"/>
        <v>66</v>
      </c>
    </row>
    <row r="500">
      <c r="A500" s="6">
        <v>2727.0</v>
      </c>
      <c r="B500" s="5" t="s">
        <v>1120</v>
      </c>
      <c r="C500" s="2">
        <v>2990.0</v>
      </c>
      <c r="D500" s="7">
        <f t="shared" si="16"/>
        <v>100</v>
      </c>
    </row>
    <row r="501">
      <c r="A501" s="6">
        <v>2722.0</v>
      </c>
      <c r="B501" s="5" t="s">
        <v>1122</v>
      </c>
      <c r="C501" s="2">
        <v>3490.0</v>
      </c>
      <c r="D501" s="7">
        <f t="shared" si="16"/>
        <v>116</v>
      </c>
    </row>
    <row r="502">
      <c r="A502" s="6">
        <v>2726.0</v>
      </c>
      <c r="B502" s="5" t="s">
        <v>1124</v>
      </c>
      <c r="C502" s="2">
        <v>2990.0</v>
      </c>
      <c r="D502" s="7">
        <f t="shared" si="16"/>
        <v>100</v>
      </c>
    </row>
    <row r="503">
      <c r="A503" s="6">
        <v>2731.0</v>
      </c>
      <c r="B503" s="5" t="s">
        <v>1127</v>
      </c>
      <c r="C503" s="2">
        <v>7990.0</v>
      </c>
      <c r="D503" s="7">
        <f t="shared" si="16"/>
        <v>266</v>
      </c>
    </row>
    <row r="504">
      <c r="A504" s="6">
        <v>3266.0</v>
      </c>
      <c r="B504" s="5" t="s">
        <v>1130</v>
      </c>
      <c r="C504" s="2">
        <v>2490.0</v>
      </c>
      <c r="D504" s="7">
        <f t="shared" si="16"/>
        <v>83</v>
      </c>
    </row>
    <row r="505">
      <c r="A505" s="6">
        <v>3265.0</v>
      </c>
      <c r="B505" s="5" t="s">
        <v>1131</v>
      </c>
      <c r="C505" s="2">
        <v>3000.0</v>
      </c>
      <c r="D505" s="7">
        <f t="shared" si="16"/>
        <v>100</v>
      </c>
    </row>
    <row r="506">
      <c r="A506" s="6">
        <v>3264.0</v>
      </c>
      <c r="B506" s="5" t="s">
        <v>1133</v>
      </c>
      <c r="C506" s="2">
        <v>3490.0</v>
      </c>
      <c r="D506" s="7">
        <f t="shared" si="16"/>
        <v>116</v>
      </c>
    </row>
    <row r="507">
      <c r="A507" s="6">
        <v>3267.0</v>
      </c>
      <c r="B507" s="5" t="s">
        <v>1136</v>
      </c>
      <c r="C507" s="2">
        <v>4990.0</v>
      </c>
      <c r="D507" s="7">
        <f t="shared" si="16"/>
        <v>166</v>
      </c>
    </row>
    <row r="508" hidden="1">
      <c r="A508" s="6">
        <v>2510.0</v>
      </c>
      <c r="B508" s="5" t="s">
        <v>1137</v>
      </c>
      <c r="C508" s="2">
        <v>1.0</v>
      </c>
      <c r="D508" s="7"/>
    </row>
    <row r="509" hidden="1">
      <c r="A509" s="6">
        <v>2511.0</v>
      </c>
      <c r="B509" s="5" t="s">
        <v>1140</v>
      </c>
      <c r="C509" s="2">
        <v>1.0</v>
      </c>
      <c r="D509" s="7"/>
    </row>
    <row r="510" hidden="1">
      <c r="A510" s="6">
        <v>2512.0</v>
      </c>
      <c r="B510" s="5" t="s">
        <v>1143</v>
      </c>
      <c r="C510" s="2">
        <v>1.0</v>
      </c>
      <c r="D510" s="7"/>
    </row>
    <row r="511" hidden="1">
      <c r="A511" s="6">
        <v>2513.0</v>
      </c>
      <c r="B511" s="5" t="s">
        <v>1144</v>
      </c>
      <c r="C511" s="2">
        <v>1.0</v>
      </c>
      <c r="D511" s="7"/>
    </row>
    <row r="512" hidden="1">
      <c r="A512" s="6">
        <v>2514.0</v>
      </c>
      <c r="B512" s="5" t="s">
        <v>1147</v>
      </c>
      <c r="C512" s="2">
        <v>1.0</v>
      </c>
      <c r="D512" s="7"/>
    </row>
    <row r="513" hidden="1">
      <c r="A513" s="6">
        <v>2516.0</v>
      </c>
      <c r="B513" s="5" t="s">
        <v>1148</v>
      </c>
      <c r="C513" s="2">
        <v>1.0</v>
      </c>
      <c r="D513" s="7"/>
    </row>
    <row r="514" hidden="1">
      <c r="A514" s="6">
        <v>2517.0</v>
      </c>
      <c r="B514" s="5" t="s">
        <v>1151</v>
      </c>
      <c r="C514" s="8" t="str">
        <f>IFERROR(VLOOKUP(B514,'Лист1'!$A:$L,12,FALSE),"")</f>
        <v/>
      </c>
      <c r="D514" s="7"/>
    </row>
    <row r="515" hidden="1">
      <c r="A515" s="6">
        <v>3910.0</v>
      </c>
      <c r="B515" s="5" t="s">
        <v>1162</v>
      </c>
      <c r="C515" s="8" t="str">
        <f>IFERROR(VLOOKUP(B515,'Лист1'!$A:$L,12,FALSE),"")</f>
        <v/>
      </c>
      <c r="D515" s="7"/>
    </row>
    <row r="516" hidden="1">
      <c r="A516" s="6">
        <v>3911.0</v>
      </c>
      <c r="B516" s="5" t="s">
        <v>1168</v>
      </c>
      <c r="C516" s="8" t="str">
        <f>IFERROR(VLOOKUP(B516,'Лист1'!$A:$L,12,FALSE),"")</f>
        <v/>
      </c>
      <c r="D516" s="7"/>
    </row>
    <row r="517" hidden="1">
      <c r="A517" s="6">
        <v>2518.0</v>
      </c>
      <c r="B517" s="5" t="s">
        <v>1170</v>
      </c>
      <c r="C517" s="8" t="str">
        <f>IFERROR(VLOOKUP(B517,'Лист1'!$A:$L,12,FALSE),"")</f>
        <v/>
      </c>
      <c r="D517" s="7"/>
    </row>
    <row r="518">
      <c r="A518" s="6">
        <v>2519.0</v>
      </c>
      <c r="B518" s="5" t="s">
        <v>1173</v>
      </c>
      <c r="C518" s="8">
        <f>IFERROR(VLOOKUP(B518,'Лист1'!$A:$L,12,FALSE),"")</f>
        <v>15390</v>
      </c>
      <c r="D518" s="7">
        <f t="shared" ref="D518:D538" si="17">ROUND((C518*1.2)/36,0)</f>
        <v>513</v>
      </c>
    </row>
    <row r="519">
      <c r="A519" s="6">
        <v>2520.0</v>
      </c>
      <c r="B519" s="5" t="s">
        <v>1179</v>
      </c>
      <c r="C519" s="8">
        <f>IFERROR(VLOOKUP(B519,'Лист1'!$A:$L,12,FALSE),"")</f>
        <v>14390</v>
      </c>
      <c r="D519" s="7">
        <f t="shared" si="17"/>
        <v>480</v>
      </c>
    </row>
    <row r="520">
      <c r="A520" s="6">
        <v>2523.0</v>
      </c>
      <c r="B520" s="5" t="s">
        <v>492</v>
      </c>
      <c r="C520" s="8">
        <f>IFERROR(VLOOKUP(B520,'Лист1'!$A:$L,12,FALSE),"")</f>
        <v>16890</v>
      </c>
      <c r="D520" s="7">
        <f t="shared" si="17"/>
        <v>563</v>
      </c>
    </row>
    <row r="521">
      <c r="A521" s="6">
        <v>2524.0</v>
      </c>
      <c r="B521" s="5" t="s">
        <v>1183</v>
      </c>
      <c r="C521" s="8">
        <f>IFERROR(VLOOKUP(B521,'Лист1'!$A:$L,12,FALSE),"")</f>
        <v>14390</v>
      </c>
      <c r="D521" s="7">
        <f t="shared" si="17"/>
        <v>480</v>
      </c>
    </row>
    <row r="522">
      <c r="A522" s="6">
        <v>2525.0</v>
      </c>
      <c r="B522" s="5" t="s">
        <v>1186</v>
      </c>
      <c r="C522" s="8">
        <f>C521</f>
        <v>14390</v>
      </c>
      <c r="D522" s="7">
        <f t="shared" si="17"/>
        <v>480</v>
      </c>
    </row>
    <row r="523">
      <c r="A523" s="6">
        <v>2526.0</v>
      </c>
      <c r="B523" s="5" t="s">
        <v>1191</v>
      </c>
      <c r="C523" s="8">
        <f>IFERROR(VLOOKUP(B523,'Лист1'!$A:$L,12,FALSE),"")</f>
        <v>31890</v>
      </c>
      <c r="D523" s="7">
        <f t="shared" si="17"/>
        <v>1063</v>
      </c>
    </row>
    <row r="524">
      <c r="A524" s="6">
        <v>2527.0</v>
      </c>
      <c r="B524" s="5" t="s">
        <v>1195</v>
      </c>
      <c r="C524" s="8">
        <f>IFERROR(VLOOKUP(B524,'Лист1'!$A:$L,12,FALSE),"")</f>
        <v>31890</v>
      </c>
      <c r="D524" s="7">
        <f t="shared" si="17"/>
        <v>1063</v>
      </c>
    </row>
    <row r="525">
      <c r="A525" s="6">
        <v>2528.0</v>
      </c>
      <c r="B525" s="5" t="s">
        <v>505</v>
      </c>
      <c r="C525" s="8">
        <f>IFERROR(VLOOKUP(B525,'Лист1'!$A:$L,12,FALSE),"")</f>
        <v>31890</v>
      </c>
      <c r="D525" s="7">
        <f t="shared" si="17"/>
        <v>1063</v>
      </c>
    </row>
    <row r="526">
      <c r="A526" s="6">
        <v>2529.0</v>
      </c>
      <c r="B526" s="5" t="s">
        <v>1199</v>
      </c>
      <c r="C526" s="8">
        <f>IFERROR(VLOOKUP(B526,'Лист1'!$A:$L,12,FALSE),"")</f>
        <v>31890</v>
      </c>
      <c r="D526" s="7">
        <f t="shared" si="17"/>
        <v>1063</v>
      </c>
    </row>
    <row r="527">
      <c r="A527" s="6">
        <v>2533.0</v>
      </c>
      <c r="B527" s="5" t="s">
        <v>1203</v>
      </c>
      <c r="C527" s="8">
        <f>IFERROR(VLOOKUP(B527,'Лист1'!$A:$L,12,FALSE),"")</f>
        <v>32390</v>
      </c>
      <c r="D527" s="7">
        <f t="shared" si="17"/>
        <v>1080</v>
      </c>
    </row>
    <row r="528">
      <c r="A528" s="6">
        <v>2530.0</v>
      </c>
      <c r="B528" s="5" t="s">
        <v>1204</v>
      </c>
      <c r="C528" s="8">
        <f t="shared" ref="C528:C529" si="18">C531</f>
        <v>32390</v>
      </c>
      <c r="D528" s="7">
        <f t="shared" si="17"/>
        <v>1080</v>
      </c>
    </row>
    <row r="529">
      <c r="A529" s="6">
        <v>2531.0</v>
      </c>
      <c r="B529" s="5" t="s">
        <v>1208</v>
      </c>
      <c r="C529" s="8">
        <f t="shared" si="18"/>
        <v>32390</v>
      </c>
      <c r="D529" s="7">
        <f t="shared" si="17"/>
        <v>1080</v>
      </c>
    </row>
    <row r="530">
      <c r="A530" s="6">
        <v>2532.0</v>
      </c>
      <c r="B530" s="5" t="s">
        <v>1209</v>
      </c>
      <c r="C530" s="8">
        <f>IFERROR(VLOOKUP(B530,'Лист1'!$A:$L,12,FALSE),"")</f>
        <v>32390</v>
      </c>
      <c r="D530" s="7">
        <f t="shared" si="17"/>
        <v>1080</v>
      </c>
    </row>
    <row r="531">
      <c r="A531" s="6">
        <v>2534.0</v>
      </c>
      <c r="B531" s="5" t="s">
        <v>1213</v>
      </c>
      <c r="C531" s="8">
        <f>IFERROR(VLOOKUP(B531,'Лист1'!$A:$L,12,FALSE),"")</f>
        <v>32390</v>
      </c>
      <c r="D531" s="7">
        <f t="shared" si="17"/>
        <v>1080</v>
      </c>
    </row>
    <row r="532">
      <c r="A532" s="6">
        <v>2535.0</v>
      </c>
      <c r="B532" s="5" t="s">
        <v>1215</v>
      </c>
      <c r="C532" s="8">
        <f>C531</f>
        <v>32390</v>
      </c>
      <c r="D532" s="7">
        <f t="shared" si="17"/>
        <v>1080</v>
      </c>
    </row>
    <row r="533">
      <c r="A533" s="6">
        <v>3552.0</v>
      </c>
      <c r="B533" s="5" t="s">
        <v>485</v>
      </c>
      <c r="C533" s="8">
        <f>IFERROR(VLOOKUP(B533,'Лист1'!$A:$L,12,FALSE),"")</f>
        <v>12890</v>
      </c>
      <c r="D533" s="7">
        <f t="shared" si="17"/>
        <v>430</v>
      </c>
    </row>
    <row r="534">
      <c r="A534" s="6">
        <v>3547.0</v>
      </c>
      <c r="B534" s="5" t="s">
        <v>1219</v>
      </c>
      <c r="C534" s="8">
        <f>IFERROR(VLOOKUP(B534,'Лист1'!$A:$L,12,FALSE),"")</f>
        <v>42890</v>
      </c>
      <c r="D534" s="7">
        <f t="shared" si="17"/>
        <v>1430</v>
      </c>
    </row>
    <row r="535">
      <c r="A535" s="6">
        <v>3548.0</v>
      </c>
      <c r="B535" s="5" t="s">
        <v>1223</v>
      </c>
      <c r="C535" s="8">
        <f>IFERROR(VLOOKUP(B535,'Лист1'!$A:$L,12,FALSE),"")</f>
        <v>45390</v>
      </c>
      <c r="D535" s="7">
        <f t="shared" si="17"/>
        <v>1513</v>
      </c>
    </row>
    <row r="536">
      <c r="A536" s="6">
        <v>3549.0</v>
      </c>
      <c r="B536" s="5" t="s">
        <v>1225</v>
      </c>
      <c r="C536" s="8">
        <f>IFERROR(VLOOKUP(B536,'Лист1'!$A:$L,12,FALSE),"")</f>
        <v>45390</v>
      </c>
      <c r="D536" s="7">
        <f t="shared" si="17"/>
        <v>1513</v>
      </c>
    </row>
    <row r="537">
      <c r="A537" s="6">
        <v>3550.0</v>
      </c>
      <c r="B537" s="5" t="s">
        <v>1228</v>
      </c>
      <c r="C537" s="8">
        <f>IFERROR(VLOOKUP(B537,'Лист1'!$A:$L,12,FALSE),"")</f>
        <v>47390</v>
      </c>
      <c r="D537" s="7">
        <f t="shared" si="17"/>
        <v>1580</v>
      </c>
    </row>
    <row r="538">
      <c r="A538" s="6">
        <v>3551.0</v>
      </c>
      <c r="B538" s="5" t="s">
        <v>1231</v>
      </c>
      <c r="C538" s="8">
        <f>IFERROR(VLOOKUP(B538,'Лист1'!$A:$L,12,FALSE),"")</f>
        <v>45390</v>
      </c>
      <c r="D538" s="7">
        <f t="shared" si="17"/>
        <v>1513</v>
      </c>
    </row>
    <row r="539" hidden="1">
      <c r="A539" s="6">
        <v>2335.0</v>
      </c>
      <c r="B539" s="5" t="s">
        <v>1233</v>
      </c>
      <c r="C539" s="2">
        <v>1.0</v>
      </c>
      <c r="D539" s="7"/>
    </row>
    <row r="540" hidden="1">
      <c r="A540" s="6">
        <v>2336.0</v>
      </c>
      <c r="B540" s="5" t="s">
        <v>1234</v>
      </c>
      <c r="C540" s="2">
        <v>1.0</v>
      </c>
      <c r="D540" s="7"/>
    </row>
    <row r="541" hidden="1">
      <c r="A541" s="6">
        <v>2337.0</v>
      </c>
      <c r="B541" s="5" t="s">
        <v>1237</v>
      </c>
      <c r="C541" s="2">
        <v>1.0</v>
      </c>
      <c r="D541" s="7"/>
    </row>
    <row r="542" hidden="1">
      <c r="A542" s="6">
        <v>2338.0</v>
      </c>
      <c r="B542" s="5" t="s">
        <v>1238</v>
      </c>
      <c r="C542" s="2">
        <v>1.0</v>
      </c>
      <c r="D542" s="7"/>
    </row>
    <row r="543" hidden="1">
      <c r="A543" s="6">
        <v>2339.0</v>
      </c>
      <c r="B543" s="5" t="s">
        <v>1240</v>
      </c>
      <c r="C543" s="2">
        <v>1.0</v>
      </c>
      <c r="D543" s="7"/>
    </row>
    <row r="544" hidden="1">
      <c r="A544" s="6">
        <v>2340.0</v>
      </c>
      <c r="B544" s="5" t="s">
        <v>1241</v>
      </c>
      <c r="C544" s="2">
        <v>1.0</v>
      </c>
      <c r="D544" s="7"/>
    </row>
    <row r="545" hidden="1">
      <c r="A545" s="6">
        <v>2341.0</v>
      </c>
      <c r="B545" s="5" t="s">
        <v>1242</v>
      </c>
      <c r="C545" s="2">
        <v>1.0</v>
      </c>
      <c r="D545" s="7"/>
    </row>
    <row r="546" hidden="1">
      <c r="A546" s="6">
        <v>2342.0</v>
      </c>
      <c r="B546" s="5" t="s">
        <v>1243</v>
      </c>
      <c r="C546" s="2">
        <v>1.0</v>
      </c>
      <c r="D546" s="7"/>
    </row>
    <row r="547" hidden="1">
      <c r="A547" s="6">
        <v>2343.0</v>
      </c>
      <c r="B547" s="5" t="s">
        <v>1244</v>
      </c>
      <c r="C547" s="2">
        <v>1.0</v>
      </c>
      <c r="D547" s="7"/>
    </row>
    <row r="548" hidden="1">
      <c r="A548" s="6">
        <v>2344.0</v>
      </c>
      <c r="B548" s="5" t="s">
        <v>1246</v>
      </c>
      <c r="C548" s="2">
        <v>1.0</v>
      </c>
      <c r="D548" s="7"/>
    </row>
    <row r="549" hidden="1">
      <c r="A549" s="6">
        <v>2345.0</v>
      </c>
      <c r="B549" s="5" t="s">
        <v>1247</v>
      </c>
      <c r="C549" s="2">
        <v>1.0</v>
      </c>
      <c r="D549" s="7"/>
    </row>
    <row r="550" hidden="1">
      <c r="A550" s="6">
        <v>2346.0</v>
      </c>
      <c r="B550" s="5" t="s">
        <v>1248</v>
      </c>
      <c r="C550" s="2">
        <v>1.0</v>
      </c>
      <c r="D550" s="7"/>
    </row>
    <row r="551" hidden="1">
      <c r="A551" s="6">
        <v>2347.0</v>
      </c>
      <c r="B551" s="5" t="s">
        <v>1249</v>
      </c>
      <c r="C551" s="2">
        <v>1.0</v>
      </c>
      <c r="D551" s="7"/>
    </row>
    <row r="552" hidden="1">
      <c r="A552" s="6">
        <v>2348.0</v>
      </c>
      <c r="B552" s="5" t="s">
        <v>1250</v>
      </c>
      <c r="C552" s="2">
        <v>1.0</v>
      </c>
      <c r="D552" s="7"/>
    </row>
    <row r="553" hidden="1">
      <c r="A553" s="6">
        <v>2349.0</v>
      </c>
      <c r="B553" s="5" t="s">
        <v>1251</v>
      </c>
      <c r="C553" s="2">
        <v>1.0</v>
      </c>
      <c r="D553" s="7"/>
    </row>
    <row r="554" hidden="1">
      <c r="A554" s="6">
        <v>2365.0</v>
      </c>
      <c r="B554" s="5" t="s">
        <v>1252</v>
      </c>
      <c r="C554" s="2">
        <v>1.0</v>
      </c>
      <c r="D554" s="7"/>
    </row>
    <row r="555" hidden="1">
      <c r="A555" s="6">
        <v>2366.0</v>
      </c>
      <c r="B555" s="5" t="s">
        <v>1253</v>
      </c>
      <c r="C555" s="2">
        <v>1.0</v>
      </c>
      <c r="D555" s="7"/>
    </row>
    <row r="556" hidden="1">
      <c r="A556" s="6">
        <v>2367.0</v>
      </c>
      <c r="B556" s="5" t="s">
        <v>1254</v>
      </c>
      <c r="C556" s="2">
        <v>1.0</v>
      </c>
      <c r="D556" s="7"/>
    </row>
    <row r="557" hidden="1">
      <c r="A557" s="6">
        <v>2368.0</v>
      </c>
      <c r="B557" s="5" t="s">
        <v>1255</v>
      </c>
      <c r="C557" s="2">
        <v>1.0</v>
      </c>
      <c r="D557" s="7"/>
    </row>
    <row r="558" hidden="1">
      <c r="A558" s="6">
        <v>2369.0</v>
      </c>
      <c r="B558" s="5" t="s">
        <v>1256</v>
      </c>
      <c r="C558" s="2">
        <v>1.0</v>
      </c>
      <c r="D558" s="7"/>
    </row>
    <row r="559" hidden="1">
      <c r="A559" s="6">
        <v>2370.0</v>
      </c>
      <c r="B559" s="5" t="s">
        <v>1257</v>
      </c>
      <c r="C559" s="2">
        <v>1.0</v>
      </c>
      <c r="D559" s="7"/>
    </row>
    <row r="560" hidden="1">
      <c r="A560" s="6">
        <v>2371.0</v>
      </c>
      <c r="B560" s="5" t="s">
        <v>1258</v>
      </c>
      <c r="C560" s="2">
        <v>1.0</v>
      </c>
      <c r="D560" s="7"/>
    </row>
    <row r="561" hidden="1">
      <c r="A561" s="6">
        <v>2372.0</v>
      </c>
      <c r="B561" s="5" t="s">
        <v>1260</v>
      </c>
      <c r="C561" s="2">
        <v>1.0</v>
      </c>
      <c r="D561" s="7"/>
    </row>
    <row r="562" hidden="1">
      <c r="A562" s="6">
        <v>2373.0</v>
      </c>
      <c r="B562" s="5" t="s">
        <v>1261</v>
      </c>
      <c r="C562" s="2">
        <v>1.0</v>
      </c>
      <c r="D562" s="7"/>
    </row>
    <row r="563" hidden="1">
      <c r="A563" s="6">
        <v>2374.0</v>
      </c>
      <c r="B563" s="5" t="s">
        <v>1262</v>
      </c>
      <c r="C563" s="2">
        <v>1.0</v>
      </c>
      <c r="D563" s="7"/>
    </row>
    <row r="564" hidden="1">
      <c r="A564" s="6">
        <v>2375.0</v>
      </c>
      <c r="B564" s="5" t="s">
        <v>1263</v>
      </c>
      <c r="C564" s="2">
        <v>1.0</v>
      </c>
      <c r="D564" s="7"/>
    </row>
    <row r="565" hidden="1">
      <c r="A565" s="6">
        <v>2376.0</v>
      </c>
      <c r="B565" s="5" t="s">
        <v>1264</v>
      </c>
      <c r="C565" s="2">
        <v>1.0</v>
      </c>
      <c r="D565" s="7"/>
    </row>
    <row r="566" hidden="1">
      <c r="A566" s="6">
        <v>2377.0</v>
      </c>
      <c r="B566" s="5" t="s">
        <v>1265</v>
      </c>
      <c r="C566" s="2">
        <v>1.0</v>
      </c>
      <c r="D566" s="7"/>
    </row>
    <row r="567" hidden="1">
      <c r="A567" s="6">
        <v>2378.0</v>
      </c>
      <c r="B567" s="5" t="s">
        <v>1266</v>
      </c>
      <c r="C567" s="2">
        <v>1.0</v>
      </c>
      <c r="D567" s="7"/>
    </row>
    <row r="568" hidden="1">
      <c r="A568" s="6">
        <v>2379.0</v>
      </c>
      <c r="B568" s="5" t="s">
        <v>1267</v>
      </c>
      <c r="C568" s="2">
        <v>1.0</v>
      </c>
      <c r="D568" s="7"/>
    </row>
    <row r="569" hidden="1">
      <c r="A569" s="6">
        <v>3590.0</v>
      </c>
      <c r="B569" s="5" t="s">
        <v>1268</v>
      </c>
      <c r="C569" s="2">
        <v>1.0</v>
      </c>
      <c r="D569" s="7"/>
    </row>
    <row r="570">
      <c r="A570" s="6">
        <v>3589.0</v>
      </c>
      <c r="B570" s="5" t="s">
        <v>1269</v>
      </c>
      <c r="C570" s="8">
        <f>IFERROR(VLOOKUP(B570,'Лист1'!$A:$L,12,FALSE),"")</f>
        <v>11390</v>
      </c>
      <c r="D570" s="7">
        <f t="shared" ref="D570:D571" si="19">ROUND((C570*1.2)/36,0)</f>
        <v>380</v>
      </c>
    </row>
    <row r="571">
      <c r="A571" s="6">
        <v>3576.0</v>
      </c>
      <c r="B571" s="5" t="s">
        <v>1272</v>
      </c>
      <c r="C571" s="8">
        <f>IFERROR(VLOOKUP(B571,'Лист1'!$A:$L,12,FALSE),"")</f>
        <v>116890</v>
      </c>
      <c r="D571" s="7">
        <f t="shared" si="19"/>
        <v>3896</v>
      </c>
    </row>
    <row r="572" hidden="1">
      <c r="A572" s="6">
        <v>3583.0</v>
      </c>
      <c r="B572" s="5" t="s">
        <v>1273</v>
      </c>
      <c r="C572" s="2">
        <v>1.0</v>
      </c>
      <c r="D572" s="7"/>
    </row>
    <row r="573" hidden="1">
      <c r="A573" s="6">
        <v>3584.0</v>
      </c>
      <c r="B573" s="5" t="s">
        <v>1274</v>
      </c>
      <c r="C573" s="2">
        <v>1.0</v>
      </c>
      <c r="D573" s="7"/>
    </row>
    <row r="574" hidden="1">
      <c r="A574" s="6">
        <v>3585.0</v>
      </c>
      <c r="B574" s="5" t="s">
        <v>1275</v>
      </c>
      <c r="C574" s="2">
        <v>1.0</v>
      </c>
      <c r="D574" s="7"/>
    </row>
    <row r="575" hidden="1">
      <c r="A575" s="6">
        <v>3586.0</v>
      </c>
      <c r="B575" s="5" t="s">
        <v>1277</v>
      </c>
      <c r="C575" s="2">
        <v>1.0</v>
      </c>
      <c r="D575" s="7"/>
    </row>
    <row r="576" hidden="1">
      <c r="A576" s="6">
        <v>3587.0</v>
      </c>
      <c r="B576" s="5" t="s">
        <v>1278</v>
      </c>
      <c r="C576" s="2">
        <v>1.0</v>
      </c>
      <c r="D576" s="7"/>
    </row>
    <row r="577" hidden="1">
      <c r="A577" s="6">
        <v>3588.0</v>
      </c>
      <c r="B577" s="5" t="s">
        <v>1279</v>
      </c>
      <c r="C577" s="2">
        <v>1.0</v>
      </c>
      <c r="D577" s="7"/>
    </row>
    <row r="578" hidden="1">
      <c r="A578" s="6">
        <v>3577.0</v>
      </c>
      <c r="B578" s="5" t="s">
        <v>1280</v>
      </c>
      <c r="C578" s="2">
        <v>1.0</v>
      </c>
      <c r="D578" s="7"/>
    </row>
    <row r="579" hidden="1">
      <c r="A579" s="6">
        <v>3578.0</v>
      </c>
      <c r="B579" s="5" t="s">
        <v>1281</v>
      </c>
      <c r="C579" s="2">
        <v>1.0</v>
      </c>
      <c r="D579" s="7"/>
    </row>
    <row r="580" hidden="1">
      <c r="A580" s="6">
        <v>3579.0</v>
      </c>
      <c r="B580" s="5" t="s">
        <v>1282</v>
      </c>
      <c r="C580" s="2">
        <v>1.0</v>
      </c>
      <c r="D580" s="7"/>
    </row>
    <row r="581" hidden="1">
      <c r="A581" s="6">
        <v>3580.0</v>
      </c>
      <c r="B581" s="5" t="s">
        <v>1283</v>
      </c>
      <c r="C581" s="2">
        <v>1.0</v>
      </c>
      <c r="D581" s="7"/>
    </row>
    <row r="582" hidden="1">
      <c r="A582" s="6">
        <v>3581.0</v>
      </c>
      <c r="B582" s="5" t="s">
        <v>1284</v>
      </c>
      <c r="C582" s="2">
        <v>1.0</v>
      </c>
      <c r="D582" s="7"/>
    </row>
    <row r="583" hidden="1">
      <c r="A583" s="6">
        <v>3582.0</v>
      </c>
      <c r="B583" s="5" t="s">
        <v>1287</v>
      </c>
      <c r="C583" s="2">
        <v>1.0</v>
      </c>
      <c r="D583" s="7"/>
    </row>
    <row r="584">
      <c r="A584" s="6">
        <v>3707.0</v>
      </c>
      <c r="B584" s="2" t="s">
        <v>1288</v>
      </c>
      <c r="C584" s="8">
        <f>IFERROR(VLOOKUP(B584,'Лист1'!$A:$L,12,FALSE),"")</f>
        <v>53890</v>
      </c>
      <c r="D584" s="7">
        <f t="shared" ref="D584:D588" si="20">ROUND((C584*1.2)/36,0)</f>
        <v>1796</v>
      </c>
    </row>
    <row r="585">
      <c r="A585" s="6">
        <v>3705.0</v>
      </c>
      <c r="B585" s="2" t="s">
        <v>1291</v>
      </c>
      <c r="C585" s="8">
        <f>IFERROR(VLOOKUP(B585,'Лист1'!$A:$L,12,FALSE),"")</f>
        <v>58390</v>
      </c>
      <c r="D585" s="7">
        <f t="shared" si="20"/>
        <v>1946</v>
      </c>
    </row>
    <row r="586">
      <c r="A586" s="6">
        <v>3706.0</v>
      </c>
      <c r="B586" s="2" t="s">
        <v>1295</v>
      </c>
      <c r="C586" s="8">
        <f>IFERROR(VLOOKUP(B586,'Лист1'!$A:$L,12,FALSE),"")</f>
        <v>66890</v>
      </c>
      <c r="D586" s="7">
        <f t="shared" si="20"/>
        <v>2230</v>
      </c>
    </row>
    <row r="587">
      <c r="A587" s="6">
        <v>3660.0</v>
      </c>
      <c r="B587" s="5" t="s">
        <v>1299</v>
      </c>
      <c r="C587" s="8">
        <f>IFERROR(VLOOKUP(B587,'Лист1'!$A:$L,12,FALSE),"")</f>
        <v>156390</v>
      </c>
      <c r="D587" s="7">
        <f t="shared" si="20"/>
        <v>5213</v>
      </c>
    </row>
    <row r="588">
      <c r="A588" s="6">
        <v>3661.0</v>
      </c>
      <c r="B588" s="5" t="s">
        <v>1303</v>
      </c>
      <c r="C588" s="8">
        <f>IFERROR(VLOOKUP(B588,'Лист1'!$A:$L,12,FALSE),"")</f>
        <v>156390</v>
      </c>
      <c r="D588" s="7">
        <f t="shared" si="20"/>
        <v>5213</v>
      </c>
    </row>
    <row r="589" hidden="1">
      <c r="A589" s="6">
        <v>3662.0</v>
      </c>
      <c r="B589" s="5" t="s">
        <v>1304</v>
      </c>
      <c r="C589" s="2">
        <v>1.0</v>
      </c>
      <c r="D589" s="7"/>
    </row>
    <row r="590" hidden="1">
      <c r="A590" s="6">
        <v>3663.0</v>
      </c>
      <c r="B590" s="5" t="s">
        <v>1305</v>
      </c>
      <c r="C590" s="2">
        <v>1.0</v>
      </c>
      <c r="D590" s="7"/>
    </row>
    <row r="591" hidden="1">
      <c r="A591" s="6">
        <v>3664.0</v>
      </c>
      <c r="B591" s="5" t="s">
        <v>1308</v>
      </c>
      <c r="C591" s="2">
        <v>1.0</v>
      </c>
      <c r="D591" s="7"/>
    </row>
    <row r="592" hidden="1">
      <c r="A592" s="6">
        <v>3665.0</v>
      </c>
      <c r="B592" s="5" t="s">
        <v>1309</v>
      </c>
      <c r="C592" s="2">
        <v>1.0</v>
      </c>
      <c r="D592" s="7"/>
    </row>
    <row r="593">
      <c r="A593" s="6">
        <v>3666.0</v>
      </c>
      <c r="B593" s="5" t="s">
        <v>1310</v>
      </c>
      <c r="C593" s="8">
        <f>IFERROR(VLOOKUP(B593,'Лист1'!$A:$L,12,FALSE),"")</f>
        <v>229890</v>
      </c>
      <c r="D593" s="7">
        <f>ROUND((C593*1.2)/36,0)</f>
        <v>7663</v>
      </c>
    </row>
    <row r="594" hidden="1">
      <c r="A594" s="6">
        <v>3667.0</v>
      </c>
      <c r="B594" s="5" t="s">
        <v>1314</v>
      </c>
      <c r="C594" s="2">
        <v>1.0</v>
      </c>
      <c r="D594" s="7"/>
    </row>
    <row r="595">
      <c r="A595" s="6">
        <v>3668.0</v>
      </c>
      <c r="B595" s="5" t="s">
        <v>1315</v>
      </c>
      <c r="C595" s="8">
        <f>IFERROR(VLOOKUP(B595,'Лист1'!$A:$L,12,FALSE),"")</f>
        <v>233390</v>
      </c>
      <c r="D595" s="7">
        <f t="shared" ref="D595:D598" si="21">ROUND((C595*1.2)/36,0)</f>
        <v>7780</v>
      </c>
    </row>
    <row r="596">
      <c r="A596" s="6">
        <v>3669.0</v>
      </c>
      <c r="B596" s="5" t="s">
        <v>1319</v>
      </c>
      <c r="C596" s="8">
        <f>IFERROR(VLOOKUP(B596,'Лист1'!$A:$L,12,FALSE),"")</f>
        <v>214890</v>
      </c>
      <c r="D596" s="7">
        <f t="shared" si="21"/>
        <v>7163</v>
      </c>
    </row>
    <row r="597">
      <c r="A597" s="6">
        <v>3670.0</v>
      </c>
      <c r="B597" s="5" t="s">
        <v>1322</v>
      </c>
      <c r="C597" s="8">
        <f>IFERROR(VLOOKUP(B597,'Лист1'!$A:$L,12,FALSE),"")</f>
        <v>293890</v>
      </c>
      <c r="D597" s="7">
        <f t="shared" si="21"/>
        <v>9796</v>
      </c>
    </row>
    <row r="598">
      <c r="A598" s="6">
        <v>3671.0</v>
      </c>
      <c r="B598" s="5" t="s">
        <v>1325</v>
      </c>
      <c r="C598" s="8">
        <f>IFERROR(VLOOKUP(B598,'Лист1'!$A:$L,12,FALSE),"")</f>
        <v>309390</v>
      </c>
      <c r="D598" s="7">
        <f t="shared" si="21"/>
        <v>10313</v>
      </c>
    </row>
    <row r="599" hidden="1">
      <c r="A599" s="6">
        <v>3711.0</v>
      </c>
      <c r="B599" s="5" t="s">
        <v>1327</v>
      </c>
      <c r="C599" s="2">
        <v>1.0</v>
      </c>
      <c r="D599" s="7"/>
    </row>
    <row r="600" hidden="1">
      <c r="A600" s="6">
        <v>3712.0</v>
      </c>
      <c r="B600" s="5" t="s">
        <v>1328</v>
      </c>
      <c r="C600" s="2">
        <v>1.0</v>
      </c>
      <c r="D600" s="7"/>
    </row>
    <row r="601" hidden="1">
      <c r="A601" s="6">
        <v>3713.0</v>
      </c>
      <c r="B601" s="5" t="s">
        <v>1329</v>
      </c>
      <c r="C601" s="2">
        <v>1.0</v>
      </c>
      <c r="D601" s="7"/>
    </row>
    <row r="602" hidden="1">
      <c r="A602" s="6">
        <v>3714.0</v>
      </c>
      <c r="B602" s="5" t="s">
        <v>1330</v>
      </c>
      <c r="C602" s="2">
        <v>1.0</v>
      </c>
      <c r="D602" s="7"/>
    </row>
    <row r="603" hidden="1">
      <c r="A603" s="6">
        <v>3715.0</v>
      </c>
      <c r="B603" s="5" t="s">
        <v>1333</v>
      </c>
      <c r="C603" s="2">
        <v>1.0</v>
      </c>
      <c r="D603" s="7"/>
    </row>
    <row r="604" hidden="1">
      <c r="A604" s="6">
        <v>3716.0</v>
      </c>
      <c r="B604" s="5" t="s">
        <v>1334</v>
      </c>
      <c r="C604" s="2">
        <v>1.0</v>
      </c>
      <c r="D604" s="7"/>
    </row>
    <row r="605" hidden="1">
      <c r="A605" s="6">
        <v>3717.0</v>
      </c>
      <c r="B605" s="5" t="s">
        <v>1335</v>
      </c>
      <c r="C605" s="2">
        <v>1.0</v>
      </c>
      <c r="D605" s="7"/>
    </row>
    <row r="606" hidden="1">
      <c r="A606" s="6">
        <v>3718.0</v>
      </c>
      <c r="B606" s="5" t="s">
        <v>1336</v>
      </c>
      <c r="C606" s="2">
        <v>1.0</v>
      </c>
      <c r="D606" s="7"/>
    </row>
    <row r="607" hidden="1">
      <c r="A607" s="6">
        <v>3719.0</v>
      </c>
      <c r="B607" s="5" t="s">
        <v>1338</v>
      </c>
      <c r="C607" s="2">
        <v>1.0</v>
      </c>
      <c r="D607" s="7"/>
    </row>
    <row r="608" hidden="1">
      <c r="A608" s="6">
        <v>3720.0</v>
      </c>
      <c r="B608" s="5" t="s">
        <v>1339</v>
      </c>
      <c r="C608" s="2">
        <v>1.0</v>
      </c>
      <c r="D608" s="7"/>
    </row>
    <row r="609" hidden="1">
      <c r="A609" s="6">
        <v>3721.0</v>
      </c>
      <c r="B609" s="5" t="s">
        <v>1340</v>
      </c>
      <c r="C609" s="2">
        <v>1.0</v>
      </c>
      <c r="D609" s="7"/>
    </row>
    <row r="610" hidden="1">
      <c r="A610" s="6">
        <v>3722.0</v>
      </c>
      <c r="B610" s="5" t="s">
        <v>1342</v>
      </c>
      <c r="C610" s="2">
        <v>1.0</v>
      </c>
      <c r="D610" s="7"/>
    </row>
    <row r="611" hidden="1">
      <c r="A611" s="6">
        <v>3723.0</v>
      </c>
      <c r="B611" s="5" t="s">
        <v>1343</v>
      </c>
      <c r="C611" s="2">
        <v>1.0</v>
      </c>
      <c r="D611" s="7"/>
    </row>
    <row r="612" hidden="1">
      <c r="A612" s="6">
        <v>3724.0</v>
      </c>
      <c r="B612" s="5" t="s">
        <v>1346</v>
      </c>
      <c r="C612" s="2">
        <v>1.0</v>
      </c>
      <c r="D612" s="7"/>
    </row>
    <row r="613" hidden="1">
      <c r="A613" s="6">
        <v>3725.0</v>
      </c>
      <c r="B613" s="5" t="s">
        <v>1347</v>
      </c>
      <c r="C613" s="2">
        <v>1.0</v>
      </c>
      <c r="D613" s="7"/>
    </row>
    <row r="614" hidden="1">
      <c r="A614" s="6">
        <v>3726.0</v>
      </c>
      <c r="B614" s="5" t="s">
        <v>1348</v>
      </c>
      <c r="C614" s="2">
        <v>1.0</v>
      </c>
      <c r="D614" s="7"/>
    </row>
    <row r="615" hidden="1">
      <c r="A615" s="6">
        <v>3727.0</v>
      </c>
      <c r="B615" s="5" t="s">
        <v>1349</v>
      </c>
      <c r="C615" s="2">
        <v>1.0</v>
      </c>
      <c r="D615" s="7"/>
    </row>
    <row r="616" hidden="1">
      <c r="A616" s="6">
        <v>3728.0</v>
      </c>
      <c r="B616" s="5" t="s">
        <v>1350</v>
      </c>
      <c r="C616" s="2">
        <v>1.0</v>
      </c>
      <c r="D616" s="7"/>
    </row>
    <row r="617" hidden="1">
      <c r="A617" s="6">
        <v>3729.0</v>
      </c>
      <c r="B617" s="5" t="s">
        <v>1351</v>
      </c>
      <c r="C617" s="2">
        <v>1.0</v>
      </c>
      <c r="D617" s="7"/>
    </row>
    <row r="618" hidden="1">
      <c r="A618" s="6">
        <v>3730.0</v>
      </c>
      <c r="B618" s="5" t="s">
        <v>1353</v>
      </c>
      <c r="C618" s="2">
        <v>1.0</v>
      </c>
      <c r="D618" s="7"/>
    </row>
    <row r="619" hidden="1">
      <c r="A619" s="6">
        <v>3731.0</v>
      </c>
      <c r="B619" s="5" t="s">
        <v>1354</v>
      </c>
      <c r="C619" s="2">
        <v>1.0</v>
      </c>
      <c r="D619" s="7"/>
    </row>
    <row r="620" hidden="1">
      <c r="A620" s="6">
        <v>3732.0</v>
      </c>
      <c r="B620" s="5" t="s">
        <v>1356</v>
      </c>
      <c r="C620" s="2">
        <v>1.0</v>
      </c>
      <c r="D620" s="7"/>
    </row>
    <row r="621" hidden="1">
      <c r="A621" s="6">
        <v>3733.0</v>
      </c>
      <c r="B621" s="5" t="s">
        <v>1359</v>
      </c>
      <c r="C621" s="2">
        <v>1.0</v>
      </c>
      <c r="D621" s="7"/>
    </row>
    <row r="622" hidden="1">
      <c r="A622" s="6">
        <v>3734.0</v>
      </c>
      <c r="B622" s="5" t="s">
        <v>1360</v>
      </c>
      <c r="C622" s="2">
        <v>1.0</v>
      </c>
      <c r="D622" s="7"/>
    </row>
    <row r="623" hidden="1">
      <c r="A623" s="6">
        <v>3735.0</v>
      </c>
      <c r="B623" s="5" t="s">
        <v>1361</v>
      </c>
      <c r="C623" s="2">
        <v>1.0</v>
      </c>
      <c r="D623" s="7"/>
    </row>
    <row r="624" hidden="1">
      <c r="A624" s="6">
        <v>3736.0</v>
      </c>
      <c r="B624" s="5" t="s">
        <v>1362</v>
      </c>
      <c r="C624" s="2">
        <v>1.0</v>
      </c>
      <c r="D624" s="7"/>
    </row>
    <row r="625" hidden="1">
      <c r="A625" s="6">
        <v>3737.0</v>
      </c>
      <c r="B625" s="5" t="s">
        <v>1363</v>
      </c>
      <c r="C625" s="2">
        <v>1.0</v>
      </c>
      <c r="D625" s="7"/>
    </row>
    <row r="626" hidden="1">
      <c r="A626" s="6">
        <v>3738.0</v>
      </c>
      <c r="B626" s="5" t="s">
        <v>1364</v>
      </c>
      <c r="C626" s="2">
        <v>1.0</v>
      </c>
      <c r="D626" s="7"/>
    </row>
    <row r="627" hidden="1">
      <c r="A627" s="6">
        <v>3739.0</v>
      </c>
      <c r="B627" s="5" t="s">
        <v>1365</v>
      </c>
      <c r="C627" s="2">
        <v>1.0</v>
      </c>
      <c r="D627" s="7"/>
    </row>
    <row r="628" hidden="1">
      <c r="A628" s="6">
        <v>3740.0</v>
      </c>
      <c r="B628" s="5" t="s">
        <v>1367</v>
      </c>
      <c r="C628" s="2">
        <v>1.0</v>
      </c>
      <c r="D628" s="7"/>
    </row>
    <row r="629" hidden="1">
      <c r="A629" s="6">
        <v>3741.0</v>
      </c>
      <c r="B629" s="5" t="s">
        <v>1369</v>
      </c>
      <c r="C629" s="2">
        <v>1.0</v>
      </c>
      <c r="D629" s="7"/>
    </row>
    <row r="630" hidden="1">
      <c r="A630" s="6">
        <v>3742.0</v>
      </c>
      <c r="B630" s="5" t="s">
        <v>1370</v>
      </c>
      <c r="C630" s="2">
        <v>1.0</v>
      </c>
      <c r="D630" s="7"/>
    </row>
    <row r="631" hidden="1">
      <c r="A631" s="6">
        <v>3743.0</v>
      </c>
      <c r="B631" s="5" t="s">
        <v>1373</v>
      </c>
      <c r="C631" s="2">
        <v>1.0</v>
      </c>
      <c r="D631" s="7"/>
    </row>
    <row r="632" hidden="1">
      <c r="A632" s="6">
        <v>3744.0</v>
      </c>
      <c r="B632" s="5" t="s">
        <v>1374</v>
      </c>
      <c r="C632" s="2">
        <v>1.0</v>
      </c>
      <c r="D632" s="7"/>
    </row>
    <row r="633" hidden="1">
      <c r="A633" s="6">
        <v>3745.0</v>
      </c>
      <c r="B633" s="5" t="s">
        <v>1375</v>
      </c>
      <c r="C633" s="2">
        <v>1.0</v>
      </c>
      <c r="D633" s="7"/>
    </row>
    <row r="634" hidden="1">
      <c r="A634" s="6">
        <v>3746.0</v>
      </c>
      <c r="B634" s="5" t="s">
        <v>1376</v>
      </c>
      <c r="C634" s="2">
        <v>1.0</v>
      </c>
      <c r="D634" s="7"/>
    </row>
    <row r="635" hidden="1">
      <c r="A635" s="6">
        <v>3747.0</v>
      </c>
      <c r="B635" s="5" t="s">
        <v>1377</v>
      </c>
      <c r="C635" s="2">
        <v>1.0</v>
      </c>
      <c r="D635" s="7"/>
    </row>
    <row r="636" hidden="1">
      <c r="A636" s="6">
        <v>3748.0</v>
      </c>
      <c r="B636" s="5" t="s">
        <v>1378</v>
      </c>
      <c r="C636" s="2">
        <v>1.0</v>
      </c>
      <c r="D636" s="7"/>
    </row>
    <row r="637" hidden="1">
      <c r="A637" s="6">
        <v>3749.0</v>
      </c>
      <c r="B637" s="5" t="s">
        <v>1379</v>
      </c>
      <c r="C637" s="2">
        <v>1.0</v>
      </c>
      <c r="D637" s="7"/>
    </row>
    <row r="638" hidden="1">
      <c r="A638" s="6">
        <v>3750.0</v>
      </c>
      <c r="B638" s="5" t="s">
        <v>1382</v>
      </c>
      <c r="C638" s="2">
        <v>1.0</v>
      </c>
      <c r="D638" s="7"/>
    </row>
    <row r="639" hidden="1">
      <c r="A639" s="6">
        <v>3751.0</v>
      </c>
      <c r="B639" s="5" t="s">
        <v>1383</v>
      </c>
      <c r="C639" s="2">
        <v>1.0</v>
      </c>
      <c r="D639" s="7"/>
    </row>
    <row r="640" hidden="1">
      <c r="A640" s="6">
        <v>3752.0</v>
      </c>
      <c r="B640" s="5" t="s">
        <v>1384</v>
      </c>
      <c r="C640" s="2">
        <v>1.0</v>
      </c>
      <c r="D640" s="7"/>
    </row>
    <row r="641" hidden="1">
      <c r="A641" s="6">
        <v>3753.0</v>
      </c>
      <c r="B641" s="5" t="s">
        <v>1386</v>
      </c>
      <c r="C641" s="2">
        <v>1.0</v>
      </c>
      <c r="D641" s="7"/>
    </row>
    <row r="642" hidden="1">
      <c r="A642" s="6">
        <v>3754.0</v>
      </c>
      <c r="B642" s="5" t="s">
        <v>1387</v>
      </c>
      <c r="C642" s="2">
        <v>1.0</v>
      </c>
      <c r="D642" s="7"/>
    </row>
    <row r="643" hidden="1">
      <c r="A643" s="6">
        <v>3755.0</v>
      </c>
      <c r="B643" s="5" t="s">
        <v>1388</v>
      </c>
      <c r="C643" s="2">
        <v>1.0</v>
      </c>
      <c r="D643" s="7"/>
    </row>
    <row r="644" hidden="1">
      <c r="A644" s="6">
        <v>3756.0</v>
      </c>
      <c r="B644" s="5" t="s">
        <v>1389</v>
      </c>
      <c r="C644" s="2">
        <v>1.0</v>
      </c>
      <c r="D644" s="7"/>
    </row>
    <row r="645" hidden="1">
      <c r="A645" s="6">
        <v>3757.0</v>
      </c>
      <c r="B645" s="5" t="s">
        <v>1390</v>
      </c>
      <c r="C645" s="2">
        <v>1.0</v>
      </c>
      <c r="D645" s="7"/>
    </row>
    <row r="646" hidden="1">
      <c r="A646" s="6">
        <v>3758.0</v>
      </c>
      <c r="B646" s="5" t="s">
        <v>1391</v>
      </c>
      <c r="C646" s="2">
        <v>1.0</v>
      </c>
      <c r="D646" s="7"/>
    </row>
    <row r="647" hidden="1">
      <c r="A647" s="6">
        <v>3759.0</v>
      </c>
      <c r="B647" s="5" t="s">
        <v>1393</v>
      </c>
      <c r="C647" s="2">
        <v>1.0</v>
      </c>
      <c r="D647" s="7"/>
    </row>
    <row r="648" hidden="1">
      <c r="A648" s="6">
        <v>3760.0</v>
      </c>
      <c r="B648" s="5" t="s">
        <v>1395</v>
      </c>
      <c r="C648" s="2">
        <v>1.0</v>
      </c>
      <c r="D648" s="7"/>
    </row>
    <row r="649" hidden="1">
      <c r="A649" s="6">
        <v>3761.0</v>
      </c>
      <c r="B649" s="5" t="s">
        <v>1396</v>
      </c>
      <c r="C649" s="2">
        <v>1.0</v>
      </c>
      <c r="D649" s="7"/>
    </row>
    <row r="650" hidden="1">
      <c r="A650" s="6">
        <v>3762.0</v>
      </c>
      <c r="B650" s="5" t="s">
        <v>1397</v>
      </c>
      <c r="C650" s="2">
        <v>1.0</v>
      </c>
      <c r="D650" s="7"/>
    </row>
    <row r="651" hidden="1">
      <c r="A651" s="6">
        <v>3763.0</v>
      </c>
      <c r="B651" s="5" t="s">
        <v>1398</v>
      </c>
      <c r="C651" s="2">
        <v>1.0</v>
      </c>
      <c r="D651" s="7"/>
    </row>
    <row r="652" hidden="1">
      <c r="A652" s="6">
        <v>3764.0</v>
      </c>
      <c r="B652" s="5" t="s">
        <v>1399</v>
      </c>
      <c r="C652" s="2">
        <v>1.0</v>
      </c>
      <c r="D652" s="7"/>
    </row>
    <row r="653" hidden="1">
      <c r="A653" s="6">
        <v>3765.0</v>
      </c>
      <c r="B653" s="5" t="s">
        <v>1400</v>
      </c>
      <c r="C653" s="2">
        <v>1.0</v>
      </c>
      <c r="D653" s="7"/>
    </row>
    <row r="654" hidden="1">
      <c r="A654" s="6">
        <v>3766.0</v>
      </c>
      <c r="B654" s="5" t="s">
        <v>1401</v>
      </c>
      <c r="C654" s="2">
        <v>1.0</v>
      </c>
      <c r="D654" s="7"/>
    </row>
    <row r="655" hidden="1">
      <c r="A655" s="6">
        <v>3767.0</v>
      </c>
      <c r="B655" s="5" t="s">
        <v>1403</v>
      </c>
      <c r="C655" s="2">
        <v>1.0</v>
      </c>
      <c r="D655" s="7"/>
    </row>
    <row r="656" hidden="1">
      <c r="A656" s="6">
        <v>3768.0</v>
      </c>
      <c r="B656" s="5" t="s">
        <v>1405</v>
      </c>
      <c r="C656" s="2">
        <v>1.0</v>
      </c>
      <c r="D656" s="7"/>
    </row>
    <row r="657" hidden="1">
      <c r="A657" s="6">
        <v>3769.0</v>
      </c>
      <c r="B657" s="5" t="s">
        <v>1406</v>
      </c>
      <c r="C657" s="2">
        <v>1.0</v>
      </c>
      <c r="D657" s="7"/>
    </row>
    <row r="658" hidden="1">
      <c r="A658" s="6">
        <v>3770.0</v>
      </c>
      <c r="B658" s="5" t="s">
        <v>1407</v>
      </c>
      <c r="C658" s="2">
        <v>1.0</v>
      </c>
      <c r="D658" s="7"/>
    </row>
    <row r="659" hidden="1">
      <c r="A659" s="6">
        <v>3771.0</v>
      </c>
      <c r="B659" s="5" t="s">
        <v>1409</v>
      </c>
      <c r="C659" s="2">
        <v>1.0</v>
      </c>
      <c r="D659" s="7"/>
    </row>
    <row r="660" hidden="1">
      <c r="A660" s="6">
        <v>3772.0</v>
      </c>
      <c r="B660" s="5" t="s">
        <v>1410</v>
      </c>
      <c r="C660" s="2">
        <v>1.0</v>
      </c>
      <c r="D660" s="7"/>
    </row>
    <row r="661" hidden="1">
      <c r="A661" s="6">
        <v>3773.0</v>
      </c>
      <c r="B661" s="5" t="s">
        <v>1411</v>
      </c>
      <c r="C661" s="2">
        <v>1.0</v>
      </c>
      <c r="D661" s="7"/>
    </row>
    <row r="662" hidden="1">
      <c r="A662" s="6">
        <v>3774.0</v>
      </c>
      <c r="B662" s="5" t="s">
        <v>1412</v>
      </c>
      <c r="C662" s="2">
        <v>1.0</v>
      </c>
      <c r="D662" s="7"/>
    </row>
    <row r="663" hidden="1">
      <c r="A663" s="6">
        <v>3775.0</v>
      </c>
      <c r="B663" s="5" t="s">
        <v>1413</v>
      </c>
      <c r="C663" s="2">
        <v>1.0</v>
      </c>
      <c r="D663" s="7"/>
    </row>
    <row r="664" hidden="1">
      <c r="A664" s="6">
        <v>3776.0</v>
      </c>
      <c r="B664" s="5" t="s">
        <v>1415</v>
      </c>
      <c r="C664" s="2">
        <v>1.0</v>
      </c>
      <c r="D664" s="7"/>
    </row>
    <row r="665" hidden="1">
      <c r="A665" s="6">
        <v>3777.0</v>
      </c>
      <c r="B665" s="5" t="s">
        <v>1417</v>
      </c>
      <c r="C665" s="2">
        <v>1.0</v>
      </c>
      <c r="D665" s="7"/>
    </row>
    <row r="666" hidden="1">
      <c r="A666" s="6">
        <v>3778.0</v>
      </c>
      <c r="B666" s="5" t="s">
        <v>1418</v>
      </c>
      <c r="C666" s="2">
        <v>1.0</v>
      </c>
      <c r="D666" s="7"/>
    </row>
    <row r="667" hidden="1">
      <c r="A667" s="6">
        <v>3779.0</v>
      </c>
      <c r="B667" s="5" t="s">
        <v>1420</v>
      </c>
      <c r="C667" s="2">
        <v>1.0</v>
      </c>
      <c r="D667" s="7"/>
    </row>
    <row r="668" hidden="1">
      <c r="A668" s="6">
        <v>3780.0</v>
      </c>
      <c r="B668" s="5" t="s">
        <v>1421</v>
      </c>
      <c r="C668" s="2">
        <v>1.0</v>
      </c>
      <c r="D668" s="7"/>
    </row>
    <row r="669" hidden="1">
      <c r="A669" s="6">
        <v>3781.0</v>
      </c>
      <c r="B669" s="5" t="s">
        <v>1422</v>
      </c>
      <c r="C669" s="2">
        <v>1.0</v>
      </c>
      <c r="D669" s="7"/>
    </row>
    <row r="670" hidden="1">
      <c r="A670" s="6">
        <v>3782.0</v>
      </c>
      <c r="B670" s="5" t="s">
        <v>1423</v>
      </c>
      <c r="C670" s="2">
        <v>1.0</v>
      </c>
      <c r="D670" s="7"/>
    </row>
    <row r="671" hidden="1">
      <c r="A671" s="6">
        <v>3783.0</v>
      </c>
      <c r="B671" s="5" t="s">
        <v>1424</v>
      </c>
      <c r="C671" s="2">
        <v>1.0</v>
      </c>
      <c r="D671" s="7"/>
    </row>
    <row r="672" hidden="1">
      <c r="A672" s="6">
        <v>3784.0</v>
      </c>
      <c r="B672" s="5" t="s">
        <v>1425</v>
      </c>
      <c r="C672" s="2">
        <v>1.0</v>
      </c>
      <c r="D672" s="7"/>
    </row>
    <row r="673" hidden="1">
      <c r="A673" s="6">
        <v>3785.0</v>
      </c>
      <c r="B673" s="5" t="s">
        <v>1428</v>
      </c>
      <c r="C673" s="2">
        <v>1.0</v>
      </c>
      <c r="D673" s="7"/>
    </row>
    <row r="674" hidden="1">
      <c r="A674" s="6">
        <v>3786.0</v>
      </c>
      <c r="B674" s="5" t="s">
        <v>1429</v>
      </c>
      <c r="C674" s="2">
        <v>1.0</v>
      </c>
      <c r="D674" s="7"/>
    </row>
    <row r="675" hidden="1">
      <c r="A675" s="6">
        <v>3787.0</v>
      </c>
      <c r="B675" s="5" t="s">
        <v>1431</v>
      </c>
      <c r="C675" s="2">
        <v>1.0</v>
      </c>
      <c r="D675" s="7"/>
    </row>
    <row r="676" hidden="1">
      <c r="A676" s="6">
        <v>3788.0</v>
      </c>
      <c r="B676" s="5" t="s">
        <v>1432</v>
      </c>
      <c r="C676" s="2">
        <v>1.0</v>
      </c>
      <c r="D676" s="7"/>
    </row>
    <row r="677" hidden="1">
      <c r="A677" s="6">
        <v>3789.0</v>
      </c>
      <c r="B677" s="5" t="s">
        <v>1433</v>
      </c>
      <c r="C677" s="2">
        <v>1.0</v>
      </c>
      <c r="D677" s="7"/>
    </row>
    <row r="678" hidden="1">
      <c r="A678" s="6">
        <v>3790.0</v>
      </c>
      <c r="B678" s="5" t="s">
        <v>1435</v>
      </c>
      <c r="C678" s="2">
        <v>1.0</v>
      </c>
      <c r="D678" s="7"/>
    </row>
    <row r="679" hidden="1">
      <c r="A679" s="6">
        <v>3791.0</v>
      </c>
      <c r="B679" s="5" t="s">
        <v>1436</v>
      </c>
      <c r="C679" s="2">
        <v>1.0</v>
      </c>
      <c r="D679" s="7"/>
    </row>
    <row r="680" hidden="1">
      <c r="A680" s="6">
        <v>3792.0</v>
      </c>
      <c r="B680" s="5" t="s">
        <v>1437</v>
      </c>
      <c r="C680" s="2">
        <v>1.0</v>
      </c>
      <c r="D680" s="7"/>
    </row>
    <row r="681" hidden="1">
      <c r="A681" s="6">
        <v>3793.0</v>
      </c>
      <c r="B681" s="5" t="s">
        <v>1439</v>
      </c>
      <c r="C681" s="2">
        <v>1.0</v>
      </c>
      <c r="D681" s="7"/>
    </row>
    <row r="682" hidden="1">
      <c r="A682" s="6">
        <v>3794.0</v>
      </c>
      <c r="B682" s="5" t="s">
        <v>1441</v>
      </c>
      <c r="C682" s="2">
        <v>1.0</v>
      </c>
      <c r="D682" s="7"/>
    </row>
    <row r="683" hidden="1">
      <c r="A683" s="6">
        <v>3795.0</v>
      </c>
      <c r="B683" s="5" t="s">
        <v>1442</v>
      </c>
      <c r="C683" s="2">
        <v>1.0</v>
      </c>
      <c r="D683" s="7"/>
    </row>
    <row r="684" hidden="1">
      <c r="A684" s="6">
        <v>3796.0</v>
      </c>
      <c r="B684" s="5" t="s">
        <v>1443</v>
      </c>
      <c r="C684" s="2">
        <v>1.0</v>
      </c>
      <c r="D684" s="7"/>
    </row>
    <row r="685" hidden="1">
      <c r="A685" s="6">
        <v>3797.0</v>
      </c>
      <c r="B685" s="5" t="s">
        <v>1445</v>
      </c>
      <c r="C685" s="2">
        <v>1.0</v>
      </c>
      <c r="D685" s="7"/>
    </row>
    <row r="686" hidden="1">
      <c r="A686" s="6">
        <v>3798.0</v>
      </c>
      <c r="B686" s="5" t="s">
        <v>1446</v>
      </c>
      <c r="C686" s="2">
        <v>1.0</v>
      </c>
      <c r="D686" s="7"/>
    </row>
    <row r="687" hidden="1">
      <c r="A687" s="6">
        <v>3799.0</v>
      </c>
      <c r="B687" s="5" t="s">
        <v>1447</v>
      </c>
      <c r="C687" s="2">
        <v>1.0</v>
      </c>
      <c r="D687" s="7"/>
    </row>
    <row r="688" hidden="1">
      <c r="A688" s="6">
        <v>3800.0</v>
      </c>
      <c r="B688" s="5" t="s">
        <v>1448</v>
      </c>
      <c r="C688" s="2">
        <v>1.0</v>
      </c>
      <c r="D688" s="7"/>
    </row>
    <row r="689" hidden="1">
      <c r="A689" s="6">
        <v>3801.0</v>
      </c>
      <c r="B689" s="5" t="s">
        <v>1449</v>
      </c>
      <c r="C689" s="2">
        <v>1.0</v>
      </c>
      <c r="D689" s="7"/>
    </row>
    <row r="690" hidden="1">
      <c r="A690" s="6">
        <v>3802.0</v>
      </c>
      <c r="B690" s="5" t="s">
        <v>1450</v>
      </c>
      <c r="C690" s="2">
        <v>1.0</v>
      </c>
      <c r="D690" s="7"/>
    </row>
    <row r="691" hidden="1">
      <c r="A691" s="6">
        <v>3803.0</v>
      </c>
      <c r="B691" s="5" t="s">
        <v>1453</v>
      </c>
      <c r="C691" s="2">
        <v>1.0</v>
      </c>
      <c r="D691" s="7"/>
    </row>
    <row r="692" hidden="1">
      <c r="A692" s="6">
        <v>3804.0</v>
      </c>
      <c r="B692" s="5" t="s">
        <v>1454</v>
      </c>
      <c r="C692" s="2">
        <v>1.0</v>
      </c>
      <c r="D692" s="7"/>
    </row>
    <row r="693" hidden="1">
      <c r="A693" s="6">
        <v>3805.0</v>
      </c>
      <c r="B693" s="5" t="s">
        <v>1456</v>
      </c>
      <c r="C693" s="2">
        <v>1.0</v>
      </c>
      <c r="D693" s="7"/>
    </row>
    <row r="694" hidden="1">
      <c r="A694" s="6">
        <v>3806.0</v>
      </c>
      <c r="B694" s="5" t="s">
        <v>1457</v>
      </c>
      <c r="C694" s="2">
        <v>1.0</v>
      </c>
      <c r="D694" s="7"/>
    </row>
    <row r="695" hidden="1">
      <c r="A695" s="6">
        <v>3807.0</v>
      </c>
      <c r="B695" s="5" t="s">
        <v>1459</v>
      </c>
      <c r="C695" s="2">
        <v>1.0</v>
      </c>
      <c r="D695" s="7"/>
    </row>
    <row r="696" hidden="1">
      <c r="A696" s="6">
        <v>3808.0</v>
      </c>
      <c r="B696" s="5" t="s">
        <v>1461</v>
      </c>
      <c r="C696" s="2">
        <v>1.0</v>
      </c>
      <c r="D696" s="7"/>
    </row>
    <row r="697" hidden="1">
      <c r="A697" s="6">
        <v>3809.0</v>
      </c>
      <c r="B697" s="5" t="s">
        <v>1462</v>
      </c>
      <c r="C697" s="2">
        <v>1.0</v>
      </c>
      <c r="D697" s="7"/>
    </row>
    <row r="698" hidden="1">
      <c r="A698" s="6">
        <v>3810.0</v>
      </c>
      <c r="B698" s="5" t="s">
        <v>1463</v>
      </c>
      <c r="C698" s="2">
        <v>1.0</v>
      </c>
      <c r="D698" s="7"/>
    </row>
    <row r="699" hidden="1">
      <c r="A699" s="6">
        <v>3811.0</v>
      </c>
      <c r="B699" s="5" t="s">
        <v>1464</v>
      </c>
      <c r="C699" s="2">
        <v>1.0</v>
      </c>
      <c r="D699" s="7"/>
    </row>
    <row r="700" hidden="1">
      <c r="A700" s="6">
        <v>3812.0</v>
      </c>
      <c r="B700" s="5" t="s">
        <v>1466</v>
      </c>
      <c r="C700" s="2">
        <v>1.0</v>
      </c>
      <c r="D700" s="7"/>
    </row>
    <row r="701" hidden="1">
      <c r="A701" s="6">
        <v>3813.0</v>
      </c>
      <c r="B701" s="5" t="s">
        <v>1468</v>
      </c>
      <c r="C701" s="2">
        <v>1.0</v>
      </c>
      <c r="D701" s="7"/>
    </row>
    <row r="702" hidden="1">
      <c r="A702" s="6">
        <v>3814.0</v>
      </c>
      <c r="B702" s="5" t="s">
        <v>1469</v>
      </c>
      <c r="C702" s="2">
        <v>1.0</v>
      </c>
      <c r="D702" s="7"/>
    </row>
    <row r="703" hidden="1">
      <c r="A703" s="6">
        <v>3834.0</v>
      </c>
      <c r="B703" s="5" t="s">
        <v>1470</v>
      </c>
      <c r="C703" s="2">
        <v>1.0</v>
      </c>
      <c r="D703" s="7"/>
    </row>
    <row r="704" hidden="1">
      <c r="A704" s="6">
        <v>3837.0</v>
      </c>
      <c r="B704" s="5" t="s">
        <v>1472</v>
      </c>
      <c r="C704" s="2">
        <v>1.0</v>
      </c>
      <c r="D704" s="7"/>
    </row>
    <row r="705">
      <c r="A705" s="6">
        <v>3833.0</v>
      </c>
      <c r="B705" s="5" t="s">
        <v>349</v>
      </c>
      <c r="C705" s="8">
        <f>IFERROR(VLOOKUP(B705,'Лист1'!$A:$L,12,FALSE),"")</f>
        <v>50000</v>
      </c>
      <c r="D705" s="7">
        <f t="shared" ref="D705:D708" si="22">ROUND((C705*1.2)/36,0)</f>
        <v>1667</v>
      </c>
    </row>
    <row r="706">
      <c r="A706" s="6">
        <v>3836.0</v>
      </c>
      <c r="B706" s="5" t="s">
        <v>1477</v>
      </c>
      <c r="C706" s="8">
        <f>IFERROR(VLOOKUP(B706,'Лист1'!$A:$L,12,FALSE),"")</f>
        <v>50000</v>
      </c>
      <c r="D706" s="7">
        <f t="shared" si="22"/>
        <v>1667</v>
      </c>
    </row>
    <row r="707">
      <c r="A707" s="6">
        <v>3832.0</v>
      </c>
      <c r="B707" s="5" t="s">
        <v>1481</v>
      </c>
      <c r="C707" s="8">
        <f>IFERROR(VLOOKUP(B707,'Лист1'!$A:$L,12,FALSE),"")</f>
        <v>50000</v>
      </c>
      <c r="D707" s="7">
        <f t="shared" si="22"/>
        <v>1667</v>
      </c>
    </row>
    <row r="708">
      <c r="A708" s="6">
        <v>3835.0</v>
      </c>
      <c r="B708" s="5" t="s">
        <v>1484</v>
      </c>
      <c r="C708" s="8">
        <f>IFERROR(VLOOKUP(B708,'Лист1'!$A:$L,12,FALSE),"")</f>
        <v>50000</v>
      </c>
      <c r="D708" s="7">
        <f t="shared" si="22"/>
        <v>1667</v>
      </c>
    </row>
    <row r="709" hidden="1">
      <c r="A709" s="6">
        <v>3862.0</v>
      </c>
      <c r="B709" s="5" t="s">
        <v>1487</v>
      </c>
      <c r="C709" s="2">
        <v>1.0</v>
      </c>
      <c r="D709" s="7"/>
    </row>
    <row r="710" hidden="1">
      <c r="A710" s="6">
        <v>3863.0</v>
      </c>
      <c r="B710" s="5" t="s">
        <v>1488</v>
      </c>
      <c r="C710" s="2">
        <v>1.0</v>
      </c>
      <c r="D710" s="7"/>
    </row>
    <row r="711" hidden="1">
      <c r="A711" s="6">
        <v>3864.0</v>
      </c>
      <c r="B711" s="5" t="s">
        <v>1490</v>
      </c>
      <c r="C711" s="2">
        <v>1.0</v>
      </c>
      <c r="D711" s="7"/>
    </row>
    <row r="712" hidden="1">
      <c r="A712" s="6">
        <v>3868.0</v>
      </c>
      <c r="B712" s="5" t="s">
        <v>1492</v>
      </c>
      <c r="C712" s="2">
        <v>1.0</v>
      </c>
      <c r="D712" s="7"/>
    </row>
    <row r="713" hidden="1">
      <c r="A713" s="6">
        <v>3865.0</v>
      </c>
      <c r="B713" s="5" t="s">
        <v>1493</v>
      </c>
      <c r="C713" s="2">
        <v>1.0</v>
      </c>
      <c r="D713" s="7"/>
    </row>
    <row r="714" hidden="1">
      <c r="A714" s="6">
        <v>3866.0</v>
      </c>
      <c r="B714" s="5" t="s">
        <v>1494</v>
      </c>
      <c r="C714" s="2">
        <v>1.0</v>
      </c>
      <c r="D714" s="7"/>
    </row>
    <row r="715" hidden="1">
      <c r="A715" s="6">
        <v>3867.0</v>
      </c>
      <c r="B715" s="5" t="s">
        <v>1496</v>
      </c>
      <c r="C715" s="2">
        <v>1.0</v>
      </c>
      <c r="D715" s="7"/>
    </row>
    <row r="716" hidden="1">
      <c r="A716" s="6">
        <v>3869.0</v>
      </c>
      <c r="B716" s="5" t="s">
        <v>1497</v>
      </c>
      <c r="C716" s="2">
        <v>1.0</v>
      </c>
      <c r="D716" s="7"/>
    </row>
    <row r="717" hidden="1">
      <c r="A717" s="6">
        <v>3870.0</v>
      </c>
      <c r="B717" s="5" t="s">
        <v>1498</v>
      </c>
      <c r="C717" s="2">
        <v>1.0</v>
      </c>
      <c r="D717" s="7"/>
    </row>
    <row r="718" hidden="1">
      <c r="A718" s="6">
        <v>3871.0</v>
      </c>
      <c r="B718" s="5" t="s">
        <v>1499</v>
      </c>
      <c r="C718" s="2">
        <v>1.0</v>
      </c>
      <c r="D718" s="7"/>
    </row>
    <row r="719" hidden="1">
      <c r="A719" s="6">
        <v>3872.0</v>
      </c>
      <c r="B719" s="5" t="s">
        <v>1500</v>
      </c>
      <c r="C719" s="2">
        <v>1.0</v>
      </c>
      <c r="D719" s="7"/>
    </row>
    <row r="720" hidden="1">
      <c r="A720" s="6">
        <v>3873.0</v>
      </c>
      <c r="B720" s="5" t="s">
        <v>1502</v>
      </c>
      <c r="C720" s="2">
        <v>1.0</v>
      </c>
      <c r="D720" s="7"/>
    </row>
    <row r="721" hidden="1">
      <c r="A721" s="6">
        <v>3874.0</v>
      </c>
      <c r="B721" s="5" t="s">
        <v>1503</v>
      </c>
      <c r="C721" s="2">
        <v>1.0</v>
      </c>
      <c r="D721" s="7"/>
    </row>
    <row r="722" hidden="1">
      <c r="A722" s="6">
        <v>3875.0</v>
      </c>
      <c r="B722" s="5" t="s">
        <v>1504</v>
      </c>
      <c r="C722" s="2">
        <v>1.0</v>
      </c>
      <c r="D722" s="7"/>
    </row>
    <row r="723" hidden="1">
      <c r="A723" s="6">
        <v>3876.0</v>
      </c>
      <c r="B723" s="5" t="s">
        <v>1506</v>
      </c>
      <c r="C723" s="2">
        <v>1.0</v>
      </c>
      <c r="D723" s="7"/>
    </row>
    <row r="724" hidden="1">
      <c r="A724" s="6">
        <v>3877.0</v>
      </c>
      <c r="B724" s="5" t="s">
        <v>1507</v>
      </c>
      <c r="C724" s="2">
        <v>1.0</v>
      </c>
      <c r="D724" s="7"/>
    </row>
    <row r="725" hidden="1">
      <c r="A725" s="6">
        <v>3878.0</v>
      </c>
      <c r="B725" s="5" t="s">
        <v>1508</v>
      </c>
      <c r="C725" s="2">
        <v>1.0</v>
      </c>
      <c r="D725" s="7"/>
    </row>
    <row r="726" hidden="1">
      <c r="A726" s="6">
        <v>3879.0</v>
      </c>
      <c r="B726" s="5" t="s">
        <v>1510</v>
      </c>
      <c r="C726" s="2">
        <v>1.0</v>
      </c>
      <c r="D726" s="7"/>
    </row>
    <row r="727" hidden="1">
      <c r="A727" s="6">
        <v>3880.0</v>
      </c>
      <c r="B727" s="5" t="s">
        <v>1511</v>
      </c>
      <c r="C727" s="2">
        <v>1.0</v>
      </c>
      <c r="D727" s="7"/>
    </row>
    <row r="728" hidden="1">
      <c r="A728" s="6">
        <v>3881.0</v>
      </c>
      <c r="B728" s="5" t="s">
        <v>1512</v>
      </c>
      <c r="C728" s="2">
        <v>1.0</v>
      </c>
      <c r="D728" s="7"/>
    </row>
    <row r="729" hidden="1">
      <c r="A729" s="6">
        <v>3882.0</v>
      </c>
      <c r="B729" s="5" t="s">
        <v>1513</v>
      </c>
      <c r="C729" s="2">
        <v>1.0</v>
      </c>
      <c r="D729" s="7"/>
    </row>
    <row r="730" hidden="1">
      <c r="A730" s="6">
        <v>3883.0</v>
      </c>
      <c r="B730" s="5" t="s">
        <v>1514</v>
      </c>
      <c r="C730" s="2">
        <v>1.0</v>
      </c>
      <c r="D730" s="7"/>
    </row>
    <row r="731" hidden="1">
      <c r="A731" s="6">
        <v>3884.0</v>
      </c>
      <c r="B731" s="5" t="s">
        <v>1515</v>
      </c>
      <c r="C731" s="2">
        <v>1.0</v>
      </c>
      <c r="D731" s="7"/>
    </row>
    <row r="732" hidden="1">
      <c r="A732" s="6">
        <v>3885.0</v>
      </c>
      <c r="B732" s="5" t="s">
        <v>1516</v>
      </c>
      <c r="C732" s="2">
        <v>1.0</v>
      </c>
      <c r="D732" s="7"/>
    </row>
    <row r="733" hidden="1">
      <c r="A733" s="6">
        <v>3886.0</v>
      </c>
      <c r="B733" s="5" t="s">
        <v>1518</v>
      </c>
      <c r="C733" s="2">
        <v>1.0</v>
      </c>
      <c r="D733" s="7"/>
    </row>
    <row r="734" hidden="1">
      <c r="A734" s="6">
        <v>3887.0</v>
      </c>
      <c r="B734" s="5" t="s">
        <v>1519</v>
      </c>
      <c r="C734" s="2">
        <v>1.0</v>
      </c>
      <c r="D734" s="7"/>
    </row>
    <row r="735" hidden="1">
      <c r="A735" s="6">
        <v>3855.0</v>
      </c>
      <c r="B735" s="5" t="s">
        <v>1520</v>
      </c>
      <c r="C735" s="2">
        <v>1.0</v>
      </c>
      <c r="D735" s="7"/>
    </row>
    <row r="736" hidden="1">
      <c r="A736" s="6">
        <v>3856.0</v>
      </c>
      <c r="B736" s="5" t="s">
        <v>1521</v>
      </c>
      <c r="C736" s="2">
        <v>1.0</v>
      </c>
      <c r="D736" s="7"/>
    </row>
    <row r="737" hidden="1">
      <c r="A737" s="6">
        <v>3857.0</v>
      </c>
      <c r="B737" s="5" t="s">
        <v>1522</v>
      </c>
      <c r="C737" s="2">
        <v>1.0</v>
      </c>
      <c r="D737" s="7"/>
    </row>
    <row r="738" hidden="1">
      <c r="A738" s="6">
        <v>3858.0</v>
      </c>
      <c r="B738" s="5" t="s">
        <v>1523</v>
      </c>
      <c r="C738" s="2">
        <v>1.0</v>
      </c>
      <c r="D738" s="7"/>
    </row>
    <row r="739" hidden="1">
      <c r="A739" s="6">
        <v>3859.0</v>
      </c>
      <c r="B739" s="5" t="s">
        <v>1524</v>
      </c>
      <c r="C739" s="2">
        <v>1.0</v>
      </c>
      <c r="D739" s="7"/>
    </row>
    <row r="740" hidden="1">
      <c r="A740" s="6">
        <v>3860.0</v>
      </c>
      <c r="B740" s="5" t="s">
        <v>1525</v>
      </c>
      <c r="C740" s="2">
        <v>1.0</v>
      </c>
      <c r="D740" s="7"/>
    </row>
    <row r="741" hidden="1">
      <c r="A741" s="6">
        <v>3861.0</v>
      </c>
      <c r="B741" s="5" t="s">
        <v>1527</v>
      </c>
      <c r="C741" s="2">
        <v>1.0</v>
      </c>
      <c r="D741" s="7"/>
    </row>
    <row r="742">
      <c r="A742" s="6">
        <v>3839.0</v>
      </c>
      <c r="B742" s="5" t="s">
        <v>1528</v>
      </c>
      <c r="C742" s="8">
        <f>IFERROR(VLOOKUP(B742,'Лист1'!$A:$L,12,FALSE),"")</f>
        <v>51390</v>
      </c>
      <c r="D742" s="7">
        <f t="shared" ref="D742:D757" si="23">ROUND((C742*1.2)/36,0)</f>
        <v>1713</v>
      </c>
    </row>
    <row r="743">
      <c r="A743" s="6">
        <v>3840.0</v>
      </c>
      <c r="B743" s="5" t="s">
        <v>1531</v>
      </c>
      <c r="C743" s="8">
        <f>C742</f>
        <v>51390</v>
      </c>
      <c r="D743" s="7">
        <f t="shared" si="23"/>
        <v>1713</v>
      </c>
    </row>
    <row r="744">
      <c r="A744" s="6">
        <v>3841.0</v>
      </c>
      <c r="B744" s="5" t="s">
        <v>1534</v>
      </c>
      <c r="C744" s="8">
        <f>IFERROR(VLOOKUP(B744,'Лист1'!$A:$L,12,FALSE),"")</f>
        <v>54890</v>
      </c>
      <c r="D744" s="7">
        <f t="shared" si="23"/>
        <v>1830</v>
      </c>
    </row>
    <row r="745">
      <c r="A745" s="6">
        <v>3842.0</v>
      </c>
      <c r="B745" s="5" t="s">
        <v>1536</v>
      </c>
      <c r="C745" s="8">
        <f>IFERROR(VLOOKUP(B745,'Лист1'!$A:$L,12,FALSE),"")</f>
        <v>51890</v>
      </c>
      <c r="D745" s="7">
        <f t="shared" si="23"/>
        <v>1730</v>
      </c>
    </row>
    <row r="746">
      <c r="A746" s="6">
        <v>3843.0</v>
      </c>
      <c r="B746" s="5" t="s">
        <v>1538</v>
      </c>
      <c r="C746" s="8">
        <f>IFERROR(VLOOKUP(B746,'Лист1'!$A:$L,12,FALSE),"")</f>
        <v>60390</v>
      </c>
      <c r="D746" s="7">
        <f t="shared" si="23"/>
        <v>2013</v>
      </c>
    </row>
    <row r="747">
      <c r="A747" s="6">
        <v>3844.0</v>
      </c>
      <c r="B747" s="5" t="s">
        <v>1539</v>
      </c>
      <c r="C747" s="8">
        <f>IFERROR(VLOOKUP(B747,'Лист1'!$A:$L,12,FALSE),"")</f>
        <v>60390</v>
      </c>
      <c r="D747" s="7">
        <f t="shared" si="23"/>
        <v>2013</v>
      </c>
    </row>
    <row r="748">
      <c r="A748" s="6">
        <v>3845.0</v>
      </c>
      <c r="B748" s="5" t="s">
        <v>428</v>
      </c>
      <c r="C748" s="8">
        <f>IFERROR(VLOOKUP(B748,'Лист1'!$A:$L,12,FALSE),"")</f>
        <v>60390</v>
      </c>
      <c r="D748" s="7">
        <f t="shared" si="23"/>
        <v>2013</v>
      </c>
    </row>
    <row r="749">
      <c r="A749" s="6">
        <v>3846.0</v>
      </c>
      <c r="B749" s="5" t="s">
        <v>1542</v>
      </c>
      <c r="C749" s="8">
        <f>IFERROR(VLOOKUP(B749,'Лист1'!$A:$L,12,FALSE),"")</f>
        <v>60890</v>
      </c>
      <c r="D749" s="7">
        <f t="shared" si="23"/>
        <v>2030</v>
      </c>
    </row>
    <row r="750">
      <c r="A750" s="6">
        <v>3847.0</v>
      </c>
      <c r="B750" s="5" t="s">
        <v>1543</v>
      </c>
      <c r="C750" s="8">
        <f>IFERROR(VLOOKUP(B750,'Лист1'!$A:$L,12,FALSE),"")</f>
        <v>71890</v>
      </c>
      <c r="D750" s="7">
        <f t="shared" si="23"/>
        <v>2396</v>
      </c>
    </row>
    <row r="751">
      <c r="A751" s="6">
        <v>3848.0</v>
      </c>
      <c r="B751" s="5" t="s">
        <v>123</v>
      </c>
      <c r="C751" s="8">
        <f>IFERROR(VLOOKUP(B751,'Лист1'!$A:$L,12,FALSE),"")</f>
        <v>71890</v>
      </c>
      <c r="D751" s="7">
        <f t="shared" si="23"/>
        <v>2396</v>
      </c>
    </row>
    <row r="752">
      <c r="A752" s="6">
        <v>3849.0</v>
      </c>
      <c r="B752" s="5" t="s">
        <v>1549</v>
      </c>
      <c r="C752" s="8">
        <f>IFERROR(VLOOKUP(B752,'Лист1'!$A:$L,12,FALSE),"")</f>
        <v>71890</v>
      </c>
      <c r="D752" s="7">
        <f t="shared" si="23"/>
        <v>2396</v>
      </c>
    </row>
    <row r="753">
      <c r="A753" s="6">
        <v>3850.0</v>
      </c>
      <c r="B753" s="5" t="s">
        <v>1551</v>
      </c>
      <c r="C753" s="8">
        <f>IFERROR(VLOOKUP(B753,'Лист1'!$A:$L,12,FALSE),"")</f>
        <v>71890</v>
      </c>
      <c r="D753" s="7">
        <f t="shared" si="23"/>
        <v>2396</v>
      </c>
    </row>
    <row r="754">
      <c r="A754" s="6">
        <v>3851.0</v>
      </c>
      <c r="B754" s="5" t="s">
        <v>1554</v>
      </c>
      <c r="C754" s="8">
        <f>IFERROR(VLOOKUP(B754,'Лист1'!$A:$L,12,FALSE),"")</f>
        <v>73390</v>
      </c>
      <c r="D754" s="7">
        <f t="shared" si="23"/>
        <v>2446</v>
      </c>
    </row>
    <row r="755">
      <c r="A755" s="6">
        <v>3852.0</v>
      </c>
      <c r="B755" s="5" t="s">
        <v>1556</v>
      </c>
      <c r="C755" s="8">
        <f>C754</f>
        <v>73390</v>
      </c>
      <c r="D755" s="7">
        <f t="shared" si="23"/>
        <v>2446</v>
      </c>
    </row>
    <row r="756">
      <c r="A756" s="6">
        <v>3854.0</v>
      </c>
      <c r="B756" s="5" t="s">
        <v>1558</v>
      </c>
      <c r="C756" s="8">
        <f>C754</f>
        <v>73390</v>
      </c>
      <c r="D756" s="7">
        <f t="shared" si="23"/>
        <v>2446</v>
      </c>
    </row>
    <row r="757">
      <c r="A757" s="6">
        <v>3853.0</v>
      </c>
      <c r="B757" s="5" t="s">
        <v>206</v>
      </c>
      <c r="C757" s="8">
        <f>IFERROR(VLOOKUP(B757,'Лист1'!$A:$L,12,FALSE),"")</f>
        <v>74390</v>
      </c>
      <c r="D757" s="7">
        <f t="shared" si="23"/>
        <v>2480</v>
      </c>
    </row>
    <row r="758" hidden="1">
      <c r="A758" s="6">
        <v>3901.0</v>
      </c>
      <c r="B758" s="5" t="s">
        <v>1562</v>
      </c>
      <c r="C758" s="2">
        <v>1.0</v>
      </c>
      <c r="D758" s="7"/>
    </row>
    <row r="759" hidden="1">
      <c r="A759" s="6">
        <v>3902.0</v>
      </c>
      <c r="B759" s="5" t="s">
        <v>1563</v>
      </c>
      <c r="C759" s="2">
        <v>1.0</v>
      </c>
      <c r="D759" s="7"/>
    </row>
    <row r="760" hidden="1">
      <c r="A760" s="6">
        <v>3903.0</v>
      </c>
      <c r="B760" s="5" t="s">
        <v>1564</v>
      </c>
      <c r="C760" s="2">
        <v>1.0</v>
      </c>
      <c r="D760" s="7"/>
    </row>
    <row r="761" hidden="1">
      <c r="A761" s="6">
        <v>3904.0</v>
      </c>
      <c r="B761" s="5" t="s">
        <v>1565</v>
      </c>
      <c r="C761" s="2">
        <v>1.0</v>
      </c>
      <c r="D761" s="7"/>
    </row>
    <row r="762" hidden="1">
      <c r="A762" s="6">
        <v>3905.0</v>
      </c>
      <c r="B762" s="5" t="s">
        <v>1567</v>
      </c>
      <c r="C762" s="2">
        <v>1.0</v>
      </c>
      <c r="D762" s="7"/>
    </row>
    <row r="763">
      <c r="A763" s="6">
        <v>3906.0</v>
      </c>
      <c r="B763" s="5" t="s">
        <v>1568</v>
      </c>
      <c r="C763" s="8">
        <f>IFERROR(VLOOKUP(B763,'Лист1'!$A:$L,12,FALSE),"")</f>
        <v>9390</v>
      </c>
      <c r="D763" s="7">
        <f t="shared" ref="D763:D766" si="24">ROUND((C763*1.2)/36,0)</f>
        <v>313</v>
      </c>
    </row>
    <row r="764">
      <c r="A764" s="6">
        <v>3907.0</v>
      </c>
      <c r="B764" s="5" t="s">
        <v>1571</v>
      </c>
      <c r="C764" s="8">
        <f>IFERROR(VLOOKUP(B764,'Лист1'!$A:$L,12,FALSE),"")</f>
        <v>9890</v>
      </c>
      <c r="D764" s="7">
        <f t="shared" si="24"/>
        <v>330</v>
      </c>
    </row>
    <row r="765">
      <c r="A765" s="6">
        <v>3908.0</v>
      </c>
      <c r="B765" s="5" t="s">
        <v>1574</v>
      </c>
      <c r="C765" s="8">
        <f>IFERROR(VLOOKUP(B765,'Лист1'!$A:$L,12,FALSE),"")</f>
        <v>9390</v>
      </c>
      <c r="D765" s="7">
        <f t="shared" si="24"/>
        <v>313</v>
      </c>
    </row>
    <row r="766">
      <c r="A766" s="6">
        <v>3909.0</v>
      </c>
      <c r="B766" s="5" t="s">
        <v>494</v>
      </c>
      <c r="C766" s="8">
        <f>IFERROR(VLOOKUP(B766,'Лист1'!$A:$L,12,FALSE),"")</f>
        <v>9890</v>
      </c>
      <c r="D766" s="7">
        <f t="shared" si="24"/>
        <v>330</v>
      </c>
    </row>
    <row r="767" hidden="1">
      <c r="A767" s="6">
        <v>3912.0</v>
      </c>
      <c r="B767" s="5" t="s">
        <v>1576</v>
      </c>
      <c r="C767" s="8" t="str">
        <f>IFERROR(VLOOKUP(B767,'Лист1'!$A:$L,12,FALSE),"")</f>
        <v/>
      </c>
      <c r="D767" s="7"/>
    </row>
    <row r="768" hidden="1">
      <c r="A768" s="6">
        <v>3913.0</v>
      </c>
      <c r="B768" s="5" t="s">
        <v>1578</v>
      </c>
      <c r="C768" s="8" t="str">
        <f>IFERROR(VLOOKUP(B768,'Лист1'!$A:$L,12,FALSE),"")</f>
        <v/>
      </c>
      <c r="D768" s="7"/>
    </row>
    <row r="769" hidden="1">
      <c r="A769" s="6">
        <v>3914.0</v>
      </c>
      <c r="B769" s="5" t="s">
        <v>1581</v>
      </c>
      <c r="C769" s="8" t="str">
        <f>IFERROR(VLOOKUP(B769,'Лист1'!$A:$L,12,FALSE),"")</f>
        <v/>
      </c>
      <c r="D769" s="7"/>
    </row>
    <row r="770" hidden="1">
      <c r="A770" s="6">
        <v>3921.0</v>
      </c>
      <c r="B770" s="5" t="s">
        <v>1583</v>
      </c>
      <c r="C770" s="2">
        <v>1.0</v>
      </c>
      <c r="D770" s="7"/>
    </row>
    <row r="771" hidden="1">
      <c r="A771" s="6">
        <v>3922.0</v>
      </c>
      <c r="B771" s="5" t="s">
        <v>1585</v>
      </c>
      <c r="C771" s="2">
        <v>1.0</v>
      </c>
      <c r="D771" s="7"/>
    </row>
    <row r="772" hidden="1">
      <c r="A772" s="6">
        <v>3923.0</v>
      </c>
      <c r="B772" s="5" t="s">
        <v>1586</v>
      </c>
      <c r="C772" s="2">
        <v>1.0</v>
      </c>
      <c r="D772" s="7"/>
    </row>
    <row r="773">
      <c r="A773" s="6">
        <v>3918.0</v>
      </c>
      <c r="B773" s="5" t="s">
        <v>491</v>
      </c>
      <c r="C773" s="8">
        <f>IFERROR(VLOOKUP(B773,'Лист1'!$A:$L,12,FALSE),"")</f>
        <v>50890</v>
      </c>
      <c r="D773" s="7">
        <f t="shared" ref="D773:D775" si="25">ROUND((C773*1.2)/36,0)</f>
        <v>1696</v>
      </c>
    </row>
    <row r="774">
      <c r="A774" s="6">
        <v>3919.0</v>
      </c>
      <c r="B774" s="5" t="s">
        <v>1590</v>
      </c>
      <c r="C774" s="8">
        <f>C775</f>
        <v>29890</v>
      </c>
      <c r="D774" s="7">
        <f t="shared" si="25"/>
        <v>996</v>
      </c>
    </row>
    <row r="775">
      <c r="A775" s="6">
        <v>3920.0</v>
      </c>
      <c r="B775" s="5" t="s">
        <v>1591</v>
      </c>
      <c r="C775" s="8">
        <f>IFERROR(VLOOKUP(B775,'Лист1'!$A:$L,12,FALSE),"")</f>
        <v>29890</v>
      </c>
      <c r="D775" s="7">
        <f t="shared" si="25"/>
        <v>996</v>
      </c>
    </row>
    <row r="776" hidden="1">
      <c r="A776" s="6">
        <v>3917.0</v>
      </c>
      <c r="B776" s="5" t="s">
        <v>1595</v>
      </c>
      <c r="C776" s="2">
        <v>1.0</v>
      </c>
      <c r="D776" s="7"/>
    </row>
    <row r="777">
      <c r="A777" s="6">
        <v>3915.0</v>
      </c>
      <c r="B777" s="5" t="s">
        <v>477</v>
      </c>
      <c r="C777" s="8">
        <f>IFERROR(VLOOKUP(B777,'Лист1'!$A:$L,12,FALSE),"")</f>
        <v>35390</v>
      </c>
      <c r="D777" s="7">
        <f t="shared" ref="D777:D778" si="26">ROUND((C777*1.2)/36,0)</f>
        <v>1180</v>
      </c>
    </row>
    <row r="778">
      <c r="A778" s="6">
        <v>3916.0</v>
      </c>
      <c r="B778" s="5" t="s">
        <v>1597</v>
      </c>
      <c r="C778" s="8">
        <f>IFERROR(VLOOKUP(B778,'Лист1'!$A:$L,12,FALSE),"")</f>
        <v>35890</v>
      </c>
      <c r="D778" s="7">
        <f t="shared" si="26"/>
        <v>1196</v>
      </c>
    </row>
    <row r="779" hidden="1">
      <c r="A779" s="6">
        <v>2547.0</v>
      </c>
      <c r="B779" s="16" t="s">
        <v>1599</v>
      </c>
      <c r="C779" s="2">
        <v>1.0</v>
      </c>
      <c r="D779" s="7"/>
    </row>
    <row r="780">
      <c r="A780" s="6">
        <v>3708.0</v>
      </c>
      <c r="B780" s="5" t="s">
        <v>1609</v>
      </c>
      <c r="C780" s="8">
        <f>IFERROR(VLOOKUP(B780,'Лист1'!$A:$L,12,FALSE),"")</f>
        <v>5890</v>
      </c>
      <c r="D780" s="7">
        <f t="shared" ref="D780:D810" si="27">ROUND((C780*1.2)/36,0)</f>
        <v>196</v>
      </c>
    </row>
    <row r="781">
      <c r="A781" s="6">
        <v>3709.0</v>
      </c>
      <c r="B781" s="5" t="s">
        <v>1613</v>
      </c>
      <c r="C781" s="8">
        <f>IFERROR(VLOOKUP(B781,'Лист1'!$A:$L,12,FALSE),"")</f>
        <v>6390</v>
      </c>
      <c r="D781" s="7">
        <f t="shared" si="27"/>
        <v>213</v>
      </c>
    </row>
    <row r="782">
      <c r="A782" s="6">
        <v>3710.0</v>
      </c>
      <c r="B782" s="5" t="s">
        <v>1615</v>
      </c>
      <c r="C782" s="8">
        <f>IFERROR(VLOOKUP(B782,'Лист1'!$A:$L,12,FALSE),"")</f>
        <v>5890</v>
      </c>
      <c r="D782" s="7">
        <f t="shared" si="27"/>
        <v>196</v>
      </c>
    </row>
    <row r="783">
      <c r="A783" s="6">
        <v>4056.0</v>
      </c>
      <c r="B783" s="5" t="s">
        <v>1617</v>
      </c>
      <c r="C783" s="8">
        <f>IFERROR(VLOOKUP(B783,'Лист1'!$A:$L,12,FALSE),"")</f>
        <v>144390</v>
      </c>
      <c r="D783" s="7">
        <f t="shared" si="27"/>
        <v>4813</v>
      </c>
    </row>
    <row r="784">
      <c r="A784" s="6">
        <v>4057.0</v>
      </c>
      <c r="B784" s="5" t="s">
        <v>1619</v>
      </c>
      <c r="C784" s="8">
        <f>IFERROR(VLOOKUP(B784,'Лист1'!$A:$L,12,FALSE),"")</f>
        <v>144390</v>
      </c>
      <c r="D784" s="7">
        <f t="shared" si="27"/>
        <v>4813</v>
      </c>
    </row>
    <row r="785">
      <c r="A785" s="6">
        <v>4058.0</v>
      </c>
      <c r="B785" s="5" t="s">
        <v>1620</v>
      </c>
      <c r="C785" s="8">
        <f>IFERROR(VLOOKUP(B785,'Лист1'!$A:$L,12,FALSE),"")</f>
        <v>144390</v>
      </c>
      <c r="D785" s="7">
        <f t="shared" si="27"/>
        <v>4813</v>
      </c>
    </row>
    <row r="786">
      <c r="A786" s="6">
        <v>4059.0</v>
      </c>
      <c r="B786" s="5" t="s">
        <v>1622</v>
      </c>
      <c r="C786" s="8">
        <f>IFERROR(VLOOKUP(B786,'Лист1'!$A:$L,12,FALSE),"")</f>
        <v>144390</v>
      </c>
      <c r="D786" s="7">
        <f t="shared" si="27"/>
        <v>4813</v>
      </c>
    </row>
    <row r="787">
      <c r="A787" s="6">
        <v>4052.0</v>
      </c>
      <c r="B787" s="5" t="s">
        <v>1624</v>
      </c>
      <c r="C787" s="8">
        <f>IFERROR(VLOOKUP(B787,'Лист1'!$A:$L,12,FALSE),"")</f>
        <v>166390</v>
      </c>
      <c r="D787" s="7">
        <f t="shared" si="27"/>
        <v>5546</v>
      </c>
    </row>
    <row r="788">
      <c r="A788" s="6">
        <v>4053.0</v>
      </c>
      <c r="B788" s="5" t="s">
        <v>1625</v>
      </c>
      <c r="C788" s="8">
        <f>IFERROR(VLOOKUP(B788,'Лист1'!$A:$L,12,FALSE),"")</f>
        <v>166390</v>
      </c>
      <c r="D788" s="7">
        <f t="shared" si="27"/>
        <v>5546</v>
      </c>
    </row>
    <row r="789">
      <c r="A789" s="6">
        <v>4054.0</v>
      </c>
      <c r="B789" s="5" t="s">
        <v>1627</v>
      </c>
      <c r="C789" s="8">
        <f>IFERROR(VLOOKUP(B789,'Лист1'!$A:$L,12,FALSE),"")</f>
        <v>166390</v>
      </c>
      <c r="D789" s="7">
        <f t="shared" si="27"/>
        <v>5546</v>
      </c>
    </row>
    <row r="790">
      <c r="A790" s="6">
        <v>4055.0</v>
      </c>
      <c r="B790" s="5" t="s">
        <v>1628</v>
      </c>
      <c r="C790" s="8">
        <f>IFERROR(VLOOKUP(B790,'Лист1'!$A:$L,12,FALSE),"")</f>
        <v>166390</v>
      </c>
      <c r="D790" s="7">
        <f t="shared" si="27"/>
        <v>5546</v>
      </c>
    </row>
    <row r="791">
      <c r="A791" s="6">
        <v>4048.0</v>
      </c>
      <c r="B791" s="5" t="s">
        <v>1630</v>
      </c>
      <c r="C791" s="8">
        <f>IFERROR(VLOOKUP(B791,'Лист1'!$A:$L,12,FALSE),"")</f>
        <v>188390</v>
      </c>
      <c r="D791" s="7">
        <f t="shared" si="27"/>
        <v>6280</v>
      </c>
    </row>
    <row r="792">
      <c r="A792" s="6">
        <v>4049.0</v>
      </c>
      <c r="B792" s="5" t="s">
        <v>1632</v>
      </c>
      <c r="C792" s="8">
        <f>IFERROR(VLOOKUP(B792,'Лист1'!$A:$L,12,FALSE),"")</f>
        <v>188390</v>
      </c>
      <c r="D792" s="7">
        <f t="shared" si="27"/>
        <v>6280</v>
      </c>
    </row>
    <row r="793">
      <c r="A793" s="6">
        <v>4050.0</v>
      </c>
      <c r="B793" s="5" t="s">
        <v>1634</v>
      </c>
      <c r="C793" s="8">
        <f>IFERROR(VLOOKUP(B793,'Лист1'!$A:$L,12,FALSE),"")</f>
        <v>188390</v>
      </c>
      <c r="D793" s="7">
        <f t="shared" si="27"/>
        <v>6280</v>
      </c>
    </row>
    <row r="794">
      <c r="A794" s="6">
        <v>4051.0</v>
      </c>
      <c r="B794" s="5" t="s">
        <v>1635</v>
      </c>
      <c r="C794" s="8">
        <f>IFERROR(VLOOKUP(B794,'Лист1'!$A:$L,12,FALSE),"")</f>
        <v>188390</v>
      </c>
      <c r="D794" s="7">
        <f t="shared" si="27"/>
        <v>6280</v>
      </c>
    </row>
    <row r="795">
      <c r="A795" s="6">
        <v>4044.0</v>
      </c>
      <c r="B795" s="5" t="s">
        <v>1637</v>
      </c>
      <c r="C795" s="8">
        <f>IFERROR(VLOOKUP(B795,'Лист1'!$A:$L,12,FALSE),"")</f>
        <v>166390</v>
      </c>
      <c r="D795" s="7">
        <f t="shared" si="27"/>
        <v>5546</v>
      </c>
    </row>
    <row r="796">
      <c r="A796" s="6">
        <v>4045.0</v>
      </c>
      <c r="B796" s="5" t="s">
        <v>1639</v>
      </c>
      <c r="C796" s="8">
        <f>IFERROR(VLOOKUP(B796,'Лист1'!$A:$L,12,FALSE),"")</f>
        <v>166390</v>
      </c>
      <c r="D796" s="7">
        <f t="shared" si="27"/>
        <v>5546</v>
      </c>
    </row>
    <row r="797">
      <c r="A797" s="6">
        <v>4046.0</v>
      </c>
      <c r="B797" s="5" t="s">
        <v>1640</v>
      </c>
      <c r="C797" s="8">
        <f>IFERROR(VLOOKUP(B797,'Лист1'!$A:$L,12,FALSE),"")</f>
        <v>166390</v>
      </c>
      <c r="D797" s="7">
        <f t="shared" si="27"/>
        <v>5546</v>
      </c>
    </row>
    <row r="798">
      <c r="A798" s="6">
        <v>4047.0</v>
      </c>
      <c r="B798" s="5" t="s">
        <v>1642</v>
      </c>
      <c r="C798" s="8">
        <f>IFERROR(VLOOKUP(B798,'Лист1'!$A:$L,12,FALSE),"")</f>
        <v>166390</v>
      </c>
      <c r="D798" s="7">
        <f t="shared" si="27"/>
        <v>5546</v>
      </c>
    </row>
    <row r="799">
      <c r="A799" s="6">
        <v>4040.0</v>
      </c>
      <c r="B799" s="5" t="s">
        <v>1643</v>
      </c>
      <c r="C799" s="8">
        <f>IFERROR(VLOOKUP(B799,'Лист1'!$A:$L,12,FALSE),"")</f>
        <v>188390</v>
      </c>
      <c r="D799" s="7">
        <f t="shared" si="27"/>
        <v>6280</v>
      </c>
    </row>
    <row r="800">
      <c r="A800" s="6">
        <v>4041.0</v>
      </c>
      <c r="B800" s="5" t="s">
        <v>1645</v>
      </c>
      <c r="C800" s="8">
        <f>IFERROR(VLOOKUP(B800,'Лист1'!$A:$L,12,FALSE),"")</f>
        <v>188390</v>
      </c>
      <c r="D800" s="7">
        <f t="shared" si="27"/>
        <v>6280</v>
      </c>
    </row>
    <row r="801">
      <c r="A801" s="6">
        <v>4042.0</v>
      </c>
      <c r="B801" s="5" t="s">
        <v>1646</v>
      </c>
      <c r="C801" s="8">
        <f>IFERROR(VLOOKUP(B801,'Лист1'!$A:$L,12,FALSE),"")</f>
        <v>188390</v>
      </c>
      <c r="D801" s="7">
        <f t="shared" si="27"/>
        <v>6280</v>
      </c>
    </row>
    <row r="802">
      <c r="A802" s="6">
        <v>4043.0</v>
      </c>
      <c r="B802" s="5" t="s">
        <v>1648</v>
      </c>
      <c r="C802" s="8">
        <f>IFERROR(VLOOKUP(B802,'Лист1'!$A:$L,12,FALSE),"")</f>
        <v>188390</v>
      </c>
      <c r="D802" s="7">
        <f t="shared" si="27"/>
        <v>6280</v>
      </c>
    </row>
    <row r="803">
      <c r="A803" s="6">
        <v>4036.0</v>
      </c>
      <c r="B803" s="5" t="s">
        <v>1649</v>
      </c>
      <c r="C803" s="8">
        <f>IFERROR(VLOOKUP(B803,'Лист1'!$A:$L,12,FALSE),"")</f>
        <v>210390</v>
      </c>
      <c r="D803" s="7">
        <f t="shared" si="27"/>
        <v>7013</v>
      </c>
    </row>
    <row r="804">
      <c r="A804" s="6">
        <v>4037.0</v>
      </c>
      <c r="B804" s="5" t="s">
        <v>1651</v>
      </c>
      <c r="C804" s="8">
        <f>IFERROR(VLOOKUP(B804,'Лист1'!$A:$L,12,FALSE),"")</f>
        <v>210390</v>
      </c>
      <c r="D804" s="7">
        <f t="shared" si="27"/>
        <v>7013</v>
      </c>
    </row>
    <row r="805">
      <c r="A805" s="6">
        <v>4038.0</v>
      </c>
      <c r="B805" s="5" t="s">
        <v>1652</v>
      </c>
      <c r="C805" s="8">
        <f>IFERROR(VLOOKUP(B805,'Лист1'!$A:$L,12,FALSE),"")</f>
        <v>210390</v>
      </c>
      <c r="D805" s="7">
        <f t="shared" si="27"/>
        <v>7013</v>
      </c>
    </row>
    <row r="806">
      <c r="A806" s="6">
        <v>4039.0</v>
      </c>
      <c r="B806" s="5" t="s">
        <v>1654</v>
      </c>
      <c r="C806" s="8">
        <f>IFERROR(VLOOKUP(B806,'Лист1'!$A:$L,12,FALSE),"")</f>
        <v>210390</v>
      </c>
      <c r="D806" s="7">
        <f t="shared" si="27"/>
        <v>7013</v>
      </c>
    </row>
    <row r="807">
      <c r="A807" s="6">
        <v>4024.0</v>
      </c>
      <c r="B807" s="5" t="s">
        <v>1655</v>
      </c>
      <c r="C807" s="2">
        <f>C809</f>
        <v>67390</v>
      </c>
      <c r="D807" s="7">
        <f t="shared" si="27"/>
        <v>2246</v>
      </c>
    </row>
    <row r="808">
      <c r="A808" s="6">
        <v>4025.0</v>
      </c>
      <c r="B808" s="5" t="s">
        <v>1657</v>
      </c>
      <c r="C808" s="2">
        <f>C809</f>
        <v>67390</v>
      </c>
      <c r="D808" s="7">
        <f t="shared" si="27"/>
        <v>2246</v>
      </c>
    </row>
    <row r="809">
      <c r="A809" s="6">
        <v>4026.0</v>
      </c>
      <c r="B809" s="5" t="s">
        <v>1658</v>
      </c>
      <c r="C809" s="8">
        <f>IFERROR(VLOOKUP(B809,'Лист1'!$A:$L,12,FALSE),"")</f>
        <v>67390</v>
      </c>
      <c r="D809" s="7">
        <f t="shared" si="27"/>
        <v>2246</v>
      </c>
    </row>
    <row r="810">
      <c r="A810" s="6">
        <v>4027.0</v>
      </c>
      <c r="B810" s="5" t="s">
        <v>1661</v>
      </c>
      <c r="C810" s="8">
        <f>C809</f>
        <v>67390</v>
      </c>
      <c r="D810" s="7">
        <f t="shared" si="27"/>
        <v>2246</v>
      </c>
    </row>
    <row r="811" hidden="1">
      <c r="A811" s="6">
        <v>4020.0</v>
      </c>
      <c r="B811" s="5" t="s">
        <v>1662</v>
      </c>
      <c r="C811" s="2">
        <v>1.0</v>
      </c>
      <c r="D811" s="7"/>
    </row>
    <row r="812" hidden="1">
      <c r="A812" s="6">
        <v>4021.0</v>
      </c>
      <c r="B812" s="5" t="s">
        <v>1663</v>
      </c>
      <c r="C812" s="2">
        <v>1.0</v>
      </c>
      <c r="D812" s="7"/>
    </row>
    <row r="813" hidden="1">
      <c r="A813" s="6">
        <v>4022.0</v>
      </c>
      <c r="B813" s="5" t="s">
        <v>1665</v>
      </c>
      <c r="C813" s="2">
        <v>1.0</v>
      </c>
      <c r="D813" s="7"/>
    </row>
    <row r="814" hidden="1">
      <c r="A814" s="6">
        <v>4023.0</v>
      </c>
      <c r="B814" s="5" t="s">
        <v>1667</v>
      </c>
      <c r="C814" s="2">
        <v>1.0</v>
      </c>
      <c r="D814" s="7"/>
    </row>
    <row r="815">
      <c r="A815" s="6">
        <v>4028.0</v>
      </c>
      <c r="B815" s="5" t="s">
        <v>1668</v>
      </c>
      <c r="C815" s="8">
        <f>C817</f>
        <v>78390</v>
      </c>
      <c r="D815" s="7">
        <f t="shared" ref="D815:D822" si="28">ROUND((C815*1.2)/36,0)</f>
        <v>2613</v>
      </c>
    </row>
    <row r="816">
      <c r="A816" s="6">
        <v>4029.0</v>
      </c>
      <c r="B816" s="5" t="s">
        <v>1669</v>
      </c>
      <c r="C816" s="8">
        <f>C817</f>
        <v>78390</v>
      </c>
      <c r="D816" s="7">
        <f t="shared" si="28"/>
        <v>2613</v>
      </c>
    </row>
    <row r="817">
      <c r="A817" s="6">
        <v>4030.0</v>
      </c>
      <c r="B817" s="5" t="s">
        <v>1672</v>
      </c>
      <c r="C817" s="8">
        <f>IFERROR(VLOOKUP(B817,'Лист1'!$A:$L,12,FALSE),"")</f>
        <v>78390</v>
      </c>
      <c r="D817" s="7">
        <f t="shared" si="28"/>
        <v>2613</v>
      </c>
    </row>
    <row r="818">
      <c r="A818" s="6">
        <v>4031.0</v>
      </c>
      <c r="B818" s="5" t="s">
        <v>1676</v>
      </c>
      <c r="C818" s="8">
        <f>C817</f>
        <v>78390</v>
      </c>
      <c r="D818" s="7">
        <f t="shared" si="28"/>
        <v>2613</v>
      </c>
    </row>
    <row r="819">
      <c r="A819" s="6">
        <v>4032.0</v>
      </c>
      <c r="B819" s="5" t="s">
        <v>1677</v>
      </c>
      <c r="C819" s="8">
        <f>IFERROR(VLOOKUP(B819,'Лист1'!$A:$L,12,FALSE),"")</f>
        <v>79390</v>
      </c>
      <c r="D819" s="7">
        <f t="shared" si="28"/>
        <v>2646</v>
      </c>
    </row>
    <row r="820">
      <c r="A820" s="6">
        <v>4033.0</v>
      </c>
      <c r="B820" s="5" t="s">
        <v>1681</v>
      </c>
      <c r="C820" s="8">
        <f>C822</f>
        <v>88390</v>
      </c>
      <c r="D820" s="7">
        <f t="shared" si="28"/>
        <v>2946</v>
      </c>
    </row>
    <row r="821">
      <c r="A821" s="6">
        <v>4034.0</v>
      </c>
      <c r="B821" s="5" t="s">
        <v>1683</v>
      </c>
      <c r="C821" s="8">
        <f>C822</f>
        <v>88390</v>
      </c>
      <c r="D821" s="7">
        <f t="shared" si="28"/>
        <v>2946</v>
      </c>
    </row>
    <row r="822">
      <c r="A822" s="6">
        <v>4035.0</v>
      </c>
      <c r="B822" s="5" t="s">
        <v>1685</v>
      </c>
      <c r="C822" s="8">
        <f>IFERROR(VLOOKUP(B822,'Лист1'!$A:$L,12,FALSE),"")</f>
        <v>88390</v>
      </c>
      <c r="D822" s="7">
        <f t="shared" si="28"/>
        <v>2946</v>
      </c>
    </row>
    <row r="823" hidden="1">
      <c r="A823" s="6">
        <v>4334.0</v>
      </c>
      <c r="B823" s="5" t="s">
        <v>1687</v>
      </c>
      <c r="C823" s="2">
        <v>1.0</v>
      </c>
      <c r="D823" s="7"/>
    </row>
    <row r="824" hidden="1">
      <c r="A824" s="6">
        <v>4335.0</v>
      </c>
      <c r="B824" s="5" t="s">
        <v>1688</v>
      </c>
      <c r="C824" s="2">
        <v>1.0</v>
      </c>
      <c r="D824" s="7"/>
    </row>
    <row r="825" hidden="1">
      <c r="A825" s="6">
        <v>4336.0</v>
      </c>
      <c r="B825" s="5" t="s">
        <v>1689</v>
      </c>
      <c r="C825" s="2">
        <v>1.0</v>
      </c>
      <c r="D825" s="7"/>
    </row>
    <row r="826" hidden="1">
      <c r="A826" s="6">
        <v>4337.0</v>
      </c>
      <c r="B826" s="5" t="s">
        <v>1690</v>
      </c>
      <c r="C826" s="2">
        <v>1.0</v>
      </c>
      <c r="D826" s="7"/>
    </row>
    <row r="827" hidden="1">
      <c r="A827" s="6">
        <v>4338.0</v>
      </c>
      <c r="B827" s="5" t="s">
        <v>1691</v>
      </c>
      <c r="C827" s="2">
        <v>1.0</v>
      </c>
      <c r="D827" s="7"/>
    </row>
    <row r="828" hidden="1">
      <c r="A828" s="6">
        <v>4339.0</v>
      </c>
      <c r="B828" s="5" t="s">
        <v>1693</v>
      </c>
      <c r="C828" s="2">
        <v>1.0</v>
      </c>
      <c r="D828" s="7"/>
    </row>
    <row r="829" hidden="1">
      <c r="A829" s="6">
        <v>4340.0</v>
      </c>
      <c r="B829" s="5" t="s">
        <v>1694</v>
      </c>
      <c r="C829" s="2">
        <v>1.0</v>
      </c>
      <c r="D829" s="7"/>
    </row>
    <row r="830" hidden="1">
      <c r="A830" s="6">
        <v>4341.0</v>
      </c>
      <c r="B830" s="5" t="s">
        <v>1695</v>
      </c>
      <c r="C830" s="2">
        <v>1.0</v>
      </c>
      <c r="D830" s="7"/>
    </row>
    <row r="831" hidden="1">
      <c r="A831" s="6">
        <v>4342.0</v>
      </c>
      <c r="B831" s="5" t="s">
        <v>1696</v>
      </c>
      <c r="C831" s="2">
        <v>1.0</v>
      </c>
      <c r="D831" s="7"/>
    </row>
    <row r="832" hidden="1">
      <c r="A832" s="6">
        <v>4343.0</v>
      </c>
      <c r="B832" s="5" t="s">
        <v>1697</v>
      </c>
      <c r="C832" s="2">
        <v>1.0</v>
      </c>
      <c r="D832" s="7"/>
    </row>
    <row r="833" hidden="1">
      <c r="A833" s="6">
        <v>4344.0</v>
      </c>
      <c r="B833" s="5" t="s">
        <v>1698</v>
      </c>
      <c r="C833" s="2">
        <v>1.0</v>
      </c>
      <c r="D833" s="7"/>
    </row>
    <row r="834" hidden="1">
      <c r="A834" s="6">
        <v>4345.0</v>
      </c>
      <c r="B834" s="5" t="s">
        <v>1699</v>
      </c>
      <c r="C834" s="2">
        <v>1.0</v>
      </c>
      <c r="D834" s="7"/>
    </row>
    <row r="835" hidden="1">
      <c r="A835" s="6">
        <v>4346.0</v>
      </c>
      <c r="B835" s="5" t="s">
        <v>1700</v>
      </c>
      <c r="C835" s="2">
        <v>1.0</v>
      </c>
      <c r="D835" s="7"/>
    </row>
    <row r="836" hidden="1">
      <c r="A836" s="6">
        <v>4347.0</v>
      </c>
      <c r="B836" s="5" t="s">
        <v>1701</v>
      </c>
      <c r="C836" s="2">
        <v>1.0</v>
      </c>
      <c r="D836" s="7"/>
    </row>
    <row r="837" hidden="1">
      <c r="A837" s="6">
        <v>4348.0</v>
      </c>
      <c r="B837" s="5" t="s">
        <v>1702</v>
      </c>
      <c r="C837" s="2">
        <v>1.0</v>
      </c>
      <c r="D837" s="7"/>
    </row>
    <row r="838" hidden="1">
      <c r="A838" s="6">
        <v>4349.0</v>
      </c>
      <c r="B838" s="5" t="s">
        <v>1703</v>
      </c>
      <c r="C838" s="2">
        <v>1.0</v>
      </c>
      <c r="D838" s="7"/>
    </row>
    <row r="839" hidden="1">
      <c r="A839" s="6">
        <v>4350.0</v>
      </c>
      <c r="B839" s="5" t="s">
        <v>1705</v>
      </c>
      <c r="C839" s="2">
        <v>1.0</v>
      </c>
      <c r="D839" s="7"/>
    </row>
    <row r="840" hidden="1">
      <c r="A840" s="6">
        <v>4351.0</v>
      </c>
      <c r="B840" s="5" t="s">
        <v>1706</v>
      </c>
      <c r="C840" s="2">
        <v>1.0</v>
      </c>
      <c r="D840" s="7"/>
    </row>
    <row r="841" hidden="1">
      <c r="A841" s="6">
        <v>4352.0</v>
      </c>
      <c r="B841" s="5" t="s">
        <v>1707</v>
      </c>
      <c r="C841" s="2">
        <v>1.0</v>
      </c>
      <c r="D841" s="7"/>
    </row>
    <row r="842" hidden="1">
      <c r="A842" s="6">
        <v>4353.0</v>
      </c>
      <c r="B842" s="5" t="s">
        <v>1708</v>
      </c>
      <c r="C842" s="2">
        <v>1.0</v>
      </c>
      <c r="D842" s="7"/>
    </row>
    <row r="843" hidden="1">
      <c r="A843" s="6">
        <v>4354.0</v>
      </c>
      <c r="B843" s="5" t="s">
        <v>1709</v>
      </c>
      <c r="C843" s="2">
        <v>1.0</v>
      </c>
      <c r="D843" s="7"/>
    </row>
    <row r="844" hidden="1">
      <c r="A844" s="6">
        <v>4355.0</v>
      </c>
      <c r="B844" s="5" t="s">
        <v>1712</v>
      </c>
      <c r="C844" s="2">
        <v>1.0</v>
      </c>
      <c r="D844" s="7"/>
    </row>
    <row r="845" hidden="1">
      <c r="A845" s="6">
        <v>4356.0</v>
      </c>
      <c r="B845" s="5" t="s">
        <v>1713</v>
      </c>
      <c r="C845" s="2">
        <v>1.0</v>
      </c>
      <c r="D845" s="7"/>
    </row>
    <row r="846" hidden="1">
      <c r="A846" s="6">
        <v>4357.0</v>
      </c>
      <c r="B846" s="5" t="s">
        <v>1714</v>
      </c>
      <c r="C846" s="2">
        <v>1.0</v>
      </c>
      <c r="D846" s="7"/>
    </row>
    <row r="847" hidden="1">
      <c r="A847" s="6">
        <v>4358.0</v>
      </c>
      <c r="B847" s="5" t="s">
        <v>1716</v>
      </c>
      <c r="C847" s="2">
        <v>1.0</v>
      </c>
      <c r="D847" s="7"/>
    </row>
    <row r="848" hidden="1">
      <c r="A848" s="6">
        <v>4359.0</v>
      </c>
      <c r="B848" s="5" t="s">
        <v>1717</v>
      </c>
      <c r="C848" s="2">
        <v>1.0</v>
      </c>
      <c r="D848" s="7"/>
    </row>
    <row r="849" hidden="1">
      <c r="A849" s="6">
        <v>4360.0</v>
      </c>
      <c r="B849" s="5" t="s">
        <v>1718</v>
      </c>
      <c r="C849" s="2">
        <v>1.0</v>
      </c>
      <c r="D849" s="7"/>
    </row>
    <row r="850" hidden="1">
      <c r="A850" s="6">
        <v>4361.0</v>
      </c>
      <c r="B850" s="5" t="s">
        <v>1719</v>
      </c>
      <c r="C850" s="2">
        <v>1.0</v>
      </c>
      <c r="D850" s="7"/>
    </row>
    <row r="851">
      <c r="A851" s="6">
        <v>4298.0</v>
      </c>
      <c r="B851" s="5" t="s">
        <v>804</v>
      </c>
      <c r="C851" s="8">
        <f>IFERROR(VLOOKUP(B851,'Лист1'!$A:$L,12,FALSE),"")</f>
        <v>50000</v>
      </c>
      <c r="D851" s="7">
        <f t="shared" ref="D851:D933" si="29">ROUND((C851*1.2)/36,0)</f>
        <v>1667</v>
      </c>
    </row>
    <row r="852">
      <c r="A852" s="6">
        <v>4301.0</v>
      </c>
      <c r="B852" s="5" t="s">
        <v>857</v>
      </c>
      <c r="C852" s="8">
        <f>IFERROR(VLOOKUP(B852,'Лист1'!$A:$L,12,FALSE),"")</f>
        <v>50000</v>
      </c>
      <c r="D852" s="7">
        <f t="shared" si="29"/>
        <v>1667</v>
      </c>
    </row>
    <row r="853">
      <c r="A853" s="6">
        <v>4304.0</v>
      </c>
      <c r="B853" s="5" t="s">
        <v>855</v>
      </c>
      <c r="C853" s="8">
        <f>IFERROR(VLOOKUP(B853,'Лист1'!$A:$L,12,FALSE),"")</f>
        <v>50000</v>
      </c>
      <c r="D853" s="7">
        <f t="shared" si="29"/>
        <v>1667</v>
      </c>
    </row>
    <row r="854">
      <c r="A854" s="6">
        <v>4307.0</v>
      </c>
      <c r="B854" s="5" t="s">
        <v>765</v>
      </c>
      <c r="C854" s="8">
        <f>IFERROR(VLOOKUP(B854,'Лист1'!$A:$L,12,FALSE),"")</f>
        <v>50000</v>
      </c>
      <c r="D854" s="7">
        <f t="shared" si="29"/>
        <v>1667</v>
      </c>
    </row>
    <row r="855">
      <c r="A855" s="6">
        <v>4297.0</v>
      </c>
      <c r="B855" s="5" t="s">
        <v>860</v>
      </c>
      <c r="C855" s="8">
        <f>IFERROR(VLOOKUP(B855,'Лист1'!$A:$L,12,FALSE),"")</f>
        <v>50000</v>
      </c>
      <c r="D855" s="7">
        <f t="shared" si="29"/>
        <v>1667</v>
      </c>
    </row>
    <row r="856">
      <c r="A856" s="6">
        <v>4300.0</v>
      </c>
      <c r="B856" s="5" t="s">
        <v>863</v>
      </c>
      <c r="C856" s="8">
        <f>IFERROR(VLOOKUP(B856,'Лист1'!$A:$L,12,FALSE),"")</f>
        <v>50000</v>
      </c>
      <c r="D856" s="7">
        <f t="shared" si="29"/>
        <v>1667</v>
      </c>
    </row>
    <row r="857">
      <c r="A857" s="6">
        <v>4303.0</v>
      </c>
      <c r="B857" s="5" t="s">
        <v>861</v>
      </c>
      <c r="C857" s="8">
        <f>IFERROR(VLOOKUP(B857,'Лист1'!$A:$L,12,FALSE),"")</f>
        <v>50000</v>
      </c>
      <c r="D857" s="7">
        <f t="shared" si="29"/>
        <v>1667</v>
      </c>
    </row>
    <row r="858">
      <c r="A858" s="6">
        <v>4306.0</v>
      </c>
      <c r="B858" s="5" t="s">
        <v>858</v>
      </c>
      <c r="C858" s="8">
        <f>IFERROR(VLOOKUP(B858,'Лист1'!$A:$L,12,FALSE),"")</f>
        <v>50000</v>
      </c>
      <c r="D858" s="7">
        <f t="shared" si="29"/>
        <v>1667</v>
      </c>
    </row>
    <row r="859">
      <c r="A859" s="6">
        <v>4296.0</v>
      </c>
      <c r="B859" s="5" t="s">
        <v>866</v>
      </c>
      <c r="C859" s="8">
        <f>IFERROR(VLOOKUP(B859,'Лист1'!$A:$L,12,FALSE),"")</f>
        <v>50000</v>
      </c>
      <c r="D859" s="7">
        <f t="shared" si="29"/>
        <v>1667</v>
      </c>
    </row>
    <row r="860">
      <c r="A860" s="6">
        <v>4299.0</v>
      </c>
      <c r="B860" s="5" t="s">
        <v>870</v>
      </c>
      <c r="C860" s="8">
        <f>IFERROR(VLOOKUP(B860,'Лист1'!$A:$L,12,FALSE),"")</f>
        <v>50000</v>
      </c>
      <c r="D860" s="7">
        <f t="shared" si="29"/>
        <v>1667</v>
      </c>
    </row>
    <row r="861">
      <c r="A861" s="6">
        <v>4302.0</v>
      </c>
      <c r="B861" s="5" t="s">
        <v>867</v>
      </c>
      <c r="C861" s="8">
        <f>IFERROR(VLOOKUP(B861,'Лист1'!$A:$L,12,FALSE),"")</f>
        <v>50000</v>
      </c>
      <c r="D861" s="7">
        <f t="shared" si="29"/>
        <v>1667</v>
      </c>
    </row>
    <row r="862">
      <c r="A862" s="6">
        <v>4305.0</v>
      </c>
      <c r="B862" s="5" t="s">
        <v>864</v>
      </c>
      <c r="C862" s="8">
        <f>IFERROR(VLOOKUP(B862,'Лист1'!$A:$L,12,FALSE),"")</f>
        <v>50000</v>
      </c>
      <c r="D862" s="7">
        <f t="shared" si="29"/>
        <v>1667</v>
      </c>
    </row>
    <row r="863">
      <c r="A863" s="6">
        <v>4378.0</v>
      </c>
      <c r="B863" s="7" t="s">
        <v>338</v>
      </c>
      <c r="C863" s="8">
        <f>IFERROR(VLOOKUP(B863,'Лист1'!$A:$L,12,FALSE),"")</f>
        <v>50000</v>
      </c>
      <c r="D863" s="7">
        <f t="shared" si="29"/>
        <v>1667</v>
      </c>
    </row>
    <row r="864">
      <c r="A864" s="6">
        <v>4381.0</v>
      </c>
      <c r="B864" s="7" t="s">
        <v>319</v>
      </c>
      <c r="C864" s="8">
        <f>IFERROR(VLOOKUP(B864,'Лист1'!$A:$L,12,FALSE),"")</f>
        <v>50000</v>
      </c>
      <c r="D864" s="7">
        <f t="shared" si="29"/>
        <v>1667</v>
      </c>
    </row>
    <row r="865">
      <c r="A865" s="6">
        <v>4384.0</v>
      </c>
      <c r="B865" s="7" t="s">
        <v>351</v>
      </c>
      <c r="C865" s="8">
        <f>IFERROR(VLOOKUP(B865,'Лист1'!$A:$L,12,FALSE),"")</f>
        <v>50000</v>
      </c>
      <c r="D865" s="7">
        <f t="shared" si="29"/>
        <v>1667</v>
      </c>
    </row>
    <row r="866">
      <c r="A866" s="6">
        <v>4310.0</v>
      </c>
      <c r="B866" s="7" t="s">
        <v>390</v>
      </c>
      <c r="C866" s="8">
        <f>IFERROR(VLOOKUP(B866,'Лист1'!$A:$L,12,FALSE),"")</f>
        <v>50000</v>
      </c>
      <c r="D866" s="7">
        <f t="shared" si="29"/>
        <v>1667</v>
      </c>
    </row>
    <row r="867">
      <c r="A867" s="6">
        <v>4313.0</v>
      </c>
      <c r="B867" s="7" t="s">
        <v>288</v>
      </c>
      <c r="C867" s="8">
        <f>IFERROR(VLOOKUP(B867,'Лист1'!$A:$L,12,FALSE),"")</f>
        <v>50000</v>
      </c>
      <c r="D867" s="7">
        <f t="shared" si="29"/>
        <v>1667</v>
      </c>
    </row>
    <row r="868">
      <c r="A868" s="6">
        <v>4316.0</v>
      </c>
      <c r="B868" s="7" t="s">
        <v>339</v>
      </c>
      <c r="C868" s="8">
        <f>IFERROR(VLOOKUP(B868,'Лист1'!$A:$L,12,FALSE),"")</f>
        <v>50000</v>
      </c>
      <c r="D868" s="7">
        <f t="shared" si="29"/>
        <v>1667</v>
      </c>
    </row>
    <row r="869">
      <c r="A869" s="6">
        <v>4377.0</v>
      </c>
      <c r="B869" s="5" t="s">
        <v>319</v>
      </c>
      <c r="C869" s="8">
        <f>IFERROR(VLOOKUP(B869,'Лист1'!$A:$L,12,FALSE),"")</f>
        <v>50000</v>
      </c>
      <c r="D869" s="7">
        <f t="shared" si="29"/>
        <v>1667</v>
      </c>
    </row>
    <row r="870">
      <c r="A870" s="6">
        <v>4380.0</v>
      </c>
      <c r="B870" s="7" t="s">
        <v>381</v>
      </c>
      <c r="C870" s="8">
        <f>IFERROR(VLOOKUP(B870,'Лист1'!$A:$L,12,FALSE),"")</f>
        <v>50000</v>
      </c>
      <c r="D870" s="7">
        <f t="shared" si="29"/>
        <v>1667</v>
      </c>
    </row>
    <row r="871">
      <c r="A871" s="6">
        <v>4383.0</v>
      </c>
      <c r="B871" s="7" t="s">
        <v>415</v>
      </c>
      <c r="C871" s="8">
        <f>IFERROR(VLOOKUP(B871,'Лист1'!$A:$L,12,FALSE),"")</f>
        <v>50000</v>
      </c>
      <c r="D871" s="7">
        <f t="shared" si="29"/>
        <v>1667</v>
      </c>
    </row>
    <row r="872">
      <c r="A872" s="6">
        <v>4309.0</v>
      </c>
      <c r="B872" s="7" t="s">
        <v>291</v>
      </c>
      <c r="C872" s="8">
        <f>IFERROR(VLOOKUP(B872,'Лист1'!$A:$L,12,FALSE),"")</f>
        <v>50000</v>
      </c>
      <c r="D872" s="7">
        <f t="shared" si="29"/>
        <v>1667</v>
      </c>
    </row>
    <row r="873">
      <c r="A873" s="6">
        <v>4312.0</v>
      </c>
      <c r="B873" s="7" t="s">
        <v>388</v>
      </c>
      <c r="C873" s="8">
        <f>IFERROR(VLOOKUP(B873,'Лист1'!$A:$L,12,FALSE),"")</f>
        <v>50000</v>
      </c>
      <c r="D873" s="7">
        <f t="shared" si="29"/>
        <v>1667</v>
      </c>
    </row>
    <row r="874">
      <c r="A874" s="6">
        <v>4315.0</v>
      </c>
      <c r="B874" s="7" t="s">
        <v>335</v>
      </c>
      <c r="C874" s="8">
        <f>IFERROR(VLOOKUP(B874,'Лист1'!$A:$L,12,FALSE),"")</f>
        <v>50000</v>
      </c>
      <c r="D874" s="7">
        <f t="shared" si="29"/>
        <v>1667</v>
      </c>
    </row>
    <row r="875">
      <c r="A875" s="6">
        <v>4376.0</v>
      </c>
      <c r="B875" s="7" t="s">
        <v>364</v>
      </c>
      <c r="C875" s="8">
        <f>IFERROR(VLOOKUP(B875,'Лист1'!$A:$L,12,FALSE),"")</f>
        <v>50000</v>
      </c>
      <c r="D875" s="7">
        <f t="shared" si="29"/>
        <v>1667</v>
      </c>
    </row>
    <row r="876">
      <c r="A876" s="6">
        <v>4379.0</v>
      </c>
      <c r="B876" s="7" t="s">
        <v>298</v>
      </c>
      <c r="C876" s="8">
        <f>IFERROR(VLOOKUP(B876,'Лист1'!$A:$L,12,FALSE),"")</f>
        <v>50000</v>
      </c>
      <c r="D876" s="7">
        <f t="shared" si="29"/>
        <v>1667</v>
      </c>
    </row>
    <row r="877">
      <c r="A877" s="6">
        <v>4382.0</v>
      </c>
      <c r="B877" s="7" t="s">
        <v>333</v>
      </c>
      <c r="C877" s="8">
        <f>IFERROR(VLOOKUP(B877,'Лист1'!$A:$L,12,FALSE),"")</f>
        <v>50000</v>
      </c>
      <c r="D877" s="7">
        <f t="shared" si="29"/>
        <v>1667</v>
      </c>
    </row>
    <row r="878">
      <c r="A878" s="6">
        <v>4308.0</v>
      </c>
      <c r="B878" s="7" t="s">
        <v>385</v>
      </c>
      <c r="C878" s="8">
        <f>IFERROR(VLOOKUP(B878,'Лист1'!$A:$L,12,FALSE),"")</f>
        <v>50000</v>
      </c>
      <c r="D878" s="7">
        <f t="shared" si="29"/>
        <v>1667</v>
      </c>
    </row>
    <row r="879">
      <c r="A879" s="6">
        <v>4311.0</v>
      </c>
      <c r="B879" s="7" t="s">
        <v>295</v>
      </c>
      <c r="C879" s="8">
        <f>IFERROR(VLOOKUP(B879,'Лист1'!$A:$L,12,FALSE),"")</f>
        <v>50000</v>
      </c>
      <c r="D879" s="7">
        <f t="shared" si="29"/>
        <v>1667</v>
      </c>
    </row>
    <row r="880">
      <c r="A880" s="6">
        <v>4314.0</v>
      </c>
      <c r="B880" s="7" t="s">
        <v>1371</v>
      </c>
      <c r="C880" s="8">
        <f>IFERROR(VLOOKUP(B880,'Лист1'!$A:$L,12,FALSE),"")</f>
        <v>50000</v>
      </c>
      <c r="D880" s="7">
        <f t="shared" si="29"/>
        <v>1667</v>
      </c>
    </row>
    <row r="881">
      <c r="A881" s="6">
        <v>4317.0</v>
      </c>
      <c r="B881" s="7" t="s">
        <v>1458</v>
      </c>
      <c r="C881" s="8">
        <f>IFERROR(VLOOKUP(B881,'Лист1'!$A:$L,12,FALSE),"")</f>
        <v>50000</v>
      </c>
      <c r="D881" s="7">
        <f t="shared" si="29"/>
        <v>1667</v>
      </c>
    </row>
    <row r="882">
      <c r="A882" s="6">
        <v>4321.0</v>
      </c>
      <c r="B882" s="7" t="s">
        <v>347</v>
      </c>
      <c r="C882" s="8">
        <f>IFERROR(VLOOKUP(B882,'Лист1'!$A:$L,12,FALSE),"")</f>
        <v>50000</v>
      </c>
      <c r="D882" s="7">
        <f t="shared" si="29"/>
        <v>1667</v>
      </c>
    </row>
    <row r="883">
      <c r="A883" s="6">
        <v>4325.0</v>
      </c>
      <c r="B883" s="7" t="s">
        <v>328</v>
      </c>
      <c r="C883" s="8">
        <f>IFERROR(VLOOKUP(B883,'Лист1'!$A:$L,12,FALSE),"")</f>
        <v>50000</v>
      </c>
      <c r="D883" s="7">
        <f t="shared" si="29"/>
        <v>1667</v>
      </c>
    </row>
    <row r="884">
      <c r="A884" s="6">
        <v>4388.0</v>
      </c>
      <c r="B884" s="7" t="s">
        <v>366</v>
      </c>
      <c r="C884" s="8">
        <f>IFERROR(VLOOKUP(B884,'Лист1'!$A:$L,12,FALSE),"")</f>
        <v>50000</v>
      </c>
      <c r="D884" s="7">
        <f t="shared" si="29"/>
        <v>1667</v>
      </c>
    </row>
    <row r="885">
      <c r="A885" s="6">
        <v>4392.0</v>
      </c>
      <c r="B885" s="7" t="s">
        <v>419</v>
      </c>
      <c r="C885" s="8">
        <f>IFERROR(VLOOKUP(B885,'Лист1'!$A:$L,12,FALSE),"")</f>
        <v>50000</v>
      </c>
      <c r="D885" s="7">
        <f t="shared" si="29"/>
        <v>1667</v>
      </c>
    </row>
    <row r="886">
      <c r="A886" s="6">
        <v>4396.0</v>
      </c>
      <c r="B886" s="7" t="s">
        <v>329</v>
      </c>
      <c r="C886" s="8">
        <f>IFERROR(VLOOKUP(B886,'Лист1'!$A:$L,12,FALSE),"")</f>
        <v>50000</v>
      </c>
      <c r="D886" s="7">
        <f t="shared" si="29"/>
        <v>1667</v>
      </c>
    </row>
    <row r="887">
      <c r="A887" s="6">
        <v>4387.0</v>
      </c>
      <c r="B887" s="7" t="s">
        <v>312</v>
      </c>
      <c r="C887" s="8">
        <f>IFERROR(VLOOKUP(B887,'Лист1'!$A:$L,12,FALSE),"")</f>
        <v>50000</v>
      </c>
      <c r="D887" s="7">
        <f t="shared" si="29"/>
        <v>1667</v>
      </c>
    </row>
    <row r="888">
      <c r="A888" s="6">
        <v>4391.0</v>
      </c>
      <c r="B888" s="7" t="s">
        <v>346</v>
      </c>
      <c r="C888" s="8">
        <f>IFERROR(VLOOKUP(B888,'Лист1'!$A:$L,12,FALSE),"")</f>
        <v>50000</v>
      </c>
      <c r="D888" s="7">
        <f t="shared" si="29"/>
        <v>1667</v>
      </c>
    </row>
    <row r="889">
      <c r="A889" s="6">
        <v>4395.0</v>
      </c>
      <c r="B889" s="7" t="s">
        <v>355</v>
      </c>
      <c r="C889" s="8">
        <f>IFERROR(VLOOKUP(B889,'Лист1'!$A:$L,12,FALSE),"")</f>
        <v>50000</v>
      </c>
      <c r="D889" s="7">
        <f t="shared" si="29"/>
        <v>1667</v>
      </c>
    </row>
    <row r="890">
      <c r="A890" s="6">
        <v>4386.0</v>
      </c>
      <c r="B890" s="5" t="s">
        <v>383</v>
      </c>
      <c r="C890" s="8">
        <f>IFERROR(VLOOKUP(B890,'Лист1'!$A:$L,12,FALSE),"")</f>
        <v>50000</v>
      </c>
      <c r="D890" s="7">
        <f t="shared" si="29"/>
        <v>1667</v>
      </c>
    </row>
    <row r="891">
      <c r="A891" s="6">
        <v>4390.0</v>
      </c>
      <c r="B891" s="5" t="s">
        <v>308</v>
      </c>
      <c r="C891" s="8">
        <f>IFERROR(VLOOKUP(B891,'Лист1'!$A:$L,12,FALSE),"")</f>
        <v>50000</v>
      </c>
      <c r="D891" s="7">
        <f t="shared" si="29"/>
        <v>1667</v>
      </c>
    </row>
    <row r="892">
      <c r="A892" s="6">
        <v>4394.0</v>
      </c>
      <c r="B892" s="7" t="s">
        <v>343</v>
      </c>
      <c r="C892" s="8">
        <f>IFERROR(VLOOKUP(B892,'Лист1'!$A:$L,12,FALSE),"")</f>
        <v>50000</v>
      </c>
      <c r="D892" s="7">
        <f t="shared" si="29"/>
        <v>1667</v>
      </c>
    </row>
    <row r="893">
      <c r="A893" s="6">
        <v>4318.0</v>
      </c>
      <c r="B893" s="7" t="s">
        <v>358</v>
      </c>
      <c r="C893" s="8">
        <f>IFERROR(VLOOKUP(B893,'Лист1'!$A:$L,12,FALSE),"")</f>
        <v>50000</v>
      </c>
      <c r="D893" s="7">
        <f t="shared" si="29"/>
        <v>1667</v>
      </c>
    </row>
    <row r="894">
      <c r="A894" s="6">
        <v>4322.0</v>
      </c>
      <c r="B894" s="7" t="s">
        <v>317</v>
      </c>
      <c r="C894" s="8">
        <f>IFERROR(VLOOKUP(B894,'Лист1'!$A:$L,12,FALSE),"")</f>
        <v>50000</v>
      </c>
      <c r="D894" s="7">
        <f t="shared" si="29"/>
        <v>1667</v>
      </c>
    </row>
    <row r="895">
      <c r="A895" s="6">
        <v>4326.0</v>
      </c>
      <c r="B895" s="7" t="s">
        <v>1546</v>
      </c>
      <c r="C895" s="8">
        <f>IFERROR(VLOOKUP(B895,'Лист1'!$A:$L,12,FALSE),"")</f>
        <v>50000</v>
      </c>
      <c r="D895" s="7">
        <f t="shared" si="29"/>
        <v>1667</v>
      </c>
    </row>
    <row r="896">
      <c r="A896" s="6">
        <v>4319.0</v>
      </c>
      <c r="B896" s="5" t="s">
        <v>324</v>
      </c>
      <c r="C896" s="8">
        <f>IFERROR(VLOOKUP(B896,'Лист1'!$A:$L,12,FALSE),"")</f>
        <v>50000</v>
      </c>
      <c r="D896" s="7">
        <f t="shared" si="29"/>
        <v>1667</v>
      </c>
    </row>
    <row r="897">
      <c r="A897" s="6">
        <v>4323.0</v>
      </c>
      <c r="B897" s="5" t="s">
        <v>315</v>
      </c>
      <c r="C897" s="8">
        <f>IFERROR(VLOOKUP(B897,'Лист1'!$A:$L,12,FALSE),"")</f>
        <v>50000</v>
      </c>
      <c r="D897" s="7">
        <f t="shared" si="29"/>
        <v>1667</v>
      </c>
    </row>
    <row r="898">
      <c r="A898" s="6">
        <v>4327.0</v>
      </c>
      <c r="B898" s="5" t="s">
        <v>322</v>
      </c>
      <c r="C898" s="8">
        <f>IFERROR(VLOOKUP(B898,'Лист1'!$A:$L,12,FALSE),"")</f>
        <v>50000</v>
      </c>
      <c r="D898" s="7">
        <f t="shared" si="29"/>
        <v>1667</v>
      </c>
    </row>
    <row r="899">
      <c r="A899" s="6">
        <v>4385.0</v>
      </c>
      <c r="B899" s="5" t="s">
        <v>377</v>
      </c>
      <c r="C899" s="8">
        <f>IFERROR(VLOOKUP(B899,'Лист1'!$A:$L,12,FALSE),"")</f>
        <v>50000</v>
      </c>
      <c r="D899" s="7">
        <f t="shared" si="29"/>
        <v>1667</v>
      </c>
    </row>
    <row r="900">
      <c r="A900" s="6">
        <v>4389.0</v>
      </c>
      <c r="B900" s="5" t="s">
        <v>360</v>
      </c>
      <c r="C900" s="8">
        <f>IFERROR(VLOOKUP(B900,'Лист1'!$A:$L,12,FALSE),"")</f>
        <v>50000</v>
      </c>
      <c r="D900" s="7">
        <f t="shared" si="29"/>
        <v>1667</v>
      </c>
    </row>
    <row r="901">
      <c r="A901" s="6">
        <v>4393.0</v>
      </c>
      <c r="B901" s="5" t="s">
        <v>393</v>
      </c>
      <c r="C901" s="8">
        <f>IFERROR(VLOOKUP(B901,'Лист1'!$A:$L,12,FALSE),"")</f>
        <v>50000</v>
      </c>
      <c r="D901" s="7">
        <f t="shared" si="29"/>
        <v>1667</v>
      </c>
    </row>
    <row r="902">
      <c r="A902" s="6">
        <v>4320.0</v>
      </c>
      <c r="B902" s="5" t="s">
        <v>285</v>
      </c>
      <c r="C902" s="8">
        <f>IFERROR(VLOOKUP(B902,'Лист1'!$A:$L,12,FALSE),"")</f>
        <v>50000</v>
      </c>
      <c r="D902" s="7">
        <f t="shared" si="29"/>
        <v>1667</v>
      </c>
    </row>
    <row r="903">
      <c r="A903" s="6">
        <v>4324.0</v>
      </c>
      <c r="B903" s="5" t="s">
        <v>354</v>
      </c>
      <c r="C903" s="8">
        <f>IFERROR(VLOOKUP(B903,'Лист1'!$A:$L,12,FALSE),"")</f>
        <v>50000</v>
      </c>
      <c r="D903" s="7">
        <f t="shared" si="29"/>
        <v>1667</v>
      </c>
    </row>
    <row r="904">
      <c r="A904" s="6">
        <v>4328.0</v>
      </c>
      <c r="B904" s="5" t="s">
        <v>375</v>
      </c>
      <c r="C904" s="8">
        <f>IFERROR(VLOOKUP(B904,'Лист1'!$A:$L,12,FALSE),"")</f>
        <v>50000</v>
      </c>
      <c r="D904" s="7">
        <f t="shared" si="29"/>
        <v>1667</v>
      </c>
    </row>
    <row r="905">
      <c r="A905" s="6">
        <v>4432.0</v>
      </c>
      <c r="B905" s="7" t="s">
        <v>709</v>
      </c>
      <c r="C905" s="8">
        <f>IFERROR(VLOOKUP(B905,'Лист1'!$A:$L,12,FALSE),"")</f>
        <v>50000</v>
      </c>
      <c r="D905" s="7">
        <f t="shared" si="29"/>
        <v>1667</v>
      </c>
    </row>
    <row r="906">
      <c r="A906" s="6">
        <v>4433.0</v>
      </c>
      <c r="B906" s="7" t="s">
        <v>263</v>
      </c>
      <c r="C906" s="8">
        <f>IFERROR(VLOOKUP(B906,'Лист1'!$A:$L,12,FALSE),"")</f>
        <v>50000</v>
      </c>
      <c r="D906" s="7">
        <f t="shared" si="29"/>
        <v>1667</v>
      </c>
    </row>
    <row r="907">
      <c r="A907" s="6">
        <v>4434.0</v>
      </c>
      <c r="B907" s="7" t="s">
        <v>715</v>
      </c>
      <c r="C907" s="8">
        <f>IFERROR(VLOOKUP(B907,'Лист1'!$A:$L,12,FALSE),"")</f>
        <v>50000</v>
      </c>
      <c r="D907" s="7">
        <f t="shared" si="29"/>
        <v>1667</v>
      </c>
    </row>
    <row r="908">
      <c r="A908" s="6">
        <v>4435.0</v>
      </c>
      <c r="B908" s="7" t="s">
        <v>700</v>
      </c>
      <c r="C908" s="8">
        <f>IFERROR(VLOOKUP(B908,'Лист1'!$A:$L,12,FALSE),"")</f>
        <v>50000</v>
      </c>
      <c r="D908" s="7">
        <f t="shared" si="29"/>
        <v>1667</v>
      </c>
    </row>
    <row r="909">
      <c r="A909" s="6">
        <v>4436.0</v>
      </c>
      <c r="B909" s="7" t="s">
        <v>253</v>
      </c>
      <c r="C909" s="8">
        <f>IFERROR(VLOOKUP(B909,'Лист1'!$A:$L,12,FALSE),"")</f>
        <v>50000</v>
      </c>
      <c r="D909" s="7">
        <f t="shared" si="29"/>
        <v>1667</v>
      </c>
    </row>
    <row r="910">
      <c r="A910" s="6">
        <v>4286.0</v>
      </c>
      <c r="B910" s="7" t="s">
        <v>667</v>
      </c>
      <c r="C910" s="8">
        <f>IFERROR(VLOOKUP(B910,'Лист1'!$A:$L,12,FALSE),"")</f>
        <v>50000</v>
      </c>
      <c r="D910" s="7">
        <f t="shared" si="29"/>
        <v>1667</v>
      </c>
    </row>
    <row r="911">
      <c r="A911" s="6">
        <v>4289.0</v>
      </c>
      <c r="B911" s="7" t="s">
        <v>276</v>
      </c>
      <c r="C911" s="8">
        <f>IFERROR(VLOOKUP(B911,'Лист1'!$A:$L,12,FALSE),"")</f>
        <v>50000</v>
      </c>
      <c r="D911" s="7">
        <f t="shared" si="29"/>
        <v>1667</v>
      </c>
    </row>
    <row r="912">
      <c r="A912" s="6">
        <v>4290.0</v>
      </c>
      <c r="B912" s="7" t="s">
        <v>268</v>
      </c>
      <c r="C912" s="8">
        <f>IFERROR(VLOOKUP(B912,'Лист1'!$A:$L,12,FALSE),"")</f>
        <v>50000</v>
      </c>
      <c r="D912" s="7">
        <f t="shared" si="29"/>
        <v>1667</v>
      </c>
    </row>
    <row r="913">
      <c r="A913" s="6">
        <v>4292.0</v>
      </c>
      <c r="B913" s="7" t="s">
        <v>272</v>
      </c>
      <c r="C913" s="8">
        <f>IFERROR(VLOOKUP(B913,'Лист1'!$A:$L,12,FALSE),"")</f>
        <v>50000</v>
      </c>
      <c r="D913" s="7">
        <f t="shared" si="29"/>
        <v>1667</v>
      </c>
    </row>
    <row r="914">
      <c r="A914" s="6">
        <v>4294.0</v>
      </c>
      <c r="B914" s="7" t="s">
        <v>259</v>
      </c>
      <c r="C914" s="8">
        <f>IFERROR(VLOOKUP(B914,'Лист1'!$A:$L,12,FALSE),"")</f>
        <v>50000</v>
      </c>
      <c r="D914" s="7">
        <f t="shared" si="29"/>
        <v>1667</v>
      </c>
    </row>
    <row r="915">
      <c r="A915" s="6">
        <v>4427.0</v>
      </c>
      <c r="B915" s="7" t="s">
        <v>594</v>
      </c>
      <c r="C915" s="8">
        <f>IFERROR(VLOOKUP(B915,'Лист1'!$A:$L,12,FALSE),"")</f>
        <v>50000</v>
      </c>
      <c r="D915" s="7">
        <f t="shared" si="29"/>
        <v>1667</v>
      </c>
    </row>
    <row r="916">
      <c r="A916" s="6">
        <v>4428.0</v>
      </c>
      <c r="B916" s="7" t="s">
        <v>266</v>
      </c>
      <c r="C916" s="8">
        <f>IFERROR(VLOOKUP(B916,'Лист1'!$A:$L,12,FALSE),"")</f>
        <v>50000</v>
      </c>
      <c r="D916" s="7">
        <f t="shared" si="29"/>
        <v>1667</v>
      </c>
    </row>
    <row r="917">
      <c r="A917" s="6">
        <v>4429.0</v>
      </c>
      <c r="B917" s="7" t="s">
        <v>271</v>
      </c>
      <c r="C917" s="8">
        <f>IFERROR(VLOOKUP(B917,'Лист1'!$A:$L,12,FALSE),"")</f>
        <v>50000</v>
      </c>
      <c r="D917" s="7">
        <f t="shared" si="29"/>
        <v>1667</v>
      </c>
    </row>
    <row r="918">
      <c r="A918" s="6">
        <v>4430.0</v>
      </c>
      <c r="B918" s="7" t="s">
        <v>244</v>
      </c>
      <c r="C918" s="8">
        <f>IFERROR(VLOOKUP(B918,'Лист1'!$A:$L,12,FALSE),"")</f>
        <v>50000</v>
      </c>
      <c r="D918" s="7">
        <f t="shared" si="29"/>
        <v>1667</v>
      </c>
    </row>
    <row r="919">
      <c r="A919" s="6">
        <v>4431.0</v>
      </c>
      <c r="B919" s="7" t="s">
        <v>258</v>
      </c>
      <c r="C919" s="8">
        <f>IFERROR(VLOOKUP(B919,'Лист1'!$A:$L,12,FALSE),"")</f>
        <v>50000</v>
      </c>
      <c r="D919" s="7">
        <f t="shared" si="29"/>
        <v>1667</v>
      </c>
    </row>
    <row r="920">
      <c r="A920" s="6">
        <v>4287.0</v>
      </c>
      <c r="B920" s="7" t="s">
        <v>745</v>
      </c>
      <c r="C920" s="8">
        <f>IFERROR(VLOOKUP(B920,'Лист1'!$A:$L,12,FALSE),"")</f>
        <v>50000</v>
      </c>
      <c r="D920" s="7">
        <f t="shared" si="29"/>
        <v>1667</v>
      </c>
    </row>
    <row r="921">
      <c r="A921" s="6">
        <v>4288.0</v>
      </c>
      <c r="B921" s="7" t="s">
        <v>237</v>
      </c>
      <c r="C921" s="8">
        <f>IFERROR(VLOOKUP(B921,'Лист1'!$A:$L,12,FALSE),"")</f>
        <v>50000</v>
      </c>
      <c r="D921" s="7">
        <f t="shared" si="29"/>
        <v>1667</v>
      </c>
    </row>
    <row r="922">
      <c r="A922" s="6">
        <v>4291.0</v>
      </c>
      <c r="B922" s="7" t="s">
        <v>277</v>
      </c>
      <c r="C922" s="8">
        <f>IFERROR(VLOOKUP(B922,'Лист1'!$A:$L,12,FALSE),"")</f>
        <v>50000</v>
      </c>
      <c r="D922" s="7">
        <f t="shared" si="29"/>
        <v>1667</v>
      </c>
    </row>
    <row r="923">
      <c r="A923" s="6">
        <v>4293.0</v>
      </c>
      <c r="B923" s="7" t="s">
        <v>228</v>
      </c>
      <c r="C923" s="8">
        <f>IFERROR(VLOOKUP(B923,'Лист1'!$A:$L,12,FALSE),"")</f>
        <v>50000</v>
      </c>
      <c r="D923" s="7">
        <f t="shared" si="29"/>
        <v>1667</v>
      </c>
    </row>
    <row r="924">
      <c r="A924" s="6">
        <v>4295.0</v>
      </c>
      <c r="B924" s="7" t="s">
        <v>755</v>
      </c>
      <c r="C924" s="8">
        <f>IFERROR(VLOOKUP(B924,'Лист1'!$A:$L,12,FALSE),"")</f>
        <v>50000</v>
      </c>
      <c r="D924" s="7">
        <f t="shared" si="29"/>
        <v>1667</v>
      </c>
    </row>
    <row r="925">
      <c r="A925" s="6">
        <v>4411.0</v>
      </c>
      <c r="B925" s="5" t="s">
        <v>1851</v>
      </c>
      <c r="C925" s="8">
        <f>IFERROR(VLOOKUP(B925,'Лист1'!$A:$L,12,FALSE),"")</f>
        <v>29890</v>
      </c>
      <c r="D925" s="7">
        <f t="shared" si="29"/>
        <v>996</v>
      </c>
    </row>
    <row r="926">
      <c r="A926" s="6">
        <v>4412.0</v>
      </c>
      <c r="B926" s="5" t="s">
        <v>1855</v>
      </c>
      <c r="C926" s="8">
        <f>IFERROR(VLOOKUP(B926,'Лист1'!$A:$L,12,FALSE),"")</f>
        <v>28890</v>
      </c>
      <c r="D926" s="7">
        <f t="shared" si="29"/>
        <v>963</v>
      </c>
    </row>
    <row r="927">
      <c r="A927" s="6">
        <v>4413.0</v>
      </c>
      <c r="B927" s="5" t="s">
        <v>1859</v>
      </c>
      <c r="C927" s="8">
        <f>IFERROR(VLOOKUP(B927,'Лист1'!$A:$L,12,FALSE),"")</f>
        <v>30390</v>
      </c>
      <c r="D927" s="7">
        <f t="shared" si="29"/>
        <v>1013</v>
      </c>
    </row>
    <row r="928">
      <c r="A928" s="6">
        <v>4414.0</v>
      </c>
      <c r="B928" s="5" t="s">
        <v>1862</v>
      </c>
      <c r="C928" s="8">
        <f>IFERROR(VLOOKUP(B928,'Лист1'!$A:$L,12,FALSE),"")</f>
        <v>29890</v>
      </c>
      <c r="D928" s="7">
        <f t="shared" si="29"/>
        <v>996</v>
      </c>
    </row>
    <row r="929">
      <c r="A929" s="6">
        <v>4407.0</v>
      </c>
      <c r="B929" s="5" t="s">
        <v>1866</v>
      </c>
      <c r="C929" s="8">
        <f>IFERROR(VLOOKUP(B929,'Лист1'!$A:$L,12,FALSE),"")</f>
        <v>32390</v>
      </c>
      <c r="D929" s="7">
        <f t="shared" si="29"/>
        <v>1080</v>
      </c>
    </row>
    <row r="930">
      <c r="A930" s="6">
        <v>4408.0</v>
      </c>
      <c r="B930" s="5" t="s">
        <v>1870</v>
      </c>
      <c r="C930" s="8">
        <f>IFERROR(VLOOKUP(B930,'Лист1'!$A:$L,12,FALSE),"")</f>
        <v>32390</v>
      </c>
      <c r="D930" s="7">
        <f t="shared" si="29"/>
        <v>1080</v>
      </c>
    </row>
    <row r="931">
      <c r="A931" s="6">
        <v>4409.0</v>
      </c>
      <c r="B931" s="5" t="s">
        <v>1874</v>
      </c>
      <c r="C931" s="8">
        <f>IFERROR(VLOOKUP(B931,'Лист1'!$A:$L,12,FALSE),"")</f>
        <v>32390</v>
      </c>
      <c r="D931" s="7">
        <f t="shared" si="29"/>
        <v>1080</v>
      </c>
    </row>
    <row r="932">
      <c r="A932" s="6">
        <v>4410.0</v>
      </c>
      <c r="B932" s="5" t="s">
        <v>1877</v>
      </c>
      <c r="C932" s="8">
        <f>IFERROR(VLOOKUP(B932,'Лист1'!$A:$L,12,FALSE),"")</f>
        <v>34390</v>
      </c>
      <c r="D932" s="7">
        <f t="shared" si="29"/>
        <v>1146</v>
      </c>
    </row>
    <row r="933">
      <c r="A933" s="6">
        <v>4406.0</v>
      </c>
      <c r="B933" s="5" t="s">
        <v>220</v>
      </c>
      <c r="C933" s="8">
        <f>IFERROR(VLOOKUP(B933,'Лист1'!$A:$L,12,FALSE),"")</f>
        <v>18390</v>
      </c>
      <c r="D933" s="7">
        <f t="shared" si="29"/>
        <v>613</v>
      </c>
    </row>
    <row r="934" hidden="1">
      <c r="A934" s="6">
        <v>4437.0</v>
      </c>
      <c r="B934" s="5" t="s">
        <v>1882</v>
      </c>
      <c r="C934" s="2">
        <v>1.0</v>
      </c>
      <c r="D934" s="7"/>
    </row>
    <row r="935" hidden="1">
      <c r="A935" s="6">
        <v>4439.0</v>
      </c>
      <c r="B935" s="5" t="s">
        <v>1883</v>
      </c>
      <c r="C935" s="2">
        <v>1.0</v>
      </c>
      <c r="D935" s="7"/>
    </row>
    <row r="936" hidden="1">
      <c r="A936" s="6">
        <v>4441.0</v>
      </c>
      <c r="B936" s="5" t="s">
        <v>1884</v>
      </c>
      <c r="C936" s="2">
        <v>1.0</v>
      </c>
      <c r="D936" s="7"/>
    </row>
    <row r="937" hidden="1">
      <c r="A937" s="6">
        <v>4438.0</v>
      </c>
      <c r="B937" s="5" t="s">
        <v>1887</v>
      </c>
      <c r="C937" s="2">
        <v>1.0</v>
      </c>
      <c r="D937" s="7"/>
    </row>
    <row r="938" hidden="1">
      <c r="A938" s="6">
        <v>4440.0</v>
      </c>
      <c r="B938" s="5" t="s">
        <v>1889</v>
      </c>
      <c r="C938" s="2">
        <v>1.0</v>
      </c>
      <c r="D938" s="7"/>
    </row>
    <row r="939" hidden="1">
      <c r="A939" s="6">
        <v>4442.0</v>
      </c>
      <c r="B939" s="5" t="s">
        <v>1890</v>
      </c>
      <c r="C939" s="2">
        <v>1.0</v>
      </c>
      <c r="D939" s="7"/>
    </row>
    <row r="940">
      <c r="A940" s="6">
        <v>4443.0</v>
      </c>
      <c r="B940" s="5" t="s">
        <v>1891</v>
      </c>
      <c r="C940" s="2">
        <f>C942</f>
        <v>68390</v>
      </c>
      <c r="D940" s="7">
        <f t="shared" ref="D940:D1041" si="30">ROUND((C940*1.2)/36,0)</f>
        <v>2280</v>
      </c>
    </row>
    <row r="941">
      <c r="A941" s="6">
        <v>4444.0</v>
      </c>
      <c r="B941" s="5" t="s">
        <v>1894</v>
      </c>
      <c r="C941" s="2">
        <f>C942</f>
        <v>68390</v>
      </c>
      <c r="D941" s="7">
        <f t="shared" si="30"/>
        <v>2280</v>
      </c>
    </row>
    <row r="942">
      <c r="A942" s="6">
        <v>4445.0</v>
      </c>
      <c r="B942" s="2" t="s">
        <v>1898</v>
      </c>
      <c r="C942" s="8">
        <f>IFERROR(VLOOKUP(B942,'Лист1'!$A:$L,12,FALSE),"")</f>
        <v>68390</v>
      </c>
      <c r="D942" s="7">
        <f t="shared" si="30"/>
        <v>2280</v>
      </c>
    </row>
    <row r="943">
      <c r="A943" s="6">
        <v>4561.0</v>
      </c>
      <c r="B943" s="5" t="s">
        <v>168</v>
      </c>
      <c r="C943" s="8">
        <f>IFERROR(VLOOKUP(B943,'Лист1'!$A:$L,12,FALSE),"")</f>
        <v>21890</v>
      </c>
      <c r="D943" s="7">
        <f t="shared" si="30"/>
        <v>730</v>
      </c>
    </row>
    <row r="944">
      <c r="A944" s="6">
        <v>4564.0</v>
      </c>
      <c r="B944" s="5" t="s">
        <v>1905</v>
      </c>
      <c r="C944" s="8">
        <f>IFERROR(VLOOKUP(B944,'Лист1'!$A:$L,12,FALSE),"")</f>
        <v>21890</v>
      </c>
      <c r="D944" s="7">
        <f t="shared" si="30"/>
        <v>730</v>
      </c>
    </row>
    <row r="945">
      <c r="A945" s="6">
        <v>4562.0</v>
      </c>
      <c r="B945" s="5" t="s">
        <v>146</v>
      </c>
      <c r="C945" s="8">
        <f>IFERROR(VLOOKUP(B945,'Лист1'!$A:$L,12,FALSE),"")</f>
        <v>24890</v>
      </c>
      <c r="D945" s="7">
        <f t="shared" si="30"/>
        <v>830</v>
      </c>
    </row>
    <row r="946">
      <c r="A946" s="6">
        <v>4563.0</v>
      </c>
      <c r="B946" s="5" t="s">
        <v>143</v>
      </c>
      <c r="C946" s="8">
        <f>IFERROR(VLOOKUP(B946,'Лист1'!$A:$L,12,FALSE),"")</f>
        <v>22890</v>
      </c>
      <c r="D946" s="7">
        <f t="shared" si="30"/>
        <v>763</v>
      </c>
    </row>
    <row r="947">
      <c r="A947" s="6">
        <v>4200.0</v>
      </c>
      <c r="B947" s="5" t="s">
        <v>1914</v>
      </c>
      <c r="C947" s="2">
        <v>7990.0</v>
      </c>
      <c r="D947" s="7">
        <f t="shared" si="30"/>
        <v>266</v>
      </c>
    </row>
    <row r="948">
      <c r="A948" s="6">
        <v>4201.0</v>
      </c>
      <c r="B948" s="5" t="s">
        <v>1917</v>
      </c>
      <c r="C948" s="2">
        <v>7990.0</v>
      </c>
      <c r="D948" s="7">
        <f t="shared" si="30"/>
        <v>266</v>
      </c>
    </row>
    <row r="949">
      <c r="A949" s="6">
        <v>4202.0</v>
      </c>
      <c r="B949" s="5" t="s">
        <v>1918</v>
      </c>
      <c r="C949" s="2">
        <v>990.0</v>
      </c>
      <c r="D949" s="7">
        <f t="shared" si="30"/>
        <v>33</v>
      </c>
    </row>
    <row r="950">
      <c r="A950" s="6">
        <v>4203.0</v>
      </c>
      <c r="B950" s="5" t="s">
        <v>1919</v>
      </c>
      <c r="C950" s="2">
        <v>1490.0</v>
      </c>
      <c r="D950" s="7">
        <f t="shared" si="30"/>
        <v>50</v>
      </c>
    </row>
    <row r="951">
      <c r="A951" s="6">
        <v>4207.0</v>
      </c>
      <c r="B951" s="5" t="s">
        <v>1920</v>
      </c>
      <c r="C951" s="2">
        <v>3990.0</v>
      </c>
      <c r="D951" s="7">
        <f t="shared" si="30"/>
        <v>133</v>
      </c>
    </row>
    <row r="952">
      <c r="A952" s="6">
        <v>4208.0</v>
      </c>
      <c r="B952" s="5" t="s">
        <v>1922</v>
      </c>
      <c r="C952" s="2">
        <v>6990.0</v>
      </c>
      <c r="D952" s="7">
        <f t="shared" si="30"/>
        <v>233</v>
      </c>
    </row>
    <row r="953">
      <c r="A953" s="6">
        <v>4209.0</v>
      </c>
      <c r="B953" s="5" t="s">
        <v>1925</v>
      </c>
      <c r="C953" s="2">
        <v>6990.0</v>
      </c>
      <c r="D953" s="7">
        <f t="shared" si="30"/>
        <v>233</v>
      </c>
    </row>
    <row r="954">
      <c r="A954" s="6">
        <v>4210.0</v>
      </c>
      <c r="B954" s="5" t="s">
        <v>1926</v>
      </c>
      <c r="C954" s="2">
        <v>6990.0</v>
      </c>
      <c r="D954" s="7">
        <f t="shared" si="30"/>
        <v>233</v>
      </c>
    </row>
    <row r="955">
      <c r="A955" s="6">
        <v>4211.0</v>
      </c>
      <c r="B955" s="5" t="s">
        <v>1927</v>
      </c>
      <c r="C955" s="2">
        <v>6990.0</v>
      </c>
      <c r="D955" s="7">
        <f t="shared" si="30"/>
        <v>233</v>
      </c>
    </row>
    <row r="956">
      <c r="A956" s="6">
        <v>4212.0</v>
      </c>
      <c r="B956" s="5" t="s">
        <v>1928</v>
      </c>
      <c r="C956" s="2">
        <v>4490.0</v>
      </c>
      <c r="D956" s="7">
        <f t="shared" si="30"/>
        <v>150</v>
      </c>
    </row>
    <row r="957">
      <c r="A957" s="6">
        <v>4216.0</v>
      </c>
      <c r="B957" s="5" t="s">
        <v>1930</v>
      </c>
      <c r="C957" s="2">
        <v>15990.0</v>
      </c>
      <c r="D957" s="7">
        <f t="shared" si="30"/>
        <v>533</v>
      </c>
    </row>
    <row r="958">
      <c r="A958" s="6">
        <v>4217.0</v>
      </c>
      <c r="B958" s="5" t="s">
        <v>1932</v>
      </c>
      <c r="C958" s="2">
        <v>1690.0</v>
      </c>
      <c r="D958" s="7">
        <f t="shared" si="30"/>
        <v>56</v>
      </c>
    </row>
    <row r="959">
      <c r="A959" s="6">
        <v>4219.0</v>
      </c>
      <c r="B959" s="5" t="s">
        <v>1934</v>
      </c>
      <c r="C959" s="2">
        <v>2990.0</v>
      </c>
      <c r="D959" s="7">
        <f t="shared" si="30"/>
        <v>100</v>
      </c>
    </row>
    <row r="960">
      <c r="A960" s="6">
        <v>4222.0</v>
      </c>
      <c r="B960" s="5" t="s">
        <v>1936</v>
      </c>
      <c r="C960" s="2">
        <v>1990.0</v>
      </c>
      <c r="D960" s="7">
        <f t="shared" si="30"/>
        <v>66</v>
      </c>
    </row>
    <row r="961">
      <c r="A961" s="6">
        <v>4223.0</v>
      </c>
      <c r="B961" s="5" t="s">
        <v>1937</v>
      </c>
      <c r="C961" s="2">
        <v>3990.0</v>
      </c>
      <c r="D961" s="7">
        <f t="shared" si="30"/>
        <v>133</v>
      </c>
    </row>
    <row r="962">
      <c r="A962" s="6">
        <v>4224.0</v>
      </c>
      <c r="B962" s="5" t="s">
        <v>1938</v>
      </c>
      <c r="C962" s="2">
        <v>3990.0</v>
      </c>
      <c r="D962" s="7">
        <f t="shared" si="30"/>
        <v>133</v>
      </c>
    </row>
    <row r="963">
      <c r="A963" s="6">
        <v>4225.0</v>
      </c>
      <c r="B963" s="5" t="s">
        <v>1939</v>
      </c>
      <c r="C963" s="2">
        <v>3990.0</v>
      </c>
      <c r="D963" s="7">
        <f t="shared" si="30"/>
        <v>133</v>
      </c>
    </row>
    <row r="964">
      <c r="A964" s="6">
        <v>4226.0</v>
      </c>
      <c r="B964" s="5" t="s">
        <v>1940</v>
      </c>
      <c r="C964" s="2">
        <v>3990.0</v>
      </c>
      <c r="D964" s="7">
        <f t="shared" si="30"/>
        <v>133</v>
      </c>
    </row>
    <row r="965">
      <c r="A965" s="6">
        <v>4227.0</v>
      </c>
      <c r="B965" s="5" t="s">
        <v>1943</v>
      </c>
      <c r="C965" s="2">
        <v>3990.0</v>
      </c>
      <c r="D965" s="7">
        <f t="shared" si="30"/>
        <v>133</v>
      </c>
    </row>
    <row r="966">
      <c r="A966" s="6">
        <v>4228.0</v>
      </c>
      <c r="B966" s="5" t="s">
        <v>1944</v>
      </c>
      <c r="C966" s="2">
        <v>1990.0</v>
      </c>
      <c r="D966" s="7">
        <f t="shared" si="30"/>
        <v>66</v>
      </c>
    </row>
    <row r="967">
      <c r="A967" s="6">
        <v>4229.0</v>
      </c>
      <c r="B967" s="5" t="s">
        <v>1945</v>
      </c>
      <c r="C967" s="2">
        <v>2990.0</v>
      </c>
      <c r="D967" s="7">
        <f t="shared" si="30"/>
        <v>100</v>
      </c>
    </row>
    <row r="968">
      <c r="A968" s="6">
        <v>4230.0</v>
      </c>
      <c r="B968" s="5" t="s">
        <v>1946</v>
      </c>
      <c r="C968" s="2">
        <v>14990.0</v>
      </c>
      <c r="D968" s="7">
        <f t="shared" si="30"/>
        <v>500</v>
      </c>
    </row>
    <row r="969">
      <c r="A969" s="6">
        <v>4231.0</v>
      </c>
      <c r="B969" s="5" t="s">
        <v>1947</v>
      </c>
      <c r="C969" s="2">
        <v>8490.0</v>
      </c>
      <c r="D969" s="7">
        <f t="shared" si="30"/>
        <v>283</v>
      </c>
    </row>
    <row r="970">
      <c r="A970" s="6">
        <v>4232.0</v>
      </c>
      <c r="B970" s="5" t="s">
        <v>1948</v>
      </c>
      <c r="C970" s="2">
        <v>6990.0</v>
      </c>
      <c r="D970" s="7">
        <f t="shared" si="30"/>
        <v>233</v>
      </c>
    </row>
    <row r="971">
      <c r="A971" s="6">
        <v>4233.0</v>
      </c>
      <c r="B971" s="5" t="s">
        <v>1951</v>
      </c>
      <c r="C971" s="2">
        <v>3990.0</v>
      </c>
      <c r="D971" s="7">
        <f t="shared" si="30"/>
        <v>133</v>
      </c>
    </row>
    <row r="972">
      <c r="A972" s="6">
        <v>4234.0</v>
      </c>
      <c r="B972" s="5" t="s">
        <v>1952</v>
      </c>
      <c r="C972" s="2">
        <v>8490.0</v>
      </c>
      <c r="D972" s="7">
        <f t="shared" si="30"/>
        <v>283</v>
      </c>
    </row>
    <row r="973">
      <c r="A973" s="6">
        <v>4235.0</v>
      </c>
      <c r="B973" s="5" t="s">
        <v>1953</v>
      </c>
      <c r="C973" s="2">
        <v>22990.0</v>
      </c>
      <c r="D973" s="7">
        <f t="shared" si="30"/>
        <v>766</v>
      </c>
    </row>
    <row r="974">
      <c r="A974" s="6">
        <v>4236.0</v>
      </c>
      <c r="B974" s="5" t="s">
        <v>1956</v>
      </c>
      <c r="C974" s="2">
        <v>8990.0</v>
      </c>
      <c r="D974" s="7">
        <f t="shared" si="30"/>
        <v>300</v>
      </c>
    </row>
    <row r="975">
      <c r="A975" s="6">
        <v>4237.0</v>
      </c>
      <c r="B975" s="5" t="s">
        <v>1957</v>
      </c>
      <c r="C975" s="2">
        <v>3890.0</v>
      </c>
      <c r="D975" s="7">
        <f t="shared" si="30"/>
        <v>130</v>
      </c>
    </row>
    <row r="976">
      <c r="A976" s="6">
        <v>4238.0</v>
      </c>
      <c r="B976" s="5" t="s">
        <v>1959</v>
      </c>
      <c r="C976" s="2">
        <v>4290.0</v>
      </c>
      <c r="D976" s="7">
        <f t="shared" si="30"/>
        <v>143</v>
      </c>
    </row>
    <row r="977">
      <c r="A977" s="6">
        <v>4239.0</v>
      </c>
      <c r="B977" s="5" t="s">
        <v>1961</v>
      </c>
      <c r="C977" s="2">
        <v>3990.0</v>
      </c>
      <c r="D977" s="7">
        <f t="shared" si="30"/>
        <v>133</v>
      </c>
    </row>
    <row r="978">
      <c r="A978" s="6">
        <v>4240.0</v>
      </c>
      <c r="B978" s="5" t="s">
        <v>1962</v>
      </c>
      <c r="C978" s="2">
        <v>1990.0</v>
      </c>
      <c r="D978" s="7">
        <f t="shared" si="30"/>
        <v>66</v>
      </c>
    </row>
    <row r="979">
      <c r="A979" s="6">
        <v>4241.0</v>
      </c>
      <c r="B979" s="5" t="s">
        <v>1963</v>
      </c>
      <c r="C979" s="2">
        <v>2990.0</v>
      </c>
      <c r="D979" s="7">
        <f t="shared" si="30"/>
        <v>100</v>
      </c>
    </row>
    <row r="980">
      <c r="A980" s="6">
        <v>4242.0</v>
      </c>
      <c r="B980" s="5" t="s">
        <v>1966</v>
      </c>
      <c r="C980" s="2">
        <v>1490.0</v>
      </c>
      <c r="D980" s="7">
        <f t="shared" si="30"/>
        <v>50</v>
      </c>
    </row>
    <row r="981">
      <c r="A981" s="6">
        <v>4188.0</v>
      </c>
      <c r="B981" s="5" t="s">
        <v>1967</v>
      </c>
      <c r="C981" s="2">
        <v>3990.0</v>
      </c>
      <c r="D981" s="7">
        <f t="shared" si="30"/>
        <v>133</v>
      </c>
    </row>
    <row r="982">
      <c r="A982" s="6">
        <v>4204.0</v>
      </c>
      <c r="B982" s="5" t="s">
        <v>1970</v>
      </c>
      <c r="C982" s="2">
        <v>790.0</v>
      </c>
      <c r="D982" s="7">
        <f t="shared" si="30"/>
        <v>26</v>
      </c>
    </row>
    <row r="983">
      <c r="A983" s="6">
        <v>4206.0</v>
      </c>
      <c r="B983" s="5" t="s">
        <v>1971</v>
      </c>
      <c r="C983" s="2">
        <v>6790.0</v>
      </c>
      <c r="D983" s="7">
        <f t="shared" si="30"/>
        <v>226</v>
      </c>
    </row>
    <row r="984">
      <c r="A984" s="6">
        <v>4218.0</v>
      </c>
      <c r="B984" s="5" t="s">
        <v>1972</v>
      </c>
      <c r="C984" s="2">
        <v>1990.0</v>
      </c>
      <c r="D984" s="7">
        <f t="shared" si="30"/>
        <v>66</v>
      </c>
    </row>
    <row r="985">
      <c r="A985" s="6">
        <v>4220.0</v>
      </c>
      <c r="B985" s="5" t="s">
        <v>1974</v>
      </c>
      <c r="C985" s="2">
        <v>3790.0</v>
      </c>
      <c r="D985" s="7">
        <f t="shared" si="30"/>
        <v>126</v>
      </c>
    </row>
    <row r="986">
      <c r="A986" s="6">
        <v>4221.0</v>
      </c>
      <c r="B986" s="5" t="s">
        <v>1976</v>
      </c>
      <c r="C986" s="2">
        <v>3990.0</v>
      </c>
      <c r="D986" s="7">
        <f t="shared" si="30"/>
        <v>133</v>
      </c>
    </row>
    <row r="987">
      <c r="A987" s="6">
        <v>4193.0</v>
      </c>
      <c r="B987" s="5" t="s">
        <v>1977</v>
      </c>
      <c r="C987" s="2">
        <v>2990.0</v>
      </c>
      <c r="D987" s="7">
        <f t="shared" si="30"/>
        <v>100</v>
      </c>
    </row>
    <row r="988">
      <c r="A988" s="6">
        <v>4194.0</v>
      </c>
      <c r="B988" s="5" t="s">
        <v>1980</v>
      </c>
      <c r="C988" s="2">
        <v>2990.0</v>
      </c>
      <c r="D988" s="7">
        <f t="shared" si="30"/>
        <v>100</v>
      </c>
    </row>
    <row r="989">
      <c r="A989" s="6">
        <v>4195.0</v>
      </c>
      <c r="B989" s="5" t="s">
        <v>1981</v>
      </c>
      <c r="C989" s="2">
        <v>3990.0</v>
      </c>
      <c r="D989" s="7">
        <f t="shared" si="30"/>
        <v>133</v>
      </c>
    </row>
    <row r="990">
      <c r="A990" s="6">
        <v>4196.0</v>
      </c>
      <c r="B990" s="5" t="s">
        <v>1982</v>
      </c>
      <c r="C990" s="2">
        <v>3990.0</v>
      </c>
      <c r="D990" s="7">
        <f t="shared" si="30"/>
        <v>133</v>
      </c>
    </row>
    <row r="991">
      <c r="A991" s="6">
        <v>4197.0</v>
      </c>
      <c r="B991" s="5" t="s">
        <v>1983</v>
      </c>
      <c r="C991" s="2">
        <v>3990.0</v>
      </c>
      <c r="D991" s="7">
        <f t="shared" si="30"/>
        <v>133</v>
      </c>
    </row>
    <row r="992">
      <c r="A992" s="6">
        <v>4198.0</v>
      </c>
      <c r="B992" s="5" t="s">
        <v>1984</v>
      </c>
      <c r="C992" s="2">
        <v>3990.0</v>
      </c>
      <c r="D992" s="7">
        <f t="shared" si="30"/>
        <v>133</v>
      </c>
    </row>
    <row r="993">
      <c r="A993" s="6">
        <v>4189.0</v>
      </c>
      <c r="B993" s="5" t="s">
        <v>1985</v>
      </c>
      <c r="C993" s="2">
        <v>3990.0</v>
      </c>
      <c r="D993" s="7">
        <f t="shared" si="30"/>
        <v>133</v>
      </c>
    </row>
    <row r="994">
      <c r="A994" s="6">
        <v>4190.0</v>
      </c>
      <c r="B994" s="5" t="s">
        <v>1987</v>
      </c>
      <c r="C994" s="2">
        <v>3490.0</v>
      </c>
      <c r="D994" s="7">
        <f t="shared" si="30"/>
        <v>116</v>
      </c>
    </row>
    <row r="995">
      <c r="A995" s="6">
        <v>4191.0</v>
      </c>
      <c r="B995" s="5" t="s">
        <v>1989</v>
      </c>
      <c r="C995" s="2">
        <v>2990.0</v>
      </c>
      <c r="D995" s="7">
        <f t="shared" si="30"/>
        <v>100</v>
      </c>
    </row>
    <row r="996">
      <c r="A996" s="6">
        <v>4192.0</v>
      </c>
      <c r="B996" s="5" t="s">
        <v>1990</v>
      </c>
      <c r="C996" s="2">
        <v>4990.0</v>
      </c>
      <c r="D996" s="7">
        <f t="shared" si="30"/>
        <v>166</v>
      </c>
    </row>
    <row r="997">
      <c r="A997" s="6">
        <v>4199.0</v>
      </c>
      <c r="B997" s="5" t="s">
        <v>1991</v>
      </c>
      <c r="C997" s="2">
        <v>4490.0</v>
      </c>
      <c r="D997" s="7">
        <f t="shared" si="30"/>
        <v>150</v>
      </c>
    </row>
    <row r="998">
      <c r="A998" s="6">
        <v>4205.0</v>
      </c>
      <c r="B998" s="5" t="s">
        <v>1992</v>
      </c>
      <c r="C998" s="2">
        <v>6490.0</v>
      </c>
      <c r="D998" s="7">
        <f t="shared" si="30"/>
        <v>216</v>
      </c>
    </row>
    <row r="999">
      <c r="A999" s="6">
        <v>4213.0</v>
      </c>
      <c r="B999" s="5" t="s">
        <v>1995</v>
      </c>
      <c r="C999" s="2">
        <v>2990.0</v>
      </c>
      <c r="D999" s="7">
        <f t="shared" si="30"/>
        <v>100</v>
      </c>
    </row>
    <row r="1000">
      <c r="A1000" s="6">
        <v>4214.0</v>
      </c>
      <c r="B1000" s="5" t="s">
        <v>1996</v>
      </c>
      <c r="C1000" s="2">
        <v>1990.0</v>
      </c>
      <c r="D1000" s="7">
        <f t="shared" si="30"/>
        <v>66</v>
      </c>
    </row>
    <row r="1001">
      <c r="A1001" s="6">
        <v>4215.0</v>
      </c>
      <c r="B1001" s="5" t="s">
        <v>1999</v>
      </c>
      <c r="C1001" s="2">
        <v>3990.0</v>
      </c>
      <c r="D1001" s="7">
        <f t="shared" si="30"/>
        <v>133</v>
      </c>
    </row>
    <row r="1002">
      <c r="A1002" s="6">
        <v>4648.0</v>
      </c>
      <c r="B1002" s="5" t="s">
        <v>2000</v>
      </c>
      <c r="C1002" s="8">
        <f>IFERROR(VLOOKUP(B1002,'Лист1'!$A:$L,12,FALSE),"")</f>
        <v>76890</v>
      </c>
      <c r="D1002" s="7">
        <f t="shared" si="30"/>
        <v>2563</v>
      </c>
    </row>
    <row r="1003">
      <c r="A1003" s="6">
        <v>4649.0</v>
      </c>
      <c r="B1003" s="5" t="s">
        <v>2003</v>
      </c>
      <c r="C1003" s="8">
        <f>IFERROR(VLOOKUP(B1003,'Лист1'!$A:$L,12,FALSE),"")</f>
        <v>76890</v>
      </c>
      <c r="D1003" s="7">
        <f t="shared" si="30"/>
        <v>2563</v>
      </c>
    </row>
    <row r="1004">
      <c r="A1004" s="6">
        <v>4650.0</v>
      </c>
      <c r="B1004" s="5" t="s">
        <v>2004</v>
      </c>
      <c r="C1004" s="8">
        <f>IFERROR(VLOOKUP(B1004,'Лист1'!$A:$L,12,FALSE),"")</f>
        <v>76890</v>
      </c>
      <c r="D1004" s="7">
        <f t="shared" si="30"/>
        <v>2563</v>
      </c>
    </row>
    <row r="1005">
      <c r="A1005" s="6">
        <v>4651.0</v>
      </c>
      <c r="B1005" s="5" t="s">
        <v>2007</v>
      </c>
      <c r="C1005" s="8">
        <f>IFERROR(VLOOKUP(B1005,'Лист1'!$A:$L,12,FALSE),"")</f>
        <v>76890</v>
      </c>
      <c r="D1005" s="7">
        <f t="shared" si="30"/>
        <v>2563</v>
      </c>
    </row>
    <row r="1006">
      <c r="A1006" s="6">
        <v>4660.0</v>
      </c>
      <c r="B1006" s="5" t="s">
        <v>2010</v>
      </c>
      <c r="C1006" s="8">
        <f>IFERROR(VLOOKUP(B1006,'Лист1'!$A:$L,12,FALSE),"")</f>
        <v>86390</v>
      </c>
      <c r="D1006" s="7">
        <f t="shared" si="30"/>
        <v>2880</v>
      </c>
    </row>
    <row r="1007">
      <c r="A1007" s="6">
        <v>4661.0</v>
      </c>
      <c r="B1007" s="5" t="s">
        <v>2013</v>
      </c>
      <c r="C1007" s="8">
        <f>IFERROR(VLOOKUP(B1007,'Лист1'!$A:$L,12,FALSE),"")</f>
        <v>86390</v>
      </c>
      <c r="D1007" s="7">
        <f t="shared" si="30"/>
        <v>2880</v>
      </c>
    </row>
    <row r="1008">
      <c r="A1008" s="6">
        <v>4662.0</v>
      </c>
      <c r="B1008" s="5" t="s">
        <v>2016</v>
      </c>
      <c r="C1008" s="8">
        <f>IFERROR(VLOOKUP(B1008,'Лист1'!$A:$L,12,FALSE),"")</f>
        <v>86390</v>
      </c>
      <c r="D1008" s="7">
        <f t="shared" si="30"/>
        <v>2880</v>
      </c>
    </row>
    <row r="1009">
      <c r="A1009" s="6">
        <v>4663.0</v>
      </c>
      <c r="B1009" s="5" t="s">
        <v>2019</v>
      </c>
      <c r="C1009" s="8">
        <f>IFERROR(VLOOKUP(B1009,'Лист1'!$A:$L,12,FALSE),"")</f>
        <v>86390</v>
      </c>
      <c r="D1009" s="7">
        <f t="shared" si="30"/>
        <v>2880</v>
      </c>
    </row>
    <row r="1010">
      <c r="A1010" s="6">
        <v>4640.0</v>
      </c>
      <c r="B1010" s="5" t="s">
        <v>2022</v>
      </c>
      <c r="C1010" s="8">
        <f>IFERROR(VLOOKUP(B1010,'Лист1'!$A:$L,12,FALSE),"")</f>
        <v>41890</v>
      </c>
      <c r="D1010" s="7">
        <f t="shared" si="30"/>
        <v>1396</v>
      </c>
    </row>
    <row r="1011">
      <c r="A1011" s="6">
        <v>4641.0</v>
      </c>
      <c r="B1011" s="5" t="s">
        <v>2025</v>
      </c>
      <c r="C1011" s="8">
        <f>IFERROR(VLOOKUP(B1011,'Лист1'!$A:$L,12,FALSE),"")</f>
        <v>41390</v>
      </c>
      <c r="D1011" s="7">
        <f t="shared" si="30"/>
        <v>1380</v>
      </c>
    </row>
    <row r="1012">
      <c r="A1012" s="6">
        <v>4642.0</v>
      </c>
      <c r="B1012" s="5" t="s">
        <v>2030</v>
      </c>
      <c r="C1012" s="8">
        <f>IFERROR(VLOOKUP(B1012,'Лист1'!$A:$L,12,FALSE),"")</f>
        <v>41890</v>
      </c>
      <c r="D1012" s="7">
        <f t="shared" si="30"/>
        <v>1396</v>
      </c>
    </row>
    <row r="1013">
      <c r="A1013" s="6">
        <v>4643.0</v>
      </c>
      <c r="B1013" s="5" t="s">
        <v>412</v>
      </c>
      <c r="C1013" s="8">
        <f>IFERROR(VLOOKUP('Лист1'!A897,'Лист1'!$A:$L,12,FALSE),"")</f>
        <v>40390</v>
      </c>
      <c r="D1013" s="7">
        <f t="shared" si="30"/>
        <v>1346</v>
      </c>
    </row>
    <row r="1014">
      <c r="A1014" s="6">
        <v>4644.0</v>
      </c>
      <c r="B1014" s="5" t="s">
        <v>2037</v>
      </c>
      <c r="C1014" s="8">
        <f>IFERROR(VLOOKUP(B1014,'Лист1'!$A:$L,12,FALSE),"")</f>
        <v>52390</v>
      </c>
      <c r="D1014" s="7">
        <f t="shared" si="30"/>
        <v>1746</v>
      </c>
    </row>
    <row r="1015">
      <c r="A1015" s="6">
        <v>4645.0</v>
      </c>
      <c r="B1015" s="5" t="s">
        <v>2040</v>
      </c>
      <c r="C1015" s="8">
        <f>IFERROR(VLOOKUP(B1015,'Лист1'!$A:$L,12,FALSE),"")</f>
        <v>55390</v>
      </c>
      <c r="D1015" s="7">
        <f t="shared" si="30"/>
        <v>1846</v>
      </c>
    </row>
    <row r="1016">
      <c r="A1016" s="6">
        <v>4646.0</v>
      </c>
      <c r="B1016" s="5" t="s">
        <v>2043</v>
      </c>
      <c r="C1016" s="8">
        <f>IFERROR(VLOOKUP(B1016,'Лист1'!$A:$L,12,FALSE),"")</f>
        <v>55390</v>
      </c>
      <c r="D1016" s="7">
        <f t="shared" si="30"/>
        <v>1846</v>
      </c>
    </row>
    <row r="1017">
      <c r="A1017" s="6">
        <v>4647.0</v>
      </c>
      <c r="B1017" s="5" t="s">
        <v>2044</v>
      </c>
      <c r="C1017" s="8">
        <f>IFERROR(VLOOKUP(B1017,'Лист1'!$A:$L,12,FALSE),"")</f>
        <v>51890</v>
      </c>
      <c r="D1017" s="7">
        <f t="shared" si="30"/>
        <v>1730</v>
      </c>
    </row>
    <row r="1018">
      <c r="A1018" s="6">
        <v>4652.0</v>
      </c>
      <c r="B1018" s="5" t="s">
        <v>2047</v>
      </c>
      <c r="C1018" s="8">
        <f>IFERROR(VLOOKUP(B1018,'Лист1'!$A:$L,12,FALSE),"")</f>
        <v>54390</v>
      </c>
      <c r="D1018" s="7">
        <f t="shared" si="30"/>
        <v>1813</v>
      </c>
    </row>
    <row r="1019">
      <c r="A1019" s="6">
        <v>4653.0</v>
      </c>
      <c r="B1019" s="5" t="s">
        <v>2050</v>
      </c>
      <c r="C1019" s="8">
        <f>IFERROR(VLOOKUP(B1019,'Лист1'!$A:$L,12,FALSE),"")</f>
        <v>56890</v>
      </c>
      <c r="D1019" s="7">
        <f t="shared" si="30"/>
        <v>1896</v>
      </c>
    </row>
    <row r="1020">
      <c r="A1020" s="6">
        <v>4654.0</v>
      </c>
      <c r="B1020" s="5" t="s">
        <v>2051</v>
      </c>
      <c r="C1020" s="8">
        <f>IFERROR(VLOOKUP(B1020,'Лист1'!$A:$L,12,FALSE),"")</f>
        <v>54390</v>
      </c>
      <c r="D1020" s="7">
        <f t="shared" si="30"/>
        <v>1813</v>
      </c>
    </row>
    <row r="1021">
      <c r="A1021" s="6">
        <v>4655.0</v>
      </c>
      <c r="B1021" s="5" t="s">
        <v>2054</v>
      </c>
      <c r="C1021" s="8">
        <f>IFERROR(VLOOKUP(B1021,'Лист1'!$A:$L,12,FALSE),"")</f>
        <v>54390</v>
      </c>
      <c r="D1021" s="7">
        <f t="shared" si="30"/>
        <v>1813</v>
      </c>
    </row>
    <row r="1022">
      <c r="A1022" s="6">
        <v>4656.0</v>
      </c>
      <c r="B1022" s="5" t="s">
        <v>2058</v>
      </c>
      <c r="C1022" s="8">
        <f>IFERROR(VLOOKUP(B1022,'Лист1'!$A:$L,12,FALSE),"")</f>
        <v>78390</v>
      </c>
      <c r="D1022" s="7">
        <f t="shared" si="30"/>
        <v>2613</v>
      </c>
    </row>
    <row r="1023">
      <c r="A1023" s="6">
        <v>4657.0</v>
      </c>
      <c r="B1023" s="5" t="s">
        <v>2062</v>
      </c>
      <c r="C1023" s="8">
        <f>IFERROR(VLOOKUP(B1023,'Лист1'!$A:$L,12,FALSE),"")</f>
        <v>78390</v>
      </c>
      <c r="D1023" s="7">
        <f t="shared" si="30"/>
        <v>2613</v>
      </c>
    </row>
    <row r="1024">
      <c r="A1024" s="6">
        <v>4658.0</v>
      </c>
      <c r="B1024" s="5" t="s">
        <v>2064</v>
      </c>
      <c r="C1024" s="8">
        <f>IFERROR(VLOOKUP(B1024,'Лист1'!$A:$L,12,FALSE),"")</f>
        <v>78390</v>
      </c>
      <c r="D1024" s="7">
        <f t="shared" si="30"/>
        <v>2613</v>
      </c>
    </row>
    <row r="1025">
      <c r="A1025" s="6">
        <v>4659.0</v>
      </c>
      <c r="B1025" s="5" t="s">
        <v>2068</v>
      </c>
      <c r="C1025" s="8">
        <f>IFERROR(VLOOKUP(B1025,'Лист1'!$A:$L,12,FALSE),"")</f>
        <v>78390</v>
      </c>
      <c r="D1025" s="7">
        <f t="shared" si="30"/>
        <v>2613</v>
      </c>
    </row>
    <row r="1026">
      <c r="A1026" s="6">
        <v>4664.0</v>
      </c>
      <c r="B1026" s="5" t="s">
        <v>2072</v>
      </c>
      <c r="C1026" s="8">
        <f>IFERROR(VLOOKUP(B1026,'Лист1'!$A:$L,12,FALSE),"")</f>
        <v>74890</v>
      </c>
      <c r="D1026" s="7">
        <f t="shared" si="30"/>
        <v>2496</v>
      </c>
    </row>
    <row r="1027">
      <c r="A1027" s="6">
        <v>4665.0</v>
      </c>
      <c r="B1027" s="5" t="s">
        <v>2077</v>
      </c>
      <c r="C1027" s="2">
        <f>C1026</f>
        <v>74890</v>
      </c>
      <c r="D1027" s="7">
        <f t="shared" si="30"/>
        <v>2496</v>
      </c>
    </row>
    <row r="1028">
      <c r="A1028" s="6">
        <v>4666.0</v>
      </c>
      <c r="B1028" s="5" t="s">
        <v>2080</v>
      </c>
      <c r="C1028" s="8">
        <f>C1029</f>
        <v>74890</v>
      </c>
      <c r="D1028" s="7">
        <f t="shared" si="30"/>
        <v>2496</v>
      </c>
    </row>
    <row r="1029">
      <c r="A1029" s="6">
        <v>4667.0</v>
      </c>
      <c r="B1029" s="5" t="s">
        <v>2082</v>
      </c>
      <c r="C1029" s="8">
        <f>IFERROR(VLOOKUP(B1029,'Лист1'!$A:$L,12,FALSE),"")</f>
        <v>74890</v>
      </c>
      <c r="D1029" s="7">
        <f t="shared" si="30"/>
        <v>2496</v>
      </c>
    </row>
    <row r="1030">
      <c r="A1030" s="6">
        <v>4668.0</v>
      </c>
      <c r="B1030" s="5" t="s">
        <v>2085</v>
      </c>
      <c r="C1030" s="8">
        <f>IFERROR(VLOOKUP(B1030,'Лист1'!$A:$L,12,FALSE),"")</f>
        <v>84890</v>
      </c>
      <c r="D1030" s="7">
        <f t="shared" si="30"/>
        <v>2830</v>
      </c>
    </row>
    <row r="1031">
      <c r="A1031" s="6">
        <v>4669.0</v>
      </c>
      <c r="B1031" s="5" t="s">
        <v>2088</v>
      </c>
      <c r="C1031" s="8">
        <f>IFERROR(VLOOKUP(B1031,'Лист1'!$A:$L,12,FALSE),"")</f>
        <v>84890</v>
      </c>
      <c r="D1031" s="7">
        <f t="shared" si="30"/>
        <v>2830</v>
      </c>
    </row>
    <row r="1032">
      <c r="A1032" s="6">
        <v>4670.0</v>
      </c>
      <c r="B1032" s="5" t="s">
        <v>2091</v>
      </c>
      <c r="C1032" s="8">
        <f>IFERROR(VLOOKUP(B1032,'Лист1'!$A:$L,12,FALSE),"")</f>
        <v>84890</v>
      </c>
      <c r="D1032" s="7">
        <f t="shared" si="30"/>
        <v>2830</v>
      </c>
    </row>
    <row r="1033">
      <c r="A1033" s="6">
        <v>4671.0</v>
      </c>
      <c r="B1033" s="5" t="s">
        <v>2093</v>
      </c>
      <c r="C1033" s="8">
        <f>IFERROR(VLOOKUP(B1033,'Лист1'!$A:$L,12,FALSE),"")</f>
        <v>84890</v>
      </c>
      <c r="D1033" s="7">
        <f t="shared" si="30"/>
        <v>2830</v>
      </c>
    </row>
    <row r="1034">
      <c r="A1034" s="6">
        <v>4672.0</v>
      </c>
      <c r="B1034" s="5" t="s">
        <v>2097</v>
      </c>
      <c r="C1034" s="8">
        <f>IFERROR(VLOOKUP(B1034,'Лист1'!$A:$L,12,FALSE),"")</f>
        <v>82390</v>
      </c>
      <c r="D1034" s="7">
        <f t="shared" si="30"/>
        <v>2746</v>
      </c>
    </row>
    <row r="1035">
      <c r="A1035" s="6">
        <v>4673.0</v>
      </c>
      <c r="B1035" s="5" t="s">
        <v>2099</v>
      </c>
      <c r="C1035" s="8">
        <f>IFERROR(VLOOKUP(B1035,'Лист1'!$A:$L,12,FALSE),"")</f>
        <v>82390</v>
      </c>
      <c r="D1035" s="7">
        <f t="shared" si="30"/>
        <v>2746</v>
      </c>
    </row>
    <row r="1036">
      <c r="A1036" s="6">
        <v>4674.0</v>
      </c>
      <c r="B1036" s="5" t="s">
        <v>2103</v>
      </c>
      <c r="C1036" s="8">
        <f>IFERROR(VLOOKUP(B1036,'Лист1'!$A:$L,12,FALSE),"")</f>
        <v>82390</v>
      </c>
      <c r="D1036" s="7">
        <f t="shared" si="30"/>
        <v>2746</v>
      </c>
    </row>
    <row r="1037">
      <c r="A1037" s="6">
        <v>4675.0</v>
      </c>
      <c r="B1037" s="5" t="s">
        <v>2107</v>
      </c>
      <c r="C1037" s="8">
        <f>IFERROR(VLOOKUP(B1037,'Лист1'!$A:$L,12,FALSE),"")</f>
        <v>82390</v>
      </c>
      <c r="D1037" s="7">
        <f t="shared" si="30"/>
        <v>2746</v>
      </c>
    </row>
    <row r="1038">
      <c r="A1038" s="6">
        <v>4676.0</v>
      </c>
      <c r="B1038" s="5" t="s">
        <v>2108</v>
      </c>
      <c r="C1038" s="8">
        <f>IFERROR(VLOOKUP(B1038,'Лист1'!$A:$L,12,FALSE),"")</f>
        <v>128390</v>
      </c>
      <c r="D1038" s="7">
        <f t="shared" si="30"/>
        <v>4280</v>
      </c>
    </row>
    <row r="1039">
      <c r="A1039" s="6">
        <v>4677.0</v>
      </c>
      <c r="B1039" s="5" t="s">
        <v>2112</v>
      </c>
      <c r="C1039" s="8">
        <f>IFERROR(VLOOKUP(B1039,'Лист1'!$A:$L,12,FALSE),"")</f>
        <v>128390</v>
      </c>
      <c r="D1039" s="7">
        <f t="shared" si="30"/>
        <v>4280</v>
      </c>
    </row>
    <row r="1040">
      <c r="A1040" s="6">
        <v>4678.0</v>
      </c>
      <c r="B1040" s="5" t="s">
        <v>2116</v>
      </c>
      <c r="C1040" s="8">
        <f>IFERROR(VLOOKUP(B1040,'Лист1'!$A:$L,12,FALSE),"")</f>
        <v>128390</v>
      </c>
      <c r="D1040" s="7">
        <f t="shared" si="30"/>
        <v>4280</v>
      </c>
    </row>
    <row r="1041">
      <c r="A1041" s="6">
        <v>4679.0</v>
      </c>
      <c r="B1041" s="5" t="s">
        <v>2117</v>
      </c>
      <c r="C1041" s="8">
        <f>IFERROR(VLOOKUP(B1041,'Лист1'!$A:$L,12,FALSE),"")</f>
        <v>128390</v>
      </c>
      <c r="D1041" s="7">
        <f t="shared" si="30"/>
        <v>4280</v>
      </c>
    </row>
    <row r="1042" hidden="1">
      <c r="A1042" s="6">
        <v>4680.0</v>
      </c>
      <c r="B1042" s="5" t="s">
        <v>2121</v>
      </c>
      <c r="C1042" s="2">
        <v>1.0</v>
      </c>
      <c r="D1042" s="7"/>
    </row>
    <row r="1043" hidden="1">
      <c r="A1043" s="6">
        <v>4681.0</v>
      </c>
      <c r="B1043" s="5" t="s">
        <v>2122</v>
      </c>
      <c r="C1043" s="2">
        <v>1.0</v>
      </c>
      <c r="D1043" s="7"/>
    </row>
    <row r="1044" hidden="1">
      <c r="A1044" s="6">
        <v>4682.0</v>
      </c>
      <c r="B1044" s="5" t="s">
        <v>2124</v>
      </c>
      <c r="C1044" s="2">
        <v>1.0</v>
      </c>
      <c r="D1044" s="7"/>
    </row>
    <row r="1045" hidden="1">
      <c r="A1045" s="6">
        <v>4683.0</v>
      </c>
      <c r="B1045" s="5" t="s">
        <v>2126</v>
      </c>
      <c r="C1045" s="2">
        <v>1.0</v>
      </c>
      <c r="D1045" s="7"/>
    </row>
    <row r="1046" hidden="1">
      <c r="A1046" s="6">
        <v>4684.0</v>
      </c>
      <c r="B1046" s="5" t="s">
        <v>2127</v>
      </c>
      <c r="C1046" s="2">
        <v>1.0</v>
      </c>
      <c r="D1046" s="7"/>
    </row>
    <row r="1047" hidden="1">
      <c r="A1047" s="6">
        <v>4685.0</v>
      </c>
      <c r="B1047" s="5" t="s">
        <v>2129</v>
      </c>
      <c r="C1047" s="2">
        <v>1.0</v>
      </c>
      <c r="D1047" s="7"/>
    </row>
    <row r="1048" hidden="1">
      <c r="A1048" s="6">
        <v>4686.0</v>
      </c>
      <c r="B1048" s="5" t="s">
        <v>2130</v>
      </c>
      <c r="C1048" s="2">
        <v>1.0</v>
      </c>
      <c r="D1048" s="7"/>
    </row>
    <row r="1049" hidden="1">
      <c r="A1049" s="6">
        <v>4687.0</v>
      </c>
      <c r="B1049" s="5" t="s">
        <v>2131</v>
      </c>
      <c r="C1049" s="2">
        <v>1.0</v>
      </c>
      <c r="D1049" s="7"/>
    </row>
    <row r="1050" hidden="1">
      <c r="A1050" s="6">
        <v>4688.0</v>
      </c>
      <c r="B1050" s="5" t="s">
        <v>2132</v>
      </c>
      <c r="C1050" s="2">
        <v>1.0</v>
      </c>
      <c r="D1050" s="7"/>
    </row>
    <row r="1051" hidden="1">
      <c r="A1051" s="6">
        <v>4689.0</v>
      </c>
      <c r="B1051" s="5" t="s">
        <v>2133</v>
      </c>
      <c r="C1051" s="2">
        <v>1.0</v>
      </c>
      <c r="D1051" s="7"/>
    </row>
    <row r="1052" hidden="1">
      <c r="A1052" s="6">
        <v>4690.0</v>
      </c>
      <c r="B1052" s="5" t="s">
        <v>2134</v>
      </c>
      <c r="C1052" s="2">
        <v>1.0</v>
      </c>
      <c r="D1052" s="7"/>
    </row>
    <row r="1053" hidden="1">
      <c r="A1053" s="6">
        <v>4691.0</v>
      </c>
      <c r="B1053" s="5" t="s">
        <v>2135</v>
      </c>
      <c r="C1053" s="2">
        <v>1.0</v>
      </c>
      <c r="D1053" s="7"/>
    </row>
    <row r="1054" hidden="1">
      <c r="A1054" s="6">
        <v>4692.0</v>
      </c>
      <c r="B1054" s="5" t="s">
        <v>2137</v>
      </c>
      <c r="C1054" s="2">
        <v>1.0</v>
      </c>
      <c r="D1054" s="7"/>
    </row>
    <row r="1055" hidden="1">
      <c r="A1055" s="6">
        <v>4693.0</v>
      </c>
      <c r="B1055" s="5" t="s">
        <v>2139</v>
      </c>
      <c r="C1055" s="2">
        <v>1.0</v>
      </c>
      <c r="D1055" s="7"/>
    </row>
    <row r="1056" hidden="1">
      <c r="A1056" s="6">
        <v>4694.0</v>
      </c>
      <c r="B1056" s="5" t="s">
        <v>2141</v>
      </c>
      <c r="C1056" s="2">
        <v>1.0</v>
      </c>
      <c r="D1056" s="7"/>
    </row>
    <row r="1057" hidden="1">
      <c r="A1057" s="6">
        <v>4695.0</v>
      </c>
      <c r="B1057" s="5" t="s">
        <v>2142</v>
      </c>
      <c r="C1057" s="2">
        <v>1.0</v>
      </c>
      <c r="D1057" s="7"/>
    </row>
    <row r="1058">
      <c r="A1058" s="6">
        <v>4637.0</v>
      </c>
      <c r="B1058" s="5" t="s">
        <v>2143</v>
      </c>
      <c r="C1058" s="8">
        <f>IFERROR(VLOOKUP(B1058,'Лист1'!$A:$L,12,FALSE),"")</f>
        <v>45890</v>
      </c>
      <c r="D1058" s="7">
        <f t="shared" ref="D1058:D1100" si="31">ROUND((C1058*1.2)/36,0)</f>
        <v>1530</v>
      </c>
    </row>
    <row r="1059">
      <c r="A1059" s="6">
        <v>4638.0</v>
      </c>
      <c r="B1059" s="5" t="s">
        <v>2147</v>
      </c>
      <c r="C1059" s="8">
        <f>IFERROR(VLOOKUP(B1059,'Лист1'!$A:$L,12,FALSE),"")</f>
        <v>52390</v>
      </c>
      <c r="D1059" s="7">
        <f t="shared" si="31"/>
        <v>1746</v>
      </c>
    </row>
    <row r="1060">
      <c r="A1060" s="6">
        <v>4639.0</v>
      </c>
      <c r="B1060" s="5" t="s">
        <v>2151</v>
      </c>
      <c r="C1060" s="8">
        <f>IFERROR(VLOOKUP(B1060,'Лист1'!$A:$L,12,FALSE),"")</f>
        <v>46890</v>
      </c>
      <c r="D1060" s="7">
        <f t="shared" si="31"/>
        <v>1563</v>
      </c>
    </row>
    <row r="1061">
      <c r="A1061" s="6">
        <v>4716.0</v>
      </c>
      <c r="B1061" s="5" t="s">
        <v>2154</v>
      </c>
      <c r="C1061" s="8">
        <f>IFERROR(VLOOKUP(B1061,'Лист1'!$A:$L,12,FALSE),"")</f>
        <v>152390</v>
      </c>
      <c r="D1061" s="7">
        <f t="shared" si="31"/>
        <v>5080</v>
      </c>
    </row>
    <row r="1062">
      <c r="A1062" s="6">
        <v>4717.0</v>
      </c>
      <c r="B1062" s="5" t="s">
        <v>2156</v>
      </c>
      <c r="C1062" s="8">
        <f>IFERROR(VLOOKUP(B1062,'Лист1'!$A:$L,12,FALSE),"")</f>
        <v>152390</v>
      </c>
      <c r="D1062" s="7">
        <f t="shared" si="31"/>
        <v>5080</v>
      </c>
    </row>
    <row r="1063">
      <c r="A1063" s="6">
        <v>4718.0</v>
      </c>
      <c r="B1063" s="5" t="s">
        <v>2160</v>
      </c>
      <c r="C1063" s="8">
        <f>IFERROR(VLOOKUP(B1063,'Лист1'!$A:$L,12,FALSE),"")</f>
        <v>187890</v>
      </c>
      <c r="D1063" s="7">
        <f t="shared" si="31"/>
        <v>6263</v>
      </c>
    </row>
    <row r="1064">
      <c r="A1064" s="6">
        <v>4719.0</v>
      </c>
      <c r="B1064" s="5" t="s">
        <v>2163</v>
      </c>
      <c r="C1064" s="8">
        <f>IFERROR(VLOOKUP(B1064,'Лист1'!$A:$L,12,FALSE),"")</f>
        <v>187890</v>
      </c>
      <c r="D1064" s="7">
        <f t="shared" si="31"/>
        <v>6263</v>
      </c>
    </row>
    <row r="1065">
      <c r="A1065" s="6">
        <v>4720.0</v>
      </c>
      <c r="B1065" s="5" t="s">
        <v>2166</v>
      </c>
      <c r="C1065" s="8">
        <f>IFERROR(VLOOKUP(B1065,'Лист1'!$A:$L,12,FALSE),"")</f>
        <v>187890</v>
      </c>
      <c r="D1065" s="7">
        <f t="shared" si="31"/>
        <v>6263</v>
      </c>
    </row>
    <row r="1066">
      <c r="A1066" s="6">
        <v>4721.0</v>
      </c>
      <c r="B1066" s="5" t="s">
        <v>2169</v>
      </c>
      <c r="C1066" s="8">
        <f>IFERROR(VLOOKUP(B1066,'Лист1'!$A:$L,12,FALSE),"")</f>
        <v>187890</v>
      </c>
      <c r="D1066" s="7">
        <f t="shared" si="31"/>
        <v>6263</v>
      </c>
    </row>
    <row r="1067">
      <c r="A1067" s="6">
        <v>4722.0</v>
      </c>
      <c r="B1067" s="5" t="s">
        <v>2173</v>
      </c>
      <c r="C1067" s="8">
        <f>IFERROR(VLOOKUP(B1067,'Лист1'!$A:$L,12,FALSE),"")</f>
        <v>168890</v>
      </c>
      <c r="D1067" s="7">
        <f t="shared" si="31"/>
        <v>5630</v>
      </c>
    </row>
    <row r="1068">
      <c r="A1068" s="6">
        <v>4723.0</v>
      </c>
      <c r="B1068" s="5" t="s">
        <v>2178</v>
      </c>
      <c r="C1068" s="8">
        <f>IFERROR(VLOOKUP(B1068,'Лист1'!$A:$L,12,FALSE),"")</f>
        <v>168890</v>
      </c>
      <c r="D1068" s="7">
        <f t="shared" si="31"/>
        <v>5630</v>
      </c>
    </row>
    <row r="1069">
      <c r="A1069" s="6">
        <v>4712.0</v>
      </c>
      <c r="B1069" s="5" t="s">
        <v>2181</v>
      </c>
      <c r="C1069" s="8">
        <f>IFERROR(VLOOKUP(B1069,'Лист1'!$A:$L,12,FALSE),"")</f>
        <v>106390</v>
      </c>
      <c r="D1069" s="7">
        <f t="shared" si="31"/>
        <v>3546</v>
      </c>
    </row>
    <row r="1070">
      <c r="A1070" s="6">
        <v>4713.0</v>
      </c>
      <c r="B1070" s="5" t="s">
        <v>2184</v>
      </c>
      <c r="C1070" s="8">
        <f>IFERROR(VLOOKUP(B1070,'Лист1'!$A:$L,12,FALSE),"")</f>
        <v>105890</v>
      </c>
      <c r="D1070" s="7">
        <f t="shared" si="31"/>
        <v>3530</v>
      </c>
    </row>
    <row r="1071">
      <c r="A1071" s="6">
        <v>4714.0</v>
      </c>
      <c r="B1071" s="5" t="s">
        <v>2189</v>
      </c>
      <c r="C1071" s="8">
        <f>IFERROR(VLOOKUP(B1071,'Лист1'!$A:$L,12,FALSE),"")</f>
        <v>133890</v>
      </c>
      <c r="D1071" s="7">
        <f t="shared" si="31"/>
        <v>4463</v>
      </c>
    </row>
    <row r="1072">
      <c r="A1072" s="6">
        <v>4715.0</v>
      </c>
      <c r="B1072" s="5" t="s">
        <v>2192</v>
      </c>
      <c r="C1072" s="8">
        <f>IFERROR(VLOOKUP(B1072,'Лист1'!$A:$L,12,FALSE),"")</f>
        <v>133890</v>
      </c>
      <c r="D1072" s="7">
        <f t="shared" si="31"/>
        <v>4463</v>
      </c>
    </row>
    <row r="1073">
      <c r="A1073" s="6">
        <v>4726.0</v>
      </c>
      <c r="B1073" s="5" t="s">
        <v>2195</v>
      </c>
      <c r="C1073" s="8">
        <f>IFERROR(VLOOKUP(B1073,'Лист1'!$A:$L,12,FALSE),"")</f>
        <v>115390</v>
      </c>
      <c r="D1073" s="7">
        <f t="shared" si="31"/>
        <v>3846</v>
      </c>
    </row>
    <row r="1074">
      <c r="A1074" s="6">
        <v>4727.0</v>
      </c>
      <c r="B1074" s="5" t="s">
        <v>2200</v>
      </c>
      <c r="C1074" s="8">
        <f>IFERROR(VLOOKUP(B1074,'Лист1'!$A:$L,12,FALSE),"")</f>
        <v>128390</v>
      </c>
      <c r="D1074" s="7">
        <f t="shared" si="31"/>
        <v>4280</v>
      </c>
    </row>
    <row r="1075">
      <c r="A1075" s="6">
        <v>4724.0</v>
      </c>
      <c r="B1075" s="5" t="s">
        <v>2204</v>
      </c>
      <c r="C1075" s="8">
        <f>IFERROR(VLOOKUP(B1075,'Лист1'!$A:$L,12,FALSE),"")</f>
        <v>155890</v>
      </c>
      <c r="D1075" s="7">
        <f t="shared" si="31"/>
        <v>5196</v>
      </c>
    </row>
    <row r="1076">
      <c r="A1076" s="6">
        <v>4725.0</v>
      </c>
      <c r="B1076" s="5" t="s">
        <v>2206</v>
      </c>
      <c r="C1076" s="8">
        <f>IFERROR(VLOOKUP(B1076,'Лист1'!$A:$L,12,FALSE),"")</f>
        <v>155890</v>
      </c>
      <c r="D1076" s="7">
        <f t="shared" si="31"/>
        <v>5196</v>
      </c>
    </row>
    <row r="1077">
      <c r="A1077" s="6">
        <v>4732.0</v>
      </c>
      <c r="B1077" s="5" t="s">
        <v>2211</v>
      </c>
      <c r="C1077" s="8">
        <f>IFERROR(VLOOKUP(B1077,'Лист1'!$A:$L,12,FALSE),"")</f>
        <v>154890</v>
      </c>
      <c r="D1077" s="7">
        <f t="shared" si="31"/>
        <v>5163</v>
      </c>
    </row>
    <row r="1078">
      <c r="A1078" s="6">
        <v>4733.0</v>
      </c>
      <c r="B1078" s="5" t="s">
        <v>2216</v>
      </c>
      <c r="C1078" s="8">
        <f>IFERROR(VLOOKUP(B1078,'Лист1'!$A:$L,12,FALSE),"")</f>
        <v>154890</v>
      </c>
      <c r="D1078" s="7">
        <f t="shared" si="31"/>
        <v>5163</v>
      </c>
    </row>
    <row r="1079">
      <c r="A1079" s="6">
        <v>4734.0</v>
      </c>
      <c r="B1079" s="5" t="s">
        <v>2217</v>
      </c>
      <c r="C1079" s="8">
        <f>IFERROR(VLOOKUP(B1079,'Лист1'!$A:$L,12,FALSE),"")</f>
        <v>176890</v>
      </c>
      <c r="D1079" s="7">
        <f t="shared" si="31"/>
        <v>5896</v>
      </c>
    </row>
    <row r="1080">
      <c r="A1080" s="6">
        <v>4735.0</v>
      </c>
      <c r="B1080" s="5" t="s">
        <v>2221</v>
      </c>
      <c r="C1080" s="8">
        <f>IFERROR(VLOOKUP(B1080,'Лист1'!$A:$L,12,FALSE),"")</f>
        <v>176890</v>
      </c>
      <c r="D1080" s="7">
        <f t="shared" si="31"/>
        <v>5896</v>
      </c>
    </row>
    <row r="1081">
      <c r="A1081" s="6">
        <v>4736.0</v>
      </c>
      <c r="B1081" s="5" t="s">
        <v>2225</v>
      </c>
      <c r="C1081" s="8">
        <f>IFERROR(VLOOKUP(B1081,'Лист1'!$A:$L,12,FALSE),"")</f>
        <v>209890</v>
      </c>
      <c r="D1081" s="7">
        <f t="shared" si="31"/>
        <v>6996</v>
      </c>
    </row>
    <row r="1082">
      <c r="A1082" s="6">
        <v>4737.0</v>
      </c>
      <c r="B1082" s="5" t="s">
        <v>2228</v>
      </c>
      <c r="C1082" s="8">
        <f>IFERROR(VLOOKUP(B1082,'Лист1'!$A:$L,12,FALSE),"")</f>
        <v>209890</v>
      </c>
      <c r="D1082" s="7">
        <f t="shared" si="31"/>
        <v>6996</v>
      </c>
    </row>
    <row r="1083">
      <c r="A1083" s="6">
        <v>4738.0</v>
      </c>
      <c r="B1083" s="5" t="s">
        <v>2230</v>
      </c>
      <c r="C1083" s="8">
        <f>IFERROR(VLOOKUP(B1083,'Лист1'!$A:$L,12,FALSE),"")</f>
        <v>182390</v>
      </c>
      <c r="D1083" s="7">
        <f t="shared" si="31"/>
        <v>6080</v>
      </c>
    </row>
    <row r="1084">
      <c r="A1084" s="6">
        <v>4739.0</v>
      </c>
      <c r="B1084" s="5" t="s">
        <v>2234</v>
      </c>
      <c r="C1084" s="8">
        <f>IFERROR(VLOOKUP(B1084,'Лист1'!$A:$L,12,FALSE),"")</f>
        <v>182390</v>
      </c>
      <c r="D1084" s="7">
        <f t="shared" si="31"/>
        <v>6080</v>
      </c>
    </row>
    <row r="1085">
      <c r="A1085" s="6">
        <v>4728.0</v>
      </c>
      <c r="B1085" s="5" t="s">
        <v>2239</v>
      </c>
      <c r="C1085" s="8">
        <f>IFERROR(VLOOKUP(B1085,'Лист1'!$A:$L,12,FALSE),"")</f>
        <v>124390</v>
      </c>
      <c r="D1085" s="7">
        <f t="shared" si="31"/>
        <v>4146</v>
      </c>
    </row>
    <row r="1086">
      <c r="A1086" s="6">
        <v>4729.0</v>
      </c>
      <c r="B1086" s="5" t="s">
        <v>2240</v>
      </c>
      <c r="C1086" s="8">
        <f>IFERROR(VLOOKUP(B1086,'Лист1'!$A:$L,12,FALSE),"")</f>
        <v>126890</v>
      </c>
      <c r="D1086" s="7">
        <f t="shared" si="31"/>
        <v>4230</v>
      </c>
    </row>
    <row r="1087">
      <c r="A1087" s="6">
        <v>4742.0</v>
      </c>
      <c r="B1087" s="5" t="s">
        <v>2244</v>
      </c>
      <c r="C1087" s="8">
        <f>IFERROR(VLOOKUP(B1087,'Лист1'!$A:$L,12,FALSE),"")</f>
        <v>132890</v>
      </c>
      <c r="D1087" s="7">
        <f t="shared" si="31"/>
        <v>4430</v>
      </c>
    </row>
    <row r="1088">
      <c r="A1088" s="6">
        <v>4743.0</v>
      </c>
      <c r="B1088" s="5" t="s">
        <v>2248</v>
      </c>
      <c r="C1088" s="8">
        <f>IFERROR(VLOOKUP(B1088,'Лист1'!$A:$L,12,FALSE),"")</f>
        <v>132890</v>
      </c>
      <c r="D1088" s="7">
        <f t="shared" si="31"/>
        <v>4430</v>
      </c>
    </row>
    <row r="1089">
      <c r="A1089" s="6">
        <v>4730.0</v>
      </c>
      <c r="B1089" s="5" t="s">
        <v>2250</v>
      </c>
      <c r="C1089" s="8">
        <f>IFERROR(VLOOKUP(B1089,'Лист1'!$A:$L,12,FALSE),"")</f>
        <v>151390</v>
      </c>
      <c r="D1089" s="7">
        <f t="shared" si="31"/>
        <v>5046</v>
      </c>
    </row>
    <row r="1090">
      <c r="A1090" s="6">
        <v>4731.0</v>
      </c>
      <c r="B1090" s="5" t="s">
        <v>2254</v>
      </c>
      <c r="C1090" s="8">
        <f>IFERROR(VLOOKUP(B1090,'Лист1'!$A:$L,12,FALSE),"")</f>
        <v>151390</v>
      </c>
      <c r="D1090" s="7">
        <f t="shared" si="31"/>
        <v>5046</v>
      </c>
    </row>
    <row r="1091">
      <c r="A1091" s="6">
        <v>4740.0</v>
      </c>
      <c r="B1091" s="5" t="s">
        <v>2259</v>
      </c>
      <c r="C1091" s="8">
        <f>IFERROR(VLOOKUP(B1091,'Лист1'!$A:$L,12,FALSE),"")</f>
        <v>165890</v>
      </c>
      <c r="D1091" s="7">
        <f t="shared" si="31"/>
        <v>5530</v>
      </c>
    </row>
    <row r="1092">
      <c r="A1092" s="6">
        <v>4741.0</v>
      </c>
      <c r="B1092" s="5" t="s">
        <v>2260</v>
      </c>
      <c r="C1092" s="8">
        <f>IFERROR(VLOOKUP(B1092,'Лист1'!$A:$L,12,FALSE),"")</f>
        <v>165890</v>
      </c>
      <c r="D1092" s="7">
        <f t="shared" si="31"/>
        <v>5530</v>
      </c>
    </row>
    <row r="1093">
      <c r="A1093" s="6">
        <v>4744.0</v>
      </c>
      <c r="B1093" s="5" t="s">
        <v>2265</v>
      </c>
      <c r="C1093" s="8">
        <f>IFERROR(VLOOKUP(B1093,'Лист1'!$A:$L,12,FALSE),"")</f>
        <v>192390</v>
      </c>
      <c r="D1093" s="7">
        <f t="shared" si="31"/>
        <v>6413</v>
      </c>
    </row>
    <row r="1094">
      <c r="A1094" s="6">
        <v>4745.0</v>
      </c>
      <c r="B1094" s="5" t="s">
        <v>2266</v>
      </c>
      <c r="C1094" s="8">
        <f>IFERROR(VLOOKUP(B1094,'Лист1'!$A:$L,12,FALSE),"")</f>
        <v>195390</v>
      </c>
      <c r="D1094" s="7">
        <f t="shared" si="31"/>
        <v>6513</v>
      </c>
    </row>
    <row r="1095">
      <c r="A1095" s="6">
        <v>4746.0</v>
      </c>
      <c r="B1095" s="5" t="s">
        <v>2270</v>
      </c>
      <c r="C1095" s="8">
        <f>IFERROR(VLOOKUP(B1095,'Лист1'!$A:$L,12,FALSE),"")</f>
        <v>198890</v>
      </c>
      <c r="D1095" s="7">
        <f t="shared" si="31"/>
        <v>6630</v>
      </c>
    </row>
    <row r="1096">
      <c r="A1096" s="6">
        <v>4747.0</v>
      </c>
      <c r="B1096" s="5" t="s">
        <v>2275</v>
      </c>
      <c r="C1096" s="8">
        <f>IFERROR(VLOOKUP(B1096,'Лист1'!$A:$L,12,FALSE),"")</f>
        <v>198890</v>
      </c>
      <c r="D1096" s="7">
        <f t="shared" si="31"/>
        <v>6630</v>
      </c>
    </row>
    <row r="1097">
      <c r="A1097" s="6">
        <v>4748.0</v>
      </c>
      <c r="B1097" s="5" t="s">
        <v>2278</v>
      </c>
      <c r="C1097" s="8">
        <f>IFERROR(VLOOKUP(B1097,'Лист1'!$A:$L,12,FALSE),"")</f>
        <v>216390</v>
      </c>
      <c r="D1097" s="7">
        <f t="shared" si="31"/>
        <v>7213</v>
      </c>
    </row>
    <row r="1098">
      <c r="A1098" s="6">
        <v>4749.0</v>
      </c>
      <c r="B1098" s="5" t="s">
        <v>2283</v>
      </c>
      <c r="C1098" s="8">
        <f>IFERROR(VLOOKUP(B1098,'Лист1'!$A:$L,12,FALSE),"")</f>
        <v>216390</v>
      </c>
      <c r="D1098" s="7">
        <f t="shared" si="31"/>
        <v>7213</v>
      </c>
    </row>
    <row r="1099">
      <c r="A1099" s="6">
        <v>4752.0</v>
      </c>
      <c r="B1099" s="5" t="s">
        <v>2286</v>
      </c>
      <c r="C1099" s="2">
        <v>28990.0</v>
      </c>
      <c r="D1099" s="7">
        <f t="shared" si="31"/>
        <v>966</v>
      </c>
    </row>
    <row r="1100">
      <c r="A1100" s="6">
        <v>4751.0</v>
      </c>
      <c r="B1100" s="5" t="s">
        <v>2287</v>
      </c>
      <c r="C1100" s="2">
        <v>30990.0</v>
      </c>
      <c r="D1100" s="7">
        <f t="shared" si="31"/>
        <v>1033</v>
      </c>
    </row>
    <row r="1101" hidden="1">
      <c r="A1101" s="6">
        <v>4754.0</v>
      </c>
      <c r="B1101" s="5" t="s">
        <v>2289</v>
      </c>
      <c r="C1101" s="2">
        <v>1.0</v>
      </c>
      <c r="D1101" s="7"/>
    </row>
    <row r="1102" hidden="1">
      <c r="A1102" s="6">
        <v>4753.0</v>
      </c>
      <c r="B1102" s="5" t="s">
        <v>2290</v>
      </c>
      <c r="C1102" s="2">
        <v>1.0</v>
      </c>
      <c r="D1102" s="7"/>
    </row>
    <row r="1103" hidden="1">
      <c r="A1103" s="6">
        <v>4750.0</v>
      </c>
      <c r="B1103" s="5" t="s">
        <v>2293</v>
      </c>
      <c r="C1103" s="2">
        <v>1.0</v>
      </c>
      <c r="D1103" s="7"/>
    </row>
    <row r="1104" hidden="1">
      <c r="A1104" s="6">
        <v>4755.0</v>
      </c>
      <c r="B1104" s="5" t="s">
        <v>2294</v>
      </c>
      <c r="C1104" s="2">
        <v>1.0</v>
      </c>
      <c r="D1104" s="7"/>
    </row>
    <row r="1105" hidden="1">
      <c r="A1105" s="6">
        <v>4756.0</v>
      </c>
      <c r="B1105" s="5" t="s">
        <v>2295</v>
      </c>
      <c r="C1105" s="2">
        <v>1.0</v>
      </c>
      <c r="D1105" s="7"/>
    </row>
    <row r="1106" hidden="1">
      <c r="A1106" s="6">
        <v>4757.0</v>
      </c>
      <c r="B1106" s="5" t="s">
        <v>2296</v>
      </c>
      <c r="C1106" s="2">
        <v>1.0</v>
      </c>
      <c r="D1106" s="7"/>
    </row>
    <row r="1107" hidden="1">
      <c r="A1107" s="6">
        <v>4758.0</v>
      </c>
      <c r="B1107" s="5" t="s">
        <v>2297</v>
      </c>
      <c r="C1107" s="2">
        <v>1.0</v>
      </c>
      <c r="D1107" s="7"/>
    </row>
    <row r="1108" hidden="1">
      <c r="A1108" s="6">
        <v>4771.0</v>
      </c>
      <c r="B1108" s="5" t="s">
        <v>2299</v>
      </c>
      <c r="C1108" s="2">
        <v>1.0</v>
      </c>
      <c r="D1108" s="7"/>
    </row>
    <row r="1109" hidden="1">
      <c r="A1109" s="6">
        <v>4772.0</v>
      </c>
      <c r="B1109" s="5" t="s">
        <v>2300</v>
      </c>
      <c r="C1109" s="2">
        <v>1.0</v>
      </c>
      <c r="D1109" s="7"/>
    </row>
    <row r="1110" hidden="1">
      <c r="A1110" s="6">
        <v>4773.0</v>
      </c>
      <c r="B1110" s="5" t="s">
        <v>2301</v>
      </c>
      <c r="C1110" s="2">
        <v>1.0</v>
      </c>
      <c r="D1110" s="7"/>
    </row>
    <row r="1111" hidden="1">
      <c r="A1111" s="6">
        <v>4768.0</v>
      </c>
      <c r="B1111" s="5" t="s">
        <v>2302</v>
      </c>
      <c r="C1111" s="2">
        <v>1.0</v>
      </c>
      <c r="D1111" s="7"/>
    </row>
    <row r="1112" hidden="1">
      <c r="A1112" s="6">
        <v>4769.0</v>
      </c>
      <c r="B1112" s="5" t="s">
        <v>2304</v>
      </c>
      <c r="C1112" s="2">
        <v>1.0</v>
      </c>
      <c r="D1112" s="7"/>
    </row>
    <row r="1113" hidden="1">
      <c r="A1113" s="6">
        <v>4770.0</v>
      </c>
      <c r="B1113" s="5" t="s">
        <v>2305</v>
      </c>
      <c r="C1113" s="2">
        <v>1.0</v>
      </c>
      <c r="D1113" s="7"/>
    </row>
    <row r="1114" hidden="1">
      <c r="A1114" s="6">
        <v>4765.0</v>
      </c>
      <c r="B1114" s="5" t="s">
        <v>2306</v>
      </c>
      <c r="C1114" s="2">
        <v>1.0</v>
      </c>
      <c r="D1114" s="7"/>
    </row>
    <row r="1115" hidden="1">
      <c r="A1115" s="6">
        <v>4766.0</v>
      </c>
      <c r="B1115" s="5" t="s">
        <v>2307</v>
      </c>
      <c r="C1115" s="2">
        <v>1.0</v>
      </c>
      <c r="D1115" s="7"/>
    </row>
    <row r="1116" hidden="1">
      <c r="A1116" s="6">
        <v>4767.0</v>
      </c>
      <c r="B1116" s="5" t="s">
        <v>2308</v>
      </c>
      <c r="C1116" s="2">
        <v>1.0</v>
      </c>
      <c r="D1116" s="7"/>
    </row>
    <row r="1117" hidden="1">
      <c r="A1117" s="6">
        <v>4762.0</v>
      </c>
      <c r="B1117" s="5" t="s">
        <v>2310</v>
      </c>
      <c r="C1117" s="2">
        <v>1.0</v>
      </c>
      <c r="D1117" s="7"/>
    </row>
    <row r="1118" hidden="1">
      <c r="A1118" s="6">
        <v>4763.0</v>
      </c>
      <c r="B1118" s="5" t="s">
        <v>2311</v>
      </c>
      <c r="C1118" s="2">
        <v>1.0</v>
      </c>
      <c r="D1118" s="7"/>
    </row>
    <row r="1119" hidden="1">
      <c r="A1119" s="6">
        <v>4764.0</v>
      </c>
      <c r="B1119" s="5" t="s">
        <v>2312</v>
      </c>
      <c r="C1119" s="2">
        <v>1.0</v>
      </c>
      <c r="D1119" s="7"/>
    </row>
    <row r="1120" hidden="1">
      <c r="A1120" s="6">
        <v>4759.0</v>
      </c>
      <c r="B1120" s="5" t="s">
        <v>2313</v>
      </c>
      <c r="C1120" s="2">
        <v>1.0</v>
      </c>
      <c r="D1120" s="7"/>
    </row>
    <row r="1121" hidden="1">
      <c r="A1121" s="6">
        <v>4760.0</v>
      </c>
      <c r="B1121" s="5" t="s">
        <v>2315</v>
      </c>
      <c r="C1121" s="2">
        <v>1.0</v>
      </c>
      <c r="D1121" s="7"/>
    </row>
    <row r="1122">
      <c r="A1122" s="6">
        <v>4761.0</v>
      </c>
      <c r="B1122" s="5" t="s">
        <v>2317</v>
      </c>
      <c r="C1122" s="8">
        <f>IFERROR(VLOOKUP(B1122,'Лист1'!$A:$L,12,FALSE),"")</f>
        <v>1</v>
      </c>
      <c r="D1122" s="7">
        <f>ROUND((C1122*1.2)/36,0)</f>
        <v>0</v>
      </c>
    </row>
    <row r="1123" hidden="1">
      <c r="A1123" s="6">
        <v>4782.0</v>
      </c>
      <c r="B1123" s="5" t="s">
        <v>2323</v>
      </c>
      <c r="C1123" s="2">
        <v>1.0</v>
      </c>
      <c r="D1123" s="7"/>
    </row>
    <row r="1124" hidden="1">
      <c r="A1124" s="6">
        <v>4783.0</v>
      </c>
      <c r="B1124" s="5" t="s">
        <v>2324</v>
      </c>
      <c r="C1124" s="2">
        <v>1.0</v>
      </c>
      <c r="D1124" s="7"/>
    </row>
    <row r="1125" hidden="1">
      <c r="A1125" s="6">
        <v>4784.0</v>
      </c>
      <c r="B1125" s="5" t="s">
        <v>2325</v>
      </c>
      <c r="C1125" s="2">
        <v>1.0</v>
      </c>
      <c r="D1125" s="7"/>
    </row>
    <row r="1126" hidden="1">
      <c r="A1126" s="6">
        <v>4785.0</v>
      </c>
      <c r="B1126" s="5" t="s">
        <v>2326</v>
      </c>
      <c r="C1126" s="2">
        <v>1.0</v>
      </c>
      <c r="D1126" s="7"/>
    </row>
    <row r="1127" hidden="1">
      <c r="A1127" s="6">
        <v>4786.0</v>
      </c>
      <c r="B1127" s="5" t="s">
        <v>2327</v>
      </c>
      <c r="C1127" s="2">
        <v>1.0</v>
      </c>
      <c r="D1127" s="7"/>
    </row>
    <row r="1128" hidden="1">
      <c r="A1128" s="6">
        <v>4787.0</v>
      </c>
      <c r="B1128" s="5" t="s">
        <v>2328</v>
      </c>
      <c r="C1128" s="2">
        <v>1.0</v>
      </c>
      <c r="D1128" s="7"/>
    </row>
    <row r="1129" hidden="1">
      <c r="A1129" s="6">
        <v>4788.0</v>
      </c>
      <c r="B1129" s="5" t="s">
        <v>2330</v>
      </c>
      <c r="C1129" s="2">
        <v>1.0</v>
      </c>
      <c r="D1129" s="7"/>
    </row>
    <row r="1130" hidden="1">
      <c r="A1130" s="6">
        <v>4789.0</v>
      </c>
      <c r="B1130" s="5" t="s">
        <v>2331</v>
      </c>
      <c r="C1130" s="2">
        <v>1.0</v>
      </c>
      <c r="D1130" s="7"/>
    </row>
    <row r="1131">
      <c r="A1131" s="6">
        <v>4802.0</v>
      </c>
      <c r="B1131" s="5" t="s">
        <v>2333</v>
      </c>
      <c r="C1131" s="8">
        <f>IFERROR(VLOOKUP(B1131,'Лист1'!$A:$L,12,FALSE),"")</f>
        <v>76890</v>
      </c>
      <c r="D1131" s="7">
        <f t="shared" ref="D1131:D1140" si="32">ROUND((C1131*1.2)/36,0)</f>
        <v>2563</v>
      </c>
    </row>
    <row r="1132">
      <c r="A1132" s="6">
        <v>4803.0</v>
      </c>
      <c r="B1132" s="5" t="s">
        <v>2337</v>
      </c>
      <c r="C1132" s="8">
        <f>IFERROR(VLOOKUP(B1132,'Лист1'!$A:$L,12,FALSE),"")</f>
        <v>76890</v>
      </c>
      <c r="D1132" s="7">
        <f t="shared" si="32"/>
        <v>2563</v>
      </c>
    </row>
    <row r="1133">
      <c r="A1133" s="6">
        <v>4804.0</v>
      </c>
      <c r="B1133" s="5" t="s">
        <v>2340</v>
      </c>
      <c r="C1133" s="8">
        <f>IFERROR(VLOOKUP(B1133,'Лист1'!$A:$L,12,FALSE),"")</f>
        <v>76890</v>
      </c>
      <c r="D1133" s="7">
        <f t="shared" si="32"/>
        <v>2563</v>
      </c>
    </row>
    <row r="1134">
      <c r="A1134" s="6">
        <v>4805.0</v>
      </c>
      <c r="B1134" s="5" t="s">
        <v>2342</v>
      </c>
      <c r="C1134" s="8">
        <f>IFERROR(VLOOKUP(B1134,'Лист1'!$A:$L,12,FALSE),"")</f>
        <v>81390</v>
      </c>
      <c r="D1134" s="7">
        <f t="shared" si="32"/>
        <v>2713</v>
      </c>
    </row>
    <row r="1135">
      <c r="A1135" s="6">
        <v>4806.0</v>
      </c>
      <c r="B1135" s="5" t="s">
        <v>2346</v>
      </c>
      <c r="C1135" s="8">
        <f>IFERROR(VLOOKUP(B1135,'Лист1'!$A:$L,12,FALSE),"")</f>
        <v>81390</v>
      </c>
      <c r="D1135" s="7">
        <f t="shared" si="32"/>
        <v>2713</v>
      </c>
    </row>
    <row r="1136">
      <c r="A1136" s="6">
        <v>4807.0</v>
      </c>
      <c r="B1136" s="5" t="s">
        <v>2350</v>
      </c>
      <c r="C1136" s="8">
        <f>IFERROR(VLOOKUP(B1136,'Лист1'!$A:$L,12,FALSE),"")</f>
        <v>81390</v>
      </c>
      <c r="D1136" s="7">
        <f t="shared" si="32"/>
        <v>2713</v>
      </c>
    </row>
    <row r="1137">
      <c r="A1137" s="6">
        <v>4808.0</v>
      </c>
      <c r="B1137" s="5" t="s">
        <v>2352</v>
      </c>
      <c r="C1137" s="8">
        <f>IFERROR(VLOOKUP(B1137,'Лист1'!$A:$L,12,FALSE),"")</f>
        <v>58890</v>
      </c>
      <c r="D1137" s="7">
        <f t="shared" si="32"/>
        <v>1963</v>
      </c>
    </row>
    <row r="1138">
      <c r="A1138" s="6">
        <v>4809.0</v>
      </c>
      <c r="B1138" s="5" t="s">
        <v>2356</v>
      </c>
      <c r="C1138" s="8">
        <f>IFERROR(VLOOKUP(B1138,'Лист1'!$A:$L,12,FALSE),"")</f>
        <v>58890</v>
      </c>
      <c r="D1138" s="7">
        <f t="shared" si="32"/>
        <v>1963</v>
      </c>
    </row>
    <row r="1139">
      <c r="A1139" s="6">
        <v>4810.0</v>
      </c>
      <c r="B1139" s="5" t="s">
        <v>2358</v>
      </c>
      <c r="C1139" s="8">
        <f>IFERROR(VLOOKUP(B1139,'Лист1'!$A:$L,12,FALSE),"")</f>
        <v>66890</v>
      </c>
      <c r="D1139" s="7">
        <f t="shared" si="32"/>
        <v>2230</v>
      </c>
    </row>
    <row r="1140">
      <c r="A1140" s="6">
        <v>4811.0</v>
      </c>
      <c r="B1140" s="5" t="s">
        <v>2360</v>
      </c>
      <c r="C1140" s="8">
        <f>IFERROR(VLOOKUP(B1140,'Лист1'!$A:$L,12,FALSE),"")</f>
        <v>66890</v>
      </c>
      <c r="D1140" s="7">
        <f t="shared" si="32"/>
        <v>2230</v>
      </c>
    </row>
    <row r="1141" hidden="1">
      <c r="A1141" s="6">
        <v>4790.0</v>
      </c>
      <c r="B1141" s="5" t="s">
        <v>2361</v>
      </c>
      <c r="C1141" s="2">
        <v>1.0</v>
      </c>
      <c r="D1141" s="7"/>
    </row>
    <row r="1142" hidden="1">
      <c r="A1142" s="6">
        <v>4791.0</v>
      </c>
      <c r="B1142" s="5" t="s">
        <v>2362</v>
      </c>
      <c r="C1142" s="2">
        <v>1.0</v>
      </c>
      <c r="D1142" s="7"/>
    </row>
    <row r="1143" hidden="1">
      <c r="A1143" s="6">
        <v>4792.0</v>
      </c>
      <c r="B1143" s="5" t="s">
        <v>2365</v>
      </c>
      <c r="C1143" s="2">
        <v>1.0</v>
      </c>
      <c r="D1143" s="7"/>
    </row>
    <row r="1144">
      <c r="A1144" s="6">
        <v>4793.0</v>
      </c>
      <c r="B1144" s="5" t="s">
        <v>2366</v>
      </c>
      <c r="C1144" s="8">
        <f>IFERROR(VLOOKUP(B1144,'Лист1'!$A:$L,12,FALSE),"")</f>
        <v>104890</v>
      </c>
      <c r="D1144" s="7">
        <f t="shared" ref="D1144:D1156" si="33">ROUND((C1144*1.2)/36,0)</f>
        <v>3496</v>
      </c>
    </row>
    <row r="1145">
      <c r="A1145" s="6">
        <v>4794.0</v>
      </c>
      <c r="B1145" s="5" t="s">
        <v>2369</v>
      </c>
      <c r="C1145" s="8">
        <f>IFERROR(VLOOKUP(B1145,'Лист1'!$A:$L,12,FALSE),"")</f>
        <v>104890</v>
      </c>
      <c r="D1145" s="7">
        <f t="shared" si="33"/>
        <v>3496</v>
      </c>
    </row>
    <row r="1146">
      <c r="A1146" s="6">
        <v>4795.0</v>
      </c>
      <c r="B1146" s="5" t="s">
        <v>2370</v>
      </c>
      <c r="C1146" s="8">
        <f>IFERROR(VLOOKUP(B1146,'Лист1'!$A:$L,12,FALSE),"")</f>
        <v>104890</v>
      </c>
      <c r="D1146" s="7">
        <f t="shared" si="33"/>
        <v>3496</v>
      </c>
    </row>
    <row r="1147">
      <c r="A1147" s="6">
        <v>4796.0</v>
      </c>
      <c r="B1147" s="5" t="s">
        <v>2373</v>
      </c>
      <c r="C1147" s="8">
        <f>IFERROR(VLOOKUP(B1147,'Лист1'!$A:$L,12,FALSE),"")</f>
        <v>124390</v>
      </c>
      <c r="D1147" s="7">
        <f t="shared" si="33"/>
        <v>4146</v>
      </c>
    </row>
    <row r="1148">
      <c r="A1148" s="6">
        <v>4797.0</v>
      </c>
      <c r="B1148" s="5" t="s">
        <v>2377</v>
      </c>
      <c r="C1148" s="8">
        <f>IFERROR(VLOOKUP(B1148,'Лист1'!$A:$L,12,FALSE),"")</f>
        <v>124390</v>
      </c>
      <c r="D1148" s="7">
        <f t="shared" si="33"/>
        <v>4146</v>
      </c>
    </row>
    <row r="1149">
      <c r="A1149" s="6">
        <v>4798.0</v>
      </c>
      <c r="B1149" s="5" t="s">
        <v>2378</v>
      </c>
      <c r="C1149" s="8">
        <f>IFERROR(VLOOKUP(B1149,'Лист1'!$A:$L,12,FALSE),"")</f>
        <v>124890</v>
      </c>
      <c r="D1149" s="7">
        <f t="shared" si="33"/>
        <v>4163</v>
      </c>
    </row>
    <row r="1150">
      <c r="A1150" s="6">
        <v>4799.0</v>
      </c>
      <c r="B1150" s="5" t="s">
        <v>2381</v>
      </c>
      <c r="C1150" s="8">
        <f>IFERROR(VLOOKUP(B1150,'Лист1'!$A:$L,12,FALSE),"")</f>
        <v>159390</v>
      </c>
      <c r="D1150" s="7">
        <f t="shared" si="33"/>
        <v>5313</v>
      </c>
    </row>
    <row r="1151">
      <c r="A1151" s="6">
        <v>4800.0</v>
      </c>
      <c r="B1151" s="5" t="s">
        <v>2386</v>
      </c>
      <c r="C1151" s="8">
        <f>IFERROR(VLOOKUP(B1151,'Лист1'!$A:$L,12,FALSE),"")</f>
        <v>159390</v>
      </c>
      <c r="D1151" s="7">
        <f t="shared" si="33"/>
        <v>5313</v>
      </c>
    </row>
    <row r="1152">
      <c r="A1152" s="6">
        <v>4801.0</v>
      </c>
      <c r="B1152" s="5" t="s">
        <v>2389</v>
      </c>
      <c r="C1152" s="8">
        <f>IFERROR(VLOOKUP(B1152,'Лист1'!$A:$L,12,FALSE),"")</f>
        <v>159390</v>
      </c>
      <c r="D1152" s="7">
        <f t="shared" si="33"/>
        <v>5313</v>
      </c>
    </row>
    <row r="1153">
      <c r="A1153" s="6">
        <v>4774.0</v>
      </c>
      <c r="B1153" s="5" t="s">
        <v>2123</v>
      </c>
      <c r="C1153" s="8">
        <f>IFERROR(VLOOKUP(B1153,'Лист1'!$A:$L,12,FALSE),"")</f>
        <v>66890</v>
      </c>
      <c r="D1153" s="7">
        <f t="shared" si="33"/>
        <v>2230</v>
      </c>
    </row>
    <row r="1154">
      <c r="A1154" s="6">
        <v>4775.0</v>
      </c>
      <c r="B1154" s="5" t="s">
        <v>2145</v>
      </c>
      <c r="C1154" s="8">
        <f>IFERROR(VLOOKUP(B1154,'Лист1'!$A:$L,12,FALSE),"")</f>
        <v>75890</v>
      </c>
      <c r="D1154" s="7">
        <f t="shared" si="33"/>
        <v>2530</v>
      </c>
    </row>
    <row r="1155">
      <c r="A1155" s="6">
        <v>4776.0</v>
      </c>
      <c r="B1155" s="5" t="s">
        <v>2138</v>
      </c>
      <c r="C1155" s="8">
        <f>IFERROR(VLOOKUP(B1155,'Лист1'!$A:$L,12,FALSE),"")</f>
        <v>74390</v>
      </c>
      <c r="D1155" s="7">
        <f t="shared" si="33"/>
        <v>2480</v>
      </c>
    </row>
    <row r="1156">
      <c r="A1156" s="6">
        <v>4777.0</v>
      </c>
      <c r="B1156" s="5" t="s">
        <v>2399</v>
      </c>
      <c r="C1156" s="8">
        <f>C1155</f>
        <v>74390</v>
      </c>
      <c r="D1156" s="7">
        <f t="shared" si="33"/>
        <v>2480</v>
      </c>
    </row>
    <row r="1157" hidden="1">
      <c r="A1157" s="6">
        <v>4778.0</v>
      </c>
      <c r="B1157" s="5" t="s">
        <v>2402</v>
      </c>
      <c r="C1157" s="8" t="str">
        <f>IFERROR(VLOOKUP(B1157,'Лист1'!$A:$L,12,FALSE),"")</f>
        <v/>
      </c>
      <c r="D1157" s="7"/>
    </row>
    <row r="1158">
      <c r="A1158" s="6">
        <v>4779.0</v>
      </c>
      <c r="B1158" s="5" t="s">
        <v>2404</v>
      </c>
      <c r="C1158" s="8">
        <f>IFERROR(VLOOKUP(B1158,'Лист1'!$A:$L,12,FALSE),"")</f>
        <v>82890</v>
      </c>
      <c r="D1158" s="7">
        <f t="shared" ref="D1158:D1285" si="34">ROUND((C1158*1.2)/36,0)</f>
        <v>2763</v>
      </c>
    </row>
    <row r="1159">
      <c r="A1159" s="6">
        <v>4780.0</v>
      </c>
      <c r="B1159" s="5" t="s">
        <v>2411</v>
      </c>
      <c r="C1159" s="8">
        <f>IFERROR(VLOOKUP(B1159,'Лист1'!$A:$L,12,FALSE),"")</f>
        <v>83890</v>
      </c>
      <c r="D1159" s="7">
        <f t="shared" si="34"/>
        <v>2796</v>
      </c>
    </row>
    <row r="1160">
      <c r="A1160" s="6">
        <v>4781.0</v>
      </c>
      <c r="B1160" s="5" t="s">
        <v>2415</v>
      </c>
      <c r="C1160" s="8">
        <f>C1159</f>
        <v>83890</v>
      </c>
      <c r="D1160" s="7">
        <f t="shared" si="34"/>
        <v>2796</v>
      </c>
    </row>
    <row r="1161">
      <c r="A1161" s="6">
        <v>4849.0</v>
      </c>
      <c r="B1161" s="5" t="s">
        <v>2400</v>
      </c>
      <c r="C1161" s="8">
        <f>IFERROR(VLOOKUP(B1161,'Лист1'!$A:$L,12,FALSE),"")</f>
        <v>68390</v>
      </c>
      <c r="D1161" s="7">
        <f t="shared" si="34"/>
        <v>2280</v>
      </c>
    </row>
    <row r="1162">
      <c r="A1162" s="6">
        <v>4850.0</v>
      </c>
      <c r="B1162" s="5" t="s">
        <v>2420</v>
      </c>
      <c r="C1162" s="8">
        <f>C1161</f>
        <v>68390</v>
      </c>
      <c r="D1162" s="7">
        <f t="shared" si="34"/>
        <v>2280</v>
      </c>
    </row>
    <row r="1163">
      <c r="A1163" s="6">
        <v>4851.0</v>
      </c>
      <c r="B1163" s="5" t="s">
        <v>2113</v>
      </c>
      <c r="C1163" s="8">
        <f>IFERROR(VLOOKUP(B1163,'Лист1'!$A:$L,12,FALSE),"")</f>
        <v>62890</v>
      </c>
      <c r="D1163" s="7">
        <f t="shared" si="34"/>
        <v>2096</v>
      </c>
    </row>
    <row r="1164">
      <c r="A1164" s="6">
        <v>4852.0</v>
      </c>
      <c r="B1164" s="5" t="s">
        <v>2118</v>
      </c>
      <c r="C1164" s="8">
        <f>IFERROR(VLOOKUP(B1164,'Лист1'!$A:$L,12,FALSE),"")</f>
        <v>63390</v>
      </c>
      <c r="D1164" s="7">
        <f t="shared" si="34"/>
        <v>2113</v>
      </c>
    </row>
    <row r="1165">
      <c r="A1165" s="6">
        <v>4853.0</v>
      </c>
      <c r="B1165" s="5" t="s">
        <v>109</v>
      </c>
      <c r="C1165" s="8">
        <f>IFERROR(VLOOKUP(B1165,'Лист1'!$A:$L,12,FALSE),"")</f>
        <v>64890</v>
      </c>
      <c r="D1165" s="7">
        <f t="shared" si="34"/>
        <v>2163</v>
      </c>
    </row>
    <row r="1166">
      <c r="A1166" s="6">
        <v>4854.0</v>
      </c>
      <c r="B1166" s="5" t="s">
        <v>2374</v>
      </c>
      <c r="C1166" s="8">
        <f>IFERROR(VLOOKUP(B1166,'Лист1'!$A:$L,12,FALSE),"")</f>
        <v>1</v>
      </c>
      <c r="D1166" s="7">
        <f t="shared" si="34"/>
        <v>0</v>
      </c>
    </row>
    <row r="1167">
      <c r="A1167" s="6">
        <v>4855.0</v>
      </c>
      <c r="B1167" s="5" t="s">
        <v>2405</v>
      </c>
      <c r="C1167" s="8">
        <f>IFERROR(VLOOKUP(B1167,'Лист1'!$A:$L,12,FALSE),"")</f>
        <v>71890</v>
      </c>
      <c r="D1167" s="7">
        <f t="shared" si="34"/>
        <v>2396</v>
      </c>
    </row>
    <row r="1168">
      <c r="A1168" s="6">
        <v>4856.0</v>
      </c>
      <c r="B1168" s="5" t="s">
        <v>133</v>
      </c>
      <c r="C1168" s="8">
        <f>IFERROR(VLOOKUP(B1168,'Лист1'!$A:$L,12,FALSE),"")</f>
        <v>71890</v>
      </c>
      <c r="D1168" s="7">
        <f t="shared" si="34"/>
        <v>2396</v>
      </c>
    </row>
    <row r="1169">
      <c r="A1169" s="6">
        <v>4857.0</v>
      </c>
      <c r="B1169" s="5" t="s">
        <v>2436</v>
      </c>
      <c r="C1169" s="8">
        <f>C1171</f>
        <v>75390</v>
      </c>
      <c r="D1169" s="7">
        <f t="shared" si="34"/>
        <v>2513</v>
      </c>
    </row>
    <row r="1170">
      <c r="A1170" s="6">
        <v>4858.0</v>
      </c>
      <c r="B1170" s="5" t="s">
        <v>2438</v>
      </c>
      <c r="C1170" s="8">
        <f>C1171</f>
        <v>75390</v>
      </c>
      <c r="D1170" s="7">
        <f t="shared" si="34"/>
        <v>2513</v>
      </c>
    </row>
    <row r="1171">
      <c r="A1171" s="6">
        <v>4859.0</v>
      </c>
      <c r="B1171" s="5" t="s">
        <v>2441</v>
      </c>
      <c r="C1171" s="8">
        <f>IFERROR(VLOOKUP(B1171,'Лист1'!$A:$L,12,FALSE),"")</f>
        <v>75390</v>
      </c>
      <c r="D1171" s="7">
        <f t="shared" si="34"/>
        <v>2513</v>
      </c>
    </row>
    <row r="1172">
      <c r="A1172" s="6">
        <v>4860.0</v>
      </c>
      <c r="B1172" s="5" t="s">
        <v>2444</v>
      </c>
      <c r="C1172" s="8">
        <f>IFERROR(VLOOKUP(B1172,'Лист1'!$A:$L,12,FALSE),"")</f>
        <v>75390</v>
      </c>
      <c r="D1172" s="7">
        <f t="shared" si="34"/>
        <v>2513</v>
      </c>
    </row>
    <row r="1173">
      <c r="A1173" s="6">
        <v>4861.0</v>
      </c>
      <c r="B1173" s="5" t="s">
        <v>2409</v>
      </c>
      <c r="C1173" s="8">
        <f>IFERROR(VLOOKUP(B1173,'Лист1'!$A:$L,12,FALSE),"")</f>
        <v>70390</v>
      </c>
      <c r="D1173" s="7">
        <f t="shared" si="34"/>
        <v>2346</v>
      </c>
    </row>
    <row r="1174">
      <c r="A1174" s="6">
        <v>4862.0</v>
      </c>
      <c r="B1174" s="5" t="s">
        <v>2413</v>
      </c>
      <c r="C1174" s="8">
        <f>IFERROR(VLOOKUP(B1174,'Лист1'!$A:$L,12,FALSE),"")</f>
        <v>73890</v>
      </c>
      <c r="D1174" s="7">
        <f t="shared" si="34"/>
        <v>2463</v>
      </c>
    </row>
    <row r="1175">
      <c r="A1175" s="6">
        <v>4863.0</v>
      </c>
      <c r="B1175" s="5" t="s">
        <v>2450</v>
      </c>
      <c r="C1175" s="8">
        <f>IFERROR(VLOOKUP(B1175,'Лист1'!$A:$L,12,FALSE),"")</f>
        <v>72890</v>
      </c>
      <c r="D1175" s="7">
        <f t="shared" si="34"/>
        <v>2430</v>
      </c>
    </row>
    <row r="1176">
      <c r="A1176" s="6">
        <v>4864.0</v>
      </c>
      <c r="B1176" s="5" t="s">
        <v>2442</v>
      </c>
      <c r="C1176" s="8">
        <f>IFERROR(VLOOKUP(B1176,'Лист1'!$A:$L,12,FALSE),"")</f>
        <v>71390</v>
      </c>
      <c r="D1176" s="7">
        <f t="shared" si="34"/>
        <v>2380</v>
      </c>
    </row>
    <row r="1177">
      <c r="A1177" s="6">
        <v>4865.0</v>
      </c>
      <c r="B1177" s="5" t="s">
        <v>2453</v>
      </c>
      <c r="C1177" s="8">
        <f>IFERROR(VLOOKUP(B1177,'Лист1'!$A:$L,12,FALSE),"")</f>
        <v>75390</v>
      </c>
      <c r="D1177" s="7">
        <f t="shared" si="34"/>
        <v>2513</v>
      </c>
    </row>
    <row r="1178">
      <c r="A1178" s="6">
        <v>4866.0</v>
      </c>
      <c r="B1178" s="5" t="s">
        <v>2456</v>
      </c>
      <c r="C1178" s="8">
        <f>IFERROR(VLOOKUP(B1178,'Лист1'!$A:$L,12,FALSE),"")</f>
        <v>75390</v>
      </c>
      <c r="D1178" s="7">
        <f t="shared" si="34"/>
        <v>2513</v>
      </c>
    </row>
    <row r="1179">
      <c r="A1179" s="6">
        <v>4867.0</v>
      </c>
      <c r="B1179" s="5" t="s">
        <v>2460</v>
      </c>
      <c r="C1179" s="8">
        <f>IFERROR(VLOOKUP(B1179,'Лист1'!$A:$L,12,FALSE),"")</f>
        <v>82390</v>
      </c>
      <c r="D1179" s="7">
        <f t="shared" si="34"/>
        <v>2746</v>
      </c>
    </row>
    <row r="1180">
      <c r="A1180" s="6">
        <v>4868.0</v>
      </c>
      <c r="B1180" s="5" t="s">
        <v>2462</v>
      </c>
      <c r="C1180" s="8">
        <f>IFERROR(VLOOKUP(B1180,'Лист1'!$A:$L,12,FALSE),"")</f>
        <v>83390</v>
      </c>
      <c r="D1180" s="7">
        <f t="shared" si="34"/>
        <v>2780</v>
      </c>
    </row>
    <row r="1181">
      <c r="A1181" s="6">
        <v>4869.0</v>
      </c>
      <c r="B1181" s="5" t="s">
        <v>2465</v>
      </c>
      <c r="C1181" s="8">
        <f>C1183</f>
        <v>87390</v>
      </c>
      <c r="D1181" s="7">
        <f t="shared" si="34"/>
        <v>2913</v>
      </c>
    </row>
    <row r="1182">
      <c r="A1182" s="6">
        <v>4870.0</v>
      </c>
      <c r="B1182" s="5" t="s">
        <v>2466</v>
      </c>
      <c r="C1182" s="8">
        <f>IFERROR(VLOOKUP(B1182,'Лист1'!$A:$L,12,FALSE),"")</f>
        <v>81390</v>
      </c>
      <c r="D1182" s="7">
        <f t="shared" si="34"/>
        <v>2713</v>
      </c>
    </row>
    <row r="1183">
      <c r="A1183" s="6">
        <v>4871.0</v>
      </c>
      <c r="B1183" s="5" t="s">
        <v>2469</v>
      </c>
      <c r="C1183" s="8">
        <f>IFERROR(VLOOKUP(B1183,'Лист1'!$A:$L,12,FALSE),"")</f>
        <v>87390</v>
      </c>
      <c r="D1183" s="7">
        <f t="shared" si="34"/>
        <v>2913</v>
      </c>
    </row>
    <row r="1184">
      <c r="A1184" s="6">
        <v>4872.0</v>
      </c>
      <c r="B1184" s="5" t="s">
        <v>200</v>
      </c>
      <c r="C1184" s="8">
        <f>IFERROR(VLOOKUP(B1184,'Лист1'!$A:$L,12,FALSE),"")</f>
        <v>84390</v>
      </c>
      <c r="D1184" s="7">
        <f t="shared" si="34"/>
        <v>2813</v>
      </c>
    </row>
    <row r="1185">
      <c r="A1185" s="6">
        <v>4879.0</v>
      </c>
      <c r="B1185" s="5" t="s">
        <v>2473</v>
      </c>
      <c r="C1185" s="8">
        <f>C1188</f>
        <v>78390</v>
      </c>
      <c r="D1185" s="7">
        <f t="shared" si="34"/>
        <v>2613</v>
      </c>
    </row>
    <row r="1186">
      <c r="A1186" s="6">
        <v>4880.0</v>
      </c>
      <c r="B1186" s="5" t="s">
        <v>2475</v>
      </c>
      <c r="C1186" s="8">
        <f>C1188</f>
        <v>78390</v>
      </c>
      <c r="D1186" s="7">
        <f t="shared" si="34"/>
        <v>2613</v>
      </c>
    </row>
    <row r="1187">
      <c r="A1187" s="6">
        <v>4881.0</v>
      </c>
      <c r="B1187" s="5" t="s">
        <v>2149</v>
      </c>
      <c r="C1187" s="8">
        <f>IFERROR(VLOOKUP(B1187,'Лист1'!$A:$L,12,FALSE),"")</f>
        <v>78390</v>
      </c>
      <c r="D1187" s="7">
        <f t="shared" si="34"/>
        <v>2613</v>
      </c>
    </row>
    <row r="1188">
      <c r="A1188" s="6">
        <v>4882.0</v>
      </c>
      <c r="B1188" s="5" t="s">
        <v>164</v>
      </c>
      <c r="C1188" s="8">
        <f>IFERROR(VLOOKUP(B1188,'Лист1'!$A:$L,12,FALSE),"")</f>
        <v>78390</v>
      </c>
      <c r="D1188" s="7">
        <f t="shared" si="34"/>
        <v>2613</v>
      </c>
    </row>
    <row r="1189">
      <c r="A1189" s="6">
        <v>4883.0</v>
      </c>
      <c r="B1189" s="5" t="s">
        <v>2480</v>
      </c>
      <c r="C1189" s="8">
        <f>C1188</f>
        <v>78390</v>
      </c>
      <c r="D1189" s="7">
        <f t="shared" si="34"/>
        <v>2613</v>
      </c>
    </row>
    <row r="1190">
      <c r="A1190" s="6">
        <v>4884.0</v>
      </c>
      <c r="B1190" s="5" t="s">
        <v>2482</v>
      </c>
      <c r="C1190" s="8">
        <f>C1188</f>
        <v>78390</v>
      </c>
      <c r="D1190" s="7">
        <f t="shared" si="34"/>
        <v>2613</v>
      </c>
    </row>
    <row r="1191">
      <c r="A1191" s="6">
        <v>4873.0</v>
      </c>
      <c r="B1191" s="5" t="s">
        <v>141</v>
      </c>
      <c r="C1191" s="8">
        <f>IFERROR(VLOOKUP(B1191,'Лист1'!$A:$L,12,FALSE),"")</f>
        <v>97390</v>
      </c>
      <c r="D1191" s="7">
        <f t="shared" si="34"/>
        <v>3246</v>
      </c>
    </row>
    <row r="1192">
      <c r="A1192" s="6">
        <v>4874.0</v>
      </c>
      <c r="B1192" s="5" t="s">
        <v>2486</v>
      </c>
      <c r="C1192" s="8">
        <f>C1191</f>
        <v>97390</v>
      </c>
      <c r="D1192" s="7">
        <f t="shared" si="34"/>
        <v>3246</v>
      </c>
    </row>
    <row r="1193">
      <c r="A1193" s="6">
        <v>4875.0</v>
      </c>
      <c r="B1193" s="5" t="s">
        <v>2158</v>
      </c>
      <c r="C1193" s="8">
        <f>IFERROR(VLOOKUP(B1193,'Лист1'!$A:$L,12,FALSE),"")</f>
        <v>93890</v>
      </c>
      <c r="D1193" s="7">
        <f t="shared" si="34"/>
        <v>3130</v>
      </c>
    </row>
    <row r="1194">
      <c r="A1194" s="6">
        <v>4876.0</v>
      </c>
      <c r="B1194" s="5" t="s">
        <v>2153</v>
      </c>
      <c r="C1194" s="8">
        <f>IFERROR(VLOOKUP(B1194,'Лист1'!$A:$L,12,FALSE),"")</f>
        <v>92890</v>
      </c>
      <c r="D1194" s="7">
        <f t="shared" si="34"/>
        <v>3096</v>
      </c>
    </row>
    <row r="1195">
      <c r="A1195" s="6">
        <v>4877.0</v>
      </c>
      <c r="B1195" s="5" t="s">
        <v>2490</v>
      </c>
      <c r="C1195" s="8">
        <f>C1191</f>
        <v>97390</v>
      </c>
      <c r="D1195" s="7">
        <f t="shared" si="34"/>
        <v>3246</v>
      </c>
    </row>
    <row r="1196">
      <c r="A1196" s="6">
        <v>4878.0</v>
      </c>
      <c r="B1196" s="5" t="s">
        <v>2491</v>
      </c>
      <c r="C1196" s="8">
        <f>IFERROR(VLOOKUP(B1196,'Лист1'!$A:$L,12,FALSE),"")</f>
        <v>90890</v>
      </c>
      <c r="D1196" s="7">
        <f t="shared" si="34"/>
        <v>3030</v>
      </c>
    </row>
    <row r="1197">
      <c r="A1197" s="6">
        <v>4885.0</v>
      </c>
      <c r="B1197" s="5" t="s">
        <v>2493</v>
      </c>
      <c r="C1197" s="8">
        <f>IFERROR(VLOOKUP(B1197,'Лист1'!$A:$L,12,FALSE),"")</f>
        <v>117890</v>
      </c>
      <c r="D1197" s="7">
        <f t="shared" si="34"/>
        <v>3930</v>
      </c>
    </row>
    <row r="1198">
      <c r="A1198" s="6">
        <v>4886.0</v>
      </c>
      <c r="B1198" s="5" t="s">
        <v>2496</v>
      </c>
      <c r="C1198" s="8">
        <f>IFERROR(VLOOKUP(B1198,'Лист1'!$A:$L,12,FALSE),"")</f>
        <v>124390</v>
      </c>
      <c r="D1198" s="7">
        <f t="shared" si="34"/>
        <v>4146</v>
      </c>
    </row>
    <row r="1199">
      <c r="A1199" s="6">
        <v>4887.0</v>
      </c>
      <c r="B1199" s="5" t="s">
        <v>2497</v>
      </c>
      <c r="C1199" s="8">
        <f>C1198</f>
        <v>124390</v>
      </c>
      <c r="D1199" s="7">
        <f t="shared" si="34"/>
        <v>4146</v>
      </c>
    </row>
    <row r="1200">
      <c r="A1200" s="6">
        <v>4888.0</v>
      </c>
      <c r="B1200" s="5" t="s">
        <v>2500</v>
      </c>
      <c r="C1200" s="8">
        <f>C1198</f>
        <v>124390</v>
      </c>
      <c r="D1200" s="7">
        <f t="shared" si="34"/>
        <v>4146</v>
      </c>
    </row>
    <row r="1201">
      <c r="A1201" s="6">
        <v>4889.0</v>
      </c>
      <c r="B1201" s="5" t="s">
        <v>2501</v>
      </c>
      <c r="C1201" s="8">
        <f>IFERROR(VLOOKUP(B1201,'Лист1'!$A:$L,12,FALSE),"")</f>
        <v>123890</v>
      </c>
      <c r="D1201" s="7">
        <f t="shared" si="34"/>
        <v>4130</v>
      </c>
    </row>
    <row r="1202">
      <c r="A1202" s="6">
        <v>4890.0</v>
      </c>
      <c r="B1202" s="5" t="s">
        <v>2503</v>
      </c>
      <c r="C1202" s="8">
        <f>IFERROR(VLOOKUP(B1202,'Лист1'!$A:$L,12,FALSE),"")</f>
        <v>123890</v>
      </c>
      <c r="D1202" s="7">
        <f t="shared" si="34"/>
        <v>4130</v>
      </c>
    </row>
    <row r="1203">
      <c r="A1203" s="6">
        <v>4971.0</v>
      </c>
      <c r="B1203" s="1" t="s">
        <v>500</v>
      </c>
      <c r="C1203" s="8">
        <f>IFERROR(VLOOKUP(B1203,'Лист1'!$A:$L,12,FALSE),"")</f>
        <v>50000</v>
      </c>
      <c r="D1203" s="7">
        <f t="shared" si="34"/>
        <v>1667</v>
      </c>
    </row>
    <row r="1204">
      <c r="A1204" s="6">
        <v>4966.0</v>
      </c>
      <c r="B1204" s="1" t="s">
        <v>508</v>
      </c>
      <c r="C1204" s="8">
        <f>IFERROR(VLOOKUP(B1204,'Лист1'!$A:$L,12,FALSE),"")</f>
        <v>50000</v>
      </c>
      <c r="D1204" s="7">
        <f t="shared" si="34"/>
        <v>1667</v>
      </c>
    </row>
    <row r="1205">
      <c r="A1205" s="6">
        <v>4968.0</v>
      </c>
      <c r="B1205" s="1" t="s">
        <v>513</v>
      </c>
      <c r="C1205" s="8">
        <f>IFERROR(VLOOKUP(B1205,'Лист1'!$A:$L,12,FALSE),"")</f>
        <v>50000</v>
      </c>
      <c r="D1205" s="7">
        <f t="shared" si="34"/>
        <v>1667</v>
      </c>
    </row>
    <row r="1206">
      <c r="A1206" s="6">
        <v>4970.0</v>
      </c>
      <c r="B1206" s="1" t="s">
        <v>518</v>
      </c>
      <c r="C1206" s="8">
        <f>IFERROR(VLOOKUP(B1206,'Лист1'!$A:$L,12,FALSE),"")</f>
        <v>50000</v>
      </c>
      <c r="D1206" s="7">
        <f t="shared" si="34"/>
        <v>1667</v>
      </c>
    </row>
    <row r="1207">
      <c r="A1207" s="6">
        <v>4969.0</v>
      </c>
      <c r="B1207" s="1" t="s">
        <v>537</v>
      </c>
      <c r="C1207" s="8">
        <f>IFERROR(VLOOKUP(B1207,'Лист1'!$A:$L,12,FALSE),"")</f>
        <v>50000</v>
      </c>
      <c r="D1207" s="7">
        <f t="shared" si="34"/>
        <v>1667</v>
      </c>
    </row>
    <row r="1208">
      <c r="A1208" s="6">
        <v>4967.0</v>
      </c>
      <c r="B1208" s="1" t="s">
        <v>547</v>
      </c>
      <c r="C1208" s="8">
        <f>IFERROR(VLOOKUP(B1208,'Лист1'!$A:$L,12,FALSE),"")</f>
        <v>50000</v>
      </c>
      <c r="D1208" s="7">
        <f t="shared" si="34"/>
        <v>1667</v>
      </c>
    </row>
    <row r="1209">
      <c r="A1209" s="6">
        <v>4932.0</v>
      </c>
      <c r="B1209" s="5" t="s">
        <v>2510</v>
      </c>
      <c r="C1209" s="8">
        <f>IFERROR(VLOOKUP(B1209,'Лист1'!$A:$L,12,FALSE),"")</f>
        <v>80890</v>
      </c>
      <c r="D1209" s="7">
        <f t="shared" si="34"/>
        <v>2696</v>
      </c>
    </row>
    <row r="1210">
      <c r="A1210" s="6">
        <v>4933.0</v>
      </c>
      <c r="B1210" s="5" t="s">
        <v>2512</v>
      </c>
      <c r="C1210" s="8">
        <f>IFERROR(VLOOKUP(B1210,'Лист1'!$A:$L,12,FALSE),"")</f>
        <v>80890</v>
      </c>
      <c r="D1210" s="7">
        <f t="shared" si="34"/>
        <v>2696</v>
      </c>
    </row>
    <row r="1211">
      <c r="A1211" s="6">
        <v>4934.0</v>
      </c>
      <c r="B1211" s="5" t="s">
        <v>2517</v>
      </c>
      <c r="C1211" s="8">
        <f>C1209</f>
        <v>80890</v>
      </c>
      <c r="D1211" s="7">
        <f t="shared" si="34"/>
        <v>2696</v>
      </c>
    </row>
    <row r="1212">
      <c r="A1212" s="6">
        <v>4935.0</v>
      </c>
      <c r="B1212" s="5" t="s">
        <v>2519</v>
      </c>
      <c r="C1212" s="8">
        <f>C1209</f>
        <v>80890</v>
      </c>
      <c r="D1212" s="7">
        <f t="shared" si="34"/>
        <v>2696</v>
      </c>
    </row>
    <row r="1213">
      <c r="A1213" s="6">
        <v>4936.0</v>
      </c>
      <c r="B1213" s="5" t="s">
        <v>2521</v>
      </c>
      <c r="C1213" s="8">
        <f>IFERROR(VLOOKUP(B1213,'Лист1'!$A:$L,12,FALSE),"")</f>
        <v>100390</v>
      </c>
      <c r="D1213" s="7">
        <f t="shared" si="34"/>
        <v>3346</v>
      </c>
    </row>
    <row r="1214">
      <c r="A1214" s="6">
        <v>4937.0</v>
      </c>
      <c r="B1214" s="5" t="s">
        <v>2523</v>
      </c>
      <c r="C1214" s="8">
        <f>IFERROR(VLOOKUP(B1214,'Лист1'!$A:$L,12,FALSE),"")</f>
        <v>99890</v>
      </c>
      <c r="D1214" s="7">
        <f t="shared" si="34"/>
        <v>3330</v>
      </c>
    </row>
    <row r="1215">
      <c r="A1215" s="6">
        <v>4938.0</v>
      </c>
      <c r="B1215" s="5" t="s">
        <v>2526</v>
      </c>
      <c r="C1215" s="8">
        <f>IFERROR(VLOOKUP(B1215,'Лист1'!$A:$L,12,FALSE),"")</f>
        <v>99890</v>
      </c>
      <c r="D1215" s="7">
        <f t="shared" si="34"/>
        <v>3330</v>
      </c>
    </row>
    <row r="1216">
      <c r="A1216" s="6">
        <v>4939.0</v>
      </c>
      <c r="B1216" s="5" t="s">
        <v>2528</v>
      </c>
      <c r="C1216" s="8">
        <f>IFERROR(VLOOKUP(B1216,'Лист1'!$A:$L,12,FALSE),"")</f>
        <v>99890</v>
      </c>
      <c r="D1216" s="7">
        <f t="shared" si="34"/>
        <v>3330</v>
      </c>
    </row>
    <row r="1217">
      <c r="A1217" s="6">
        <v>4916.0</v>
      </c>
      <c r="B1217" s="5" t="s">
        <v>2532</v>
      </c>
      <c r="C1217" s="8">
        <f>IFERROR(VLOOKUP(B1217,'Лист1'!$A:$L,12,FALSE),"")</f>
        <v>67390</v>
      </c>
      <c r="D1217" s="7">
        <f t="shared" si="34"/>
        <v>2246</v>
      </c>
    </row>
    <row r="1218">
      <c r="A1218" s="6">
        <v>4917.0</v>
      </c>
      <c r="B1218" s="5" t="s">
        <v>2535</v>
      </c>
      <c r="C1218" s="8">
        <f>IFERROR(VLOOKUP(B1218,'Лист1'!$A:$L,12,FALSE),"")</f>
        <v>69390</v>
      </c>
      <c r="D1218" s="7">
        <f t="shared" si="34"/>
        <v>2313</v>
      </c>
    </row>
    <row r="1219">
      <c r="A1219" s="6">
        <v>4918.0</v>
      </c>
      <c r="B1219" s="5" t="s">
        <v>2536</v>
      </c>
      <c r="C1219" s="8">
        <f>IFERROR(VLOOKUP(B1219,'Лист1'!$A:$L,12,FALSE),"")</f>
        <v>67390</v>
      </c>
      <c r="D1219" s="7">
        <f t="shared" si="34"/>
        <v>2246</v>
      </c>
    </row>
    <row r="1220">
      <c r="A1220" s="6">
        <v>4919.0</v>
      </c>
      <c r="B1220" s="5" t="s">
        <v>2539</v>
      </c>
      <c r="C1220" s="8">
        <f>IFERROR(VLOOKUP(B1220,'Лист1'!$A:$L,12,FALSE),"")</f>
        <v>71890</v>
      </c>
      <c r="D1220" s="7">
        <f t="shared" si="34"/>
        <v>2396</v>
      </c>
    </row>
    <row r="1221">
      <c r="A1221" s="6">
        <v>4920.0</v>
      </c>
      <c r="B1221" s="5" t="s">
        <v>2540</v>
      </c>
      <c r="C1221" s="8">
        <f>IFERROR(VLOOKUP(B1221,'Лист1'!$A:$L,12,FALSE),"")</f>
        <v>77890</v>
      </c>
      <c r="D1221" s="7">
        <f t="shared" si="34"/>
        <v>2596</v>
      </c>
    </row>
    <row r="1222">
      <c r="A1222" s="6">
        <v>4921.0</v>
      </c>
      <c r="B1222" s="5" t="s">
        <v>2543</v>
      </c>
      <c r="C1222" s="8">
        <f>C1221</f>
        <v>77890</v>
      </c>
      <c r="D1222" s="7">
        <f t="shared" si="34"/>
        <v>2596</v>
      </c>
    </row>
    <row r="1223">
      <c r="A1223" s="6">
        <v>4922.0</v>
      </c>
      <c r="B1223" s="5" t="s">
        <v>2547</v>
      </c>
      <c r="C1223" s="8">
        <f>C1221</f>
        <v>77890</v>
      </c>
      <c r="D1223" s="7">
        <f t="shared" si="34"/>
        <v>2596</v>
      </c>
    </row>
    <row r="1224">
      <c r="A1224" s="6">
        <v>4923.0</v>
      </c>
      <c r="B1224" s="5" t="s">
        <v>2548</v>
      </c>
      <c r="C1224" s="8">
        <f>C1221</f>
        <v>77890</v>
      </c>
      <c r="D1224" s="7">
        <f t="shared" si="34"/>
        <v>2596</v>
      </c>
    </row>
    <row r="1225">
      <c r="A1225" s="6">
        <v>4948.0</v>
      </c>
      <c r="B1225" s="5" t="s">
        <v>2551</v>
      </c>
      <c r="C1225" s="8">
        <f>IFERROR(VLOOKUP(B1225,'Лист1'!$A:$L,12,FALSE),"")</f>
        <v>92390</v>
      </c>
      <c r="D1225" s="7">
        <f t="shared" si="34"/>
        <v>3080</v>
      </c>
    </row>
    <row r="1226">
      <c r="A1226" s="6">
        <v>4949.0</v>
      </c>
      <c r="B1226" s="5" t="s">
        <v>2552</v>
      </c>
      <c r="C1226" s="8">
        <f>IFERROR(VLOOKUP(B1226,'Лист1'!$A:$L,12,FALSE),"")</f>
        <v>92390</v>
      </c>
      <c r="D1226" s="7">
        <f t="shared" si="34"/>
        <v>3080</v>
      </c>
    </row>
    <row r="1227">
      <c r="A1227" s="6">
        <v>4950.0</v>
      </c>
      <c r="B1227" s="5" t="s">
        <v>2554</v>
      </c>
      <c r="C1227" s="8">
        <f>IFERROR(VLOOKUP(B1227,'Лист1'!$A:$L,12,FALSE),"")</f>
        <v>92390</v>
      </c>
      <c r="D1227" s="7">
        <f t="shared" si="34"/>
        <v>3080</v>
      </c>
    </row>
    <row r="1228">
      <c r="A1228" s="6">
        <v>4951.0</v>
      </c>
      <c r="B1228" s="5" t="s">
        <v>2557</v>
      </c>
      <c r="C1228" s="8">
        <f>IFERROR(VLOOKUP(B1228,'Лист1'!$A:$L,12,FALSE),"")</f>
        <v>92390</v>
      </c>
      <c r="D1228" s="7">
        <f t="shared" si="34"/>
        <v>3080</v>
      </c>
    </row>
    <row r="1229">
      <c r="A1229" s="6">
        <v>4955.0</v>
      </c>
      <c r="B1229" s="5" t="s">
        <v>2559</v>
      </c>
      <c r="C1229" s="8">
        <f>IFERROR(VLOOKUP(B1229,'Лист1'!$A:$L,12,FALSE),"")</f>
        <v>110890</v>
      </c>
      <c r="D1229" s="7">
        <f t="shared" si="34"/>
        <v>3696</v>
      </c>
    </row>
    <row r="1230">
      <c r="A1230" s="6">
        <v>4952.0</v>
      </c>
      <c r="B1230" s="5" t="s">
        <v>2561</v>
      </c>
      <c r="C1230" s="8">
        <f>IFERROR(VLOOKUP(B1230,'Лист1'!$A:$L,12,FALSE),"")</f>
        <v>110890</v>
      </c>
      <c r="D1230" s="7">
        <f t="shared" si="34"/>
        <v>3696</v>
      </c>
    </row>
    <row r="1231">
      <c r="A1231" s="6">
        <v>4953.0</v>
      </c>
      <c r="B1231" s="5" t="s">
        <v>2564</v>
      </c>
      <c r="C1231" s="8">
        <f>C1230</f>
        <v>110890</v>
      </c>
      <c r="D1231" s="7">
        <f t="shared" si="34"/>
        <v>3696</v>
      </c>
    </row>
    <row r="1232">
      <c r="A1232" s="6">
        <v>4954.0</v>
      </c>
      <c r="B1232" s="5" t="s">
        <v>2565</v>
      </c>
      <c r="C1232" s="8">
        <f>IFERROR(VLOOKUP(B1232,'Лист1'!$A:$L,12,FALSE),"")</f>
        <v>110890</v>
      </c>
      <c r="D1232" s="7">
        <f t="shared" si="34"/>
        <v>3696</v>
      </c>
    </row>
    <row r="1233">
      <c r="A1233" s="6">
        <v>4940.0</v>
      </c>
      <c r="B1233" s="5" t="s">
        <v>2567</v>
      </c>
      <c r="C1233" s="8">
        <f>IFERROR(VLOOKUP(B1233,'Лист1'!$A:$L,12,FALSE),"")</f>
        <v>85890</v>
      </c>
      <c r="D1233" s="7">
        <f t="shared" si="34"/>
        <v>2863</v>
      </c>
    </row>
    <row r="1234">
      <c r="A1234" s="6">
        <v>4941.0</v>
      </c>
      <c r="B1234" s="5" t="s">
        <v>2568</v>
      </c>
      <c r="C1234" s="8">
        <f>IFERROR(VLOOKUP(B1234,'Лист1'!$A:$L,12,FALSE),"")</f>
        <v>85890</v>
      </c>
      <c r="D1234" s="7">
        <f t="shared" si="34"/>
        <v>2863</v>
      </c>
    </row>
    <row r="1235">
      <c r="A1235" s="6">
        <v>4942.0</v>
      </c>
      <c r="B1235" s="5" t="s">
        <v>2570</v>
      </c>
      <c r="C1235" s="8">
        <f>IFERROR(VLOOKUP(B1235,'Лист1'!$A:$L,12,FALSE),"")</f>
        <v>85890</v>
      </c>
      <c r="D1235" s="7">
        <f t="shared" si="34"/>
        <v>2863</v>
      </c>
    </row>
    <row r="1236">
      <c r="A1236" s="6">
        <v>4943.0</v>
      </c>
      <c r="B1236" s="5" t="s">
        <v>2572</v>
      </c>
      <c r="C1236" s="8">
        <f>IFERROR(VLOOKUP(B1236,'Лист1'!$A:$L,12,FALSE),"")</f>
        <v>85890</v>
      </c>
      <c r="D1236" s="7">
        <f t="shared" si="34"/>
        <v>2863</v>
      </c>
    </row>
    <row r="1237">
      <c r="A1237" s="6">
        <v>4947.0</v>
      </c>
      <c r="B1237" s="5" t="s">
        <v>2573</v>
      </c>
      <c r="C1237" s="8">
        <f>C1239</f>
        <v>97390</v>
      </c>
      <c r="D1237" s="7">
        <f t="shared" si="34"/>
        <v>3246</v>
      </c>
    </row>
    <row r="1238">
      <c r="A1238" s="6">
        <v>4944.0</v>
      </c>
      <c r="B1238" s="5" t="s">
        <v>2576</v>
      </c>
      <c r="C1238" s="8">
        <f>IFERROR(VLOOKUP(B1238,'Лист1'!$A:$L,12,FALSE),"")</f>
        <v>97390</v>
      </c>
      <c r="D1238" s="7">
        <f t="shared" si="34"/>
        <v>3246</v>
      </c>
    </row>
    <row r="1239">
      <c r="A1239" s="6">
        <v>4945.0</v>
      </c>
      <c r="B1239" s="5" t="s">
        <v>2578</v>
      </c>
      <c r="C1239" s="8">
        <f>IFERROR(VLOOKUP(B1239,'Лист1'!$A:$L,12,FALSE),"")</f>
        <v>97390</v>
      </c>
      <c r="D1239" s="7">
        <f t="shared" si="34"/>
        <v>3246</v>
      </c>
    </row>
    <row r="1240">
      <c r="A1240" s="6">
        <v>4946.0</v>
      </c>
      <c r="B1240" s="5" t="s">
        <v>2580</v>
      </c>
      <c r="C1240" s="8">
        <f>IFERROR(VLOOKUP(B1240,'Лист1'!$A:$L,12,FALSE),"")</f>
        <v>97390</v>
      </c>
      <c r="D1240" s="7">
        <f t="shared" si="34"/>
        <v>3246</v>
      </c>
    </row>
    <row r="1241">
      <c r="A1241" s="6">
        <v>4957.0</v>
      </c>
      <c r="B1241" s="5" t="s">
        <v>2584</v>
      </c>
      <c r="C1241" s="8">
        <f>IFERROR(VLOOKUP(B1241,'Лист1'!$A:$L,12,FALSE),"")</f>
        <v>68890</v>
      </c>
      <c r="D1241" s="7">
        <f t="shared" si="34"/>
        <v>2296</v>
      </c>
    </row>
    <row r="1242">
      <c r="A1242" s="6">
        <v>4956.0</v>
      </c>
      <c r="B1242" s="5" t="s">
        <v>2585</v>
      </c>
      <c r="C1242" s="8">
        <f>IFERROR(VLOOKUP(B1242,'Лист1'!$A:$L,12,FALSE),"")</f>
        <v>67890</v>
      </c>
      <c r="D1242" s="7">
        <f t="shared" si="34"/>
        <v>2263</v>
      </c>
    </row>
    <row r="1243">
      <c r="A1243" s="6">
        <v>4958.0</v>
      </c>
      <c r="B1243" s="5" t="s">
        <v>2589</v>
      </c>
      <c r="C1243" s="8">
        <f>IFERROR(VLOOKUP(B1243,'Лист1'!$A:$L,12,FALSE),"")</f>
        <v>68890</v>
      </c>
      <c r="D1243" s="7">
        <f t="shared" si="34"/>
        <v>2296</v>
      </c>
    </row>
    <row r="1244">
      <c r="A1244" s="6">
        <v>4959.0</v>
      </c>
      <c r="B1244" s="5" t="s">
        <v>2591</v>
      </c>
      <c r="C1244" s="8">
        <f>IFERROR(VLOOKUP(B1244,'Лист1'!$A:$L,12,FALSE),"")</f>
        <v>67390</v>
      </c>
      <c r="D1244" s="7">
        <f t="shared" si="34"/>
        <v>2246</v>
      </c>
    </row>
    <row r="1245">
      <c r="A1245" s="6">
        <v>4960.0</v>
      </c>
      <c r="B1245" s="5" t="s">
        <v>2593</v>
      </c>
      <c r="C1245" s="8">
        <f>IFERROR(VLOOKUP(B1245,'Лист1'!$A:$L,12,FALSE),"")</f>
        <v>77390</v>
      </c>
      <c r="D1245" s="7">
        <f t="shared" si="34"/>
        <v>2580</v>
      </c>
    </row>
    <row r="1246">
      <c r="A1246" s="6">
        <v>4963.0</v>
      </c>
      <c r="B1246" s="5" t="s">
        <v>2595</v>
      </c>
      <c r="C1246" s="8">
        <f>IFERROR(VLOOKUP(B1246,'Лист1'!$A:$L,12,FALSE),"")</f>
        <v>77890</v>
      </c>
      <c r="D1246" s="7">
        <f t="shared" si="34"/>
        <v>2596</v>
      </c>
    </row>
    <row r="1247">
      <c r="A1247" s="6">
        <v>4961.0</v>
      </c>
      <c r="B1247" s="5" t="s">
        <v>2599</v>
      </c>
      <c r="C1247" s="8">
        <f>IFERROR(VLOOKUP(B1247,'Лист1'!$A:$L,12,FALSE),"")</f>
        <v>78390</v>
      </c>
      <c r="D1247" s="7">
        <f t="shared" si="34"/>
        <v>2613</v>
      </c>
    </row>
    <row r="1248">
      <c r="A1248" s="6">
        <v>4962.0</v>
      </c>
      <c r="B1248" s="5" t="s">
        <v>2601</v>
      </c>
      <c r="C1248" s="8">
        <f>IFERROR(VLOOKUP(B1248,'Лист1'!$A:$L,12,FALSE),"")</f>
        <v>76890</v>
      </c>
      <c r="D1248" s="7">
        <f t="shared" si="34"/>
        <v>2563</v>
      </c>
    </row>
    <row r="1249">
      <c r="A1249" s="6">
        <v>4976.0</v>
      </c>
      <c r="B1249" s="5" t="s">
        <v>2602</v>
      </c>
      <c r="C1249" s="8">
        <f>IFERROR(VLOOKUP(B1249,'Лист1'!$A:$L,12,FALSE),"")</f>
        <v>152390</v>
      </c>
      <c r="D1249" s="7">
        <f t="shared" si="34"/>
        <v>5080</v>
      </c>
    </row>
    <row r="1250">
      <c r="A1250" s="6">
        <v>4977.0</v>
      </c>
      <c r="B1250" s="5" t="s">
        <v>2606</v>
      </c>
      <c r="C1250" s="8">
        <f>IFERROR(VLOOKUP(B1250,'Лист1'!$A:$L,12,FALSE),"")</f>
        <v>159890</v>
      </c>
      <c r="D1250" s="7">
        <f t="shared" si="34"/>
        <v>5330</v>
      </c>
    </row>
    <row r="1251">
      <c r="A1251" s="6">
        <v>4978.0</v>
      </c>
      <c r="B1251" s="5" t="s">
        <v>2608</v>
      </c>
      <c r="C1251" s="8">
        <f>IFERROR(VLOOKUP(B1251,'Лист1'!$A:$L,12,FALSE),"")</f>
        <v>154890</v>
      </c>
      <c r="D1251" s="7">
        <f t="shared" si="34"/>
        <v>5163</v>
      </c>
    </row>
    <row r="1252">
      <c r="A1252" s="6">
        <v>4979.0</v>
      </c>
      <c r="B1252" s="5" t="s">
        <v>2614</v>
      </c>
      <c r="C1252" s="8">
        <f>IFERROR(VLOOKUP(B1252,'Лист1'!$A:$L,12,FALSE),"")</f>
        <v>155890</v>
      </c>
      <c r="D1252" s="7">
        <f t="shared" si="34"/>
        <v>5196</v>
      </c>
    </row>
    <row r="1253">
      <c r="A1253" s="6">
        <v>4972.0</v>
      </c>
      <c r="B1253" s="5" t="s">
        <v>2616</v>
      </c>
      <c r="C1253" s="8">
        <f>IFERROR(VLOOKUP(B1253,'Лист1'!$A:$L,12,FALSE),"")</f>
        <v>134390</v>
      </c>
      <c r="D1253" s="7">
        <f t="shared" si="34"/>
        <v>4480</v>
      </c>
    </row>
    <row r="1254">
      <c r="A1254" s="6">
        <v>4973.0</v>
      </c>
      <c r="B1254" s="5" t="s">
        <v>2620</v>
      </c>
      <c r="C1254" s="8">
        <f>IFERROR(VLOOKUP(B1254,'Лист1'!$A:$L,12,FALSE),"")</f>
        <v>135890</v>
      </c>
      <c r="D1254" s="7">
        <f t="shared" si="34"/>
        <v>4530</v>
      </c>
    </row>
    <row r="1255">
      <c r="A1255" s="6">
        <v>4974.0</v>
      </c>
      <c r="B1255" s="5" t="s">
        <v>2623</v>
      </c>
      <c r="C1255" s="8">
        <f>IFERROR(VLOOKUP(B1255,'Лист1'!$A:$L,12,FALSE),"")</f>
        <v>130390</v>
      </c>
      <c r="D1255" s="7">
        <f t="shared" si="34"/>
        <v>4346</v>
      </c>
    </row>
    <row r="1256">
      <c r="A1256" s="6">
        <v>4975.0</v>
      </c>
      <c r="B1256" s="5" t="s">
        <v>2624</v>
      </c>
      <c r="C1256" s="8">
        <f>IFERROR(VLOOKUP(B1256,'Лист1'!$A:$L,12,FALSE),"")</f>
        <v>134390</v>
      </c>
      <c r="D1256" s="7">
        <f t="shared" si="34"/>
        <v>4480</v>
      </c>
    </row>
    <row r="1257">
      <c r="A1257" s="6">
        <v>4983.0</v>
      </c>
      <c r="B1257" s="5" t="s">
        <v>2627</v>
      </c>
      <c r="C1257" s="8">
        <f>IFERROR(VLOOKUP(B1257,'Лист1'!$A:$L,12,FALSE),"")</f>
        <v>169390</v>
      </c>
      <c r="D1257" s="7">
        <f t="shared" si="34"/>
        <v>5646</v>
      </c>
    </row>
    <row r="1258">
      <c r="A1258" s="6">
        <v>4982.0</v>
      </c>
      <c r="B1258" s="5" t="s">
        <v>2631</v>
      </c>
      <c r="C1258" s="8">
        <f>IFERROR(VLOOKUP(B1258,'Лист1'!$A:$L,12,FALSE),"")</f>
        <v>170890</v>
      </c>
      <c r="D1258" s="7">
        <f t="shared" si="34"/>
        <v>5696</v>
      </c>
    </row>
    <row r="1259">
      <c r="A1259" s="6">
        <v>4981.0</v>
      </c>
      <c r="B1259" s="5" t="s">
        <v>2632</v>
      </c>
      <c r="C1259" s="8">
        <f>IFERROR(VLOOKUP(B1259,'Лист1'!$A:$L,12,FALSE),"")</f>
        <v>170890</v>
      </c>
      <c r="D1259" s="7">
        <f t="shared" si="34"/>
        <v>5696</v>
      </c>
    </row>
    <row r="1260">
      <c r="A1260" s="6">
        <v>4980.0</v>
      </c>
      <c r="B1260" s="5" t="s">
        <v>2637</v>
      </c>
      <c r="C1260" s="8">
        <f>IFERROR(VLOOKUP(B1260,'Лист1'!$A:$L,12,FALSE),"")</f>
        <v>170890</v>
      </c>
      <c r="D1260" s="7">
        <f t="shared" si="34"/>
        <v>5696</v>
      </c>
    </row>
    <row r="1261">
      <c r="A1261" s="6">
        <v>4987.0</v>
      </c>
      <c r="B1261" s="5" t="s">
        <v>2641</v>
      </c>
      <c r="C1261" s="8">
        <f>IFERROR(VLOOKUP(B1261,'Лист1'!$A:$L,12,FALSE),"")</f>
        <v>176890</v>
      </c>
      <c r="D1261" s="7">
        <f t="shared" si="34"/>
        <v>5896</v>
      </c>
    </row>
    <row r="1262">
      <c r="A1262" s="6">
        <v>4986.0</v>
      </c>
      <c r="B1262" s="5" t="s">
        <v>2643</v>
      </c>
      <c r="C1262" s="8">
        <f>IFERROR(VLOOKUP(B1262,'Лист1'!$A:$L,12,FALSE),"")</f>
        <v>176890</v>
      </c>
      <c r="D1262" s="7">
        <f t="shared" si="34"/>
        <v>5896</v>
      </c>
    </row>
    <row r="1263">
      <c r="A1263" s="6">
        <v>4985.0</v>
      </c>
      <c r="B1263" s="5" t="s">
        <v>2646</v>
      </c>
      <c r="C1263" s="8">
        <f>IFERROR(VLOOKUP(B1263,'Лист1'!$A:$L,12,FALSE),"")</f>
        <v>174390</v>
      </c>
      <c r="D1263" s="7">
        <f t="shared" si="34"/>
        <v>5813</v>
      </c>
    </row>
    <row r="1264">
      <c r="A1264" s="6">
        <v>4984.0</v>
      </c>
      <c r="B1264" s="5" t="s">
        <v>2647</v>
      </c>
      <c r="C1264" s="8">
        <f>IFERROR(VLOOKUP(B1264,'Лист1'!$A:$L,12,FALSE),"")</f>
        <v>176890</v>
      </c>
      <c r="D1264" s="7">
        <f t="shared" si="34"/>
        <v>5896</v>
      </c>
    </row>
    <row r="1265">
      <c r="A1265" s="6">
        <v>4995.0</v>
      </c>
      <c r="B1265" s="5" t="s">
        <v>2650</v>
      </c>
      <c r="C1265" s="8">
        <f>IFERROR(VLOOKUP(B1265,'Лист1'!$A:$L,12,FALSE),"")</f>
        <v>165890</v>
      </c>
      <c r="D1265" s="7">
        <f t="shared" si="34"/>
        <v>5530</v>
      </c>
    </row>
    <row r="1266">
      <c r="A1266" s="6">
        <v>4994.0</v>
      </c>
      <c r="B1266" s="5" t="s">
        <v>2652</v>
      </c>
      <c r="C1266" s="8">
        <f>IFERROR(VLOOKUP(B1266,'Лист1'!$A:$L,12,FALSE),"")</f>
        <v>154890</v>
      </c>
      <c r="D1266" s="7">
        <f t="shared" si="34"/>
        <v>5163</v>
      </c>
    </row>
    <row r="1267">
      <c r="A1267" s="6">
        <v>4993.0</v>
      </c>
      <c r="B1267" s="5" t="s">
        <v>2656</v>
      </c>
      <c r="C1267" s="8">
        <f>IFERROR(VLOOKUP(B1267,'Лист1'!$A:$L,12,FALSE),"")</f>
        <v>158390</v>
      </c>
      <c r="D1267" s="7">
        <f t="shared" si="34"/>
        <v>5280</v>
      </c>
    </row>
    <row r="1268">
      <c r="A1268" s="6">
        <v>4992.0</v>
      </c>
      <c r="B1268" s="5" t="s">
        <v>2660</v>
      </c>
      <c r="C1268" s="8">
        <f>IFERROR(VLOOKUP(B1268,'Лист1'!$A:$L,12,FALSE),"")</f>
        <v>165890</v>
      </c>
      <c r="D1268" s="7">
        <f t="shared" si="34"/>
        <v>5530</v>
      </c>
    </row>
    <row r="1269">
      <c r="A1269" s="6">
        <v>4991.0</v>
      </c>
      <c r="B1269" s="5" t="s">
        <v>2663</v>
      </c>
      <c r="C1269" s="8">
        <f>IFERROR(VLOOKUP(B1269,'Лист1'!$A:$L,12,FALSE),"")</f>
        <v>216390</v>
      </c>
      <c r="D1269" s="7">
        <f t="shared" si="34"/>
        <v>7213</v>
      </c>
    </row>
    <row r="1270">
      <c r="A1270" s="6">
        <v>4990.0</v>
      </c>
      <c r="B1270" s="5" t="s">
        <v>2665</v>
      </c>
      <c r="C1270" s="8">
        <f>IFERROR(VLOOKUP(B1270,'Лист1'!$A:$L,12,FALSE),"")</f>
        <v>216390</v>
      </c>
      <c r="D1270" s="7">
        <f t="shared" si="34"/>
        <v>7213</v>
      </c>
    </row>
    <row r="1271">
      <c r="A1271" s="6">
        <v>4989.0</v>
      </c>
      <c r="B1271" s="5" t="s">
        <v>2670</v>
      </c>
      <c r="C1271" s="8">
        <f>IFERROR(VLOOKUP(B1271,'Лист1'!$A:$L,12,FALSE),"")</f>
        <v>216390</v>
      </c>
      <c r="D1271" s="7">
        <f t="shared" si="34"/>
        <v>7213</v>
      </c>
    </row>
    <row r="1272">
      <c r="A1272" s="6">
        <v>4988.0</v>
      </c>
      <c r="B1272" s="5" t="s">
        <v>2675</v>
      </c>
      <c r="C1272" s="8">
        <f>IFERROR(VLOOKUP(B1272,'Лист1'!$A:$L,12,FALSE),"")</f>
        <v>216390</v>
      </c>
      <c r="D1272" s="7">
        <f t="shared" si="34"/>
        <v>7213</v>
      </c>
    </row>
    <row r="1273">
      <c r="A1273" s="6">
        <v>5003.0</v>
      </c>
      <c r="B1273" s="5" t="s">
        <v>2677</v>
      </c>
      <c r="C1273" s="8">
        <f>C1276</f>
        <v>40890</v>
      </c>
      <c r="D1273" s="7">
        <f t="shared" si="34"/>
        <v>1363</v>
      </c>
    </row>
    <row r="1274">
      <c r="A1274" s="6">
        <v>5004.0</v>
      </c>
      <c r="B1274" s="5" t="s">
        <v>2680</v>
      </c>
      <c r="C1274" s="8">
        <f>C1276</f>
        <v>40890</v>
      </c>
      <c r="D1274" s="7">
        <f t="shared" si="34"/>
        <v>1363</v>
      </c>
    </row>
    <row r="1275">
      <c r="A1275" s="6">
        <v>5005.0</v>
      </c>
      <c r="B1275" s="5" t="s">
        <v>2682</v>
      </c>
      <c r="C1275" s="2">
        <f>C1276</f>
        <v>40890</v>
      </c>
      <c r="D1275" s="7">
        <f t="shared" si="34"/>
        <v>1363</v>
      </c>
    </row>
    <row r="1276">
      <c r="A1276" s="6">
        <v>5006.0</v>
      </c>
      <c r="B1276" s="5" t="s">
        <v>2684</v>
      </c>
      <c r="C1276" s="8">
        <f>IFERROR(VLOOKUP(B1276,'Лист1'!$A:$L,12,FALSE),"")</f>
        <v>40890</v>
      </c>
      <c r="D1276" s="7">
        <f t="shared" si="34"/>
        <v>1363</v>
      </c>
    </row>
    <row r="1277">
      <c r="A1277" s="6">
        <v>5007.0</v>
      </c>
      <c r="B1277" s="5" t="s">
        <v>2689</v>
      </c>
      <c r="C1277" s="8">
        <f>C1276</f>
        <v>40890</v>
      </c>
      <c r="D1277" s="7">
        <f t="shared" si="34"/>
        <v>1363</v>
      </c>
    </row>
    <row r="1278">
      <c r="A1278" s="6">
        <v>5008.0</v>
      </c>
      <c r="B1278" s="5" t="s">
        <v>2692</v>
      </c>
      <c r="C1278" s="8">
        <f>IFERROR(VLOOKUP(B1278,'Лист1'!$A:$L,12,FALSE),"")</f>
        <v>38890</v>
      </c>
      <c r="D1278" s="7">
        <f t="shared" si="34"/>
        <v>1296</v>
      </c>
    </row>
    <row r="1279">
      <c r="A1279" s="6">
        <v>5009.0</v>
      </c>
      <c r="B1279" s="5" t="s">
        <v>2695</v>
      </c>
      <c r="C1279" s="8">
        <f>C1280</f>
        <v>45390</v>
      </c>
      <c r="D1279" s="7">
        <f t="shared" si="34"/>
        <v>1513</v>
      </c>
    </row>
    <row r="1280">
      <c r="A1280" s="6">
        <v>5010.0</v>
      </c>
      <c r="B1280" s="5" t="s">
        <v>2696</v>
      </c>
      <c r="C1280" s="8">
        <f>IFERROR(VLOOKUP(B1280,'Лист1'!$A:$L,12,FALSE),"")</f>
        <v>45390</v>
      </c>
      <c r="D1280" s="7">
        <f t="shared" si="34"/>
        <v>1513</v>
      </c>
    </row>
    <row r="1281">
      <c r="A1281" s="6">
        <v>5011.0</v>
      </c>
      <c r="B1281" s="5" t="s">
        <v>2698</v>
      </c>
      <c r="C1281" s="8">
        <f>C1284</f>
        <v>44390</v>
      </c>
      <c r="D1281" s="7">
        <f t="shared" si="34"/>
        <v>1480</v>
      </c>
    </row>
    <row r="1282">
      <c r="A1282" s="6">
        <v>5012.0</v>
      </c>
      <c r="B1282" s="5" t="s">
        <v>2703</v>
      </c>
      <c r="C1282" s="8">
        <f>C1284</f>
        <v>44390</v>
      </c>
      <c r="D1282" s="7">
        <f t="shared" si="34"/>
        <v>1480</v>
      </c>
    </row>
    <row r="1283">
      <c r="A1283" s="6">
        <v>5013.0</v>
      </c>
      <c r="B1283" s="5" t="s">
        <v>2704</v>
      </c>
      <c r="C1283" s="8">
        <f>C1284</f>
        <v>44390</v>
      </c>
      <c r="D1283" s="7">
        <f t="shared" si="34"/>
        <v>1480</v>
      </c>
    </row>
    <row r="1284">
      <c r="A1284" s="6">
        <v>5014.0</v>
      </c>
      <c r="B1284" s="5" t="s">
        <v>2707</v>
      </c>
      <c r="C1284" s="8">
        <f>IFERROR(VLOOKUP(B1284,'Лист1'!$A:$L,12,FALSE),"")</f>
        <v>44390</v>
      </c>
      <c r="D1284" s="7">
        <f t="shared" si="34"/>
        <v>1480</v>
      </c>
    </row>
    <row r="1285">
      <c r="A1285" s="6">
        <v>5015.0</v>
      </c>
      <c r="B1285" s="5" t="s">
        <v>2710</v>
      </c>
      <c r="C1285" s="8">
        <f>IFERROR(VLOOKUP(B1285,'Лист1'!$A:$L,12,FALSE),"")</f>
        <v>39890</v>
      </c>
      <c r="D1285" s="7">
        <f t="shared" si="34"/>
        <v>1330</v>
      </c>
    </row>
    <row r="1286" hidden="1">
      <c r="A1286" s="6">
        <v>5016.0</v>
      </c>
      <c r="B1286" s="5" t="s">
        <v>2713</v>
      </c>
      <c r="C1286" s="2">
        <v>1.0</v>
      </c>
      <c r="D1286" s="7"/>
    </row>
    <row r="1287" hidden="1">
      <c r="A1287" s="6">
        <v>5017.0</v>
      </c>
      <c r="B1287" s="5" t="s">
        <v>2714</v>
      </c>
      <c r="C1287" s="2">
        <v>1.0</v>
      </c>
      <c r="D1287" s="7"/>
    </row>
    <row r="1288" hidden="1">
      <c r="A1288" s="6">
        <v>5018.0</v>
      </c>
      <c r="B1288" s="5" t="s">
        <v>2715</v>
      </c>
      <c r="C1288" s="2">
        <v>1.0</v>
      </c>
      <c r="D1288" s="7"/>
    </row>
    <row r="1289">
      <c r="A1289" s="6">
        <v>5019.0</v>
      </c>
      <c r="B1289" s="5" t="s">
        <v>2716</v>
      </c>
      <c r="C1289" s="8">
        <f>IFERROR(VLOOKUP(B1289,'Лист1'!$A:$L,12,FALSE),"")</f>
        <v>39890</v>
      </c>
      <c r="D1289" s="7">
        <f t="shared" ref="D1289:D1303" si="35">ROUND((C1289*1.2)/36,0)</f>
        <v>1330</v>
      </c>
    </row>
    <row r="1290">
      <c r="A1290" s="6">
        <v>5147.0</v>
      </c>
      <c r="B1290" s="5" t="s">
        <v>2719</v>
      </c>
      <c r="C1290" s="8">
        <f>C1299</f>
        <v>41890</v>
      </c>
      <c r="D1290" s="7">
        <f t="shared" si="35"/>
        <v>1396</v>
      </c>
    </row>
    <row r="1291">
      <c r="A1291" s="6">
        <v>5148.0</v>
      </c>
      <c r="B1291" s="5" t="s">
        <v>2721</v>
      </c>
      <c r="C1291" s="8">
        <f>C1299</f>
        <v>41890</v>
      </c>
      <c r="D1291" s="7">
        <f t="shared" si="35"/>
        <v>1396</v>
      </c>
    </row>
    <row r="1292">
      <c r="A1292" s="6">
        <v>5149.0</v>
      </c>
      <c r="B1292" s="5" t="s">
        <v>2724</v>
      </c>
      <c r="C1292" s="8">
        <f>C1299</f>
        <v>41890</v>
      </c>
      <c r="D1292" s="7">
        <f t="shared" si="35"/>
        <v>1396</v>
      </c>
    </row>
    <row r="1293">
      <c r="A1293" s="6">
        <v>5150.0</v>
      </c>
      <c r="B1293" s="5" t="s">
        <v>2726</v>
      </c>
      <c r="C1293" s="8">
        <f>C1299</f>
        <v>41890</v>
      </c>
      <c r="D1293" s="7">
        <f t="shared" si="35"/>
        <v>1396</v>
      </c>
    </row>
    <row r="1294">
      <c r="A1294" s="6">
        <v>5151.0</v>
      </c>
      <c r="B1294" s="5" t="s">
        <v>2729</v>
      </c>
      <c r="C1294" s="8">
        <f>C1299</f>
        <v>41890</v>
      </c>
      <c r="D1294" s="7">
        <f t="shared" si="35"/>
        <v>1396</v>
      </c>
    </row>
    <row r="1295">
      <c r="A1295" s="6">
        <v>5152.0</v>
      </c>
      <c r="B1295" s="5" t="s">
        <v>2731</v>
      </c>
      <c r="C1295" s="8">
        <f>C1299</f>
        <v>41890</v>
      </c>
      <c r="D1295" s="7">
        <f t="shared" si="35"/>
        <v>1396</v>
      </c>
    </row>
    <row r="1296">
      <c r="A1296" s="6">
        <v>5153.0</v>
      </c>
      <c r="B1296" s="5" t="s">
        <v>2735</v>
      </c>
      <c r="C1296" s="8">
        <f>C1299</f>
        <v>41890</v>
      </c>
      <c r="D1296" s="7">
        <f t="shared" si="35"/>
        <v>1396</v>
      </c>
    </row>
    <row r="1297">
      <c r="A1297" s="6">
        <v>5154.0</v>
      </c>
      <c r="B1297" s="5" t="s">
        <v>2737</v>
      </c>
      <c r="C1297" s="8">
        <f>C1299</f>
        <v>41890</v>
      </c>
      <c r="D1297" s="7">
        <f t="shared" si="35"/>
        <v>1396</v>
      </c>
    </row>
    <row r="1298">
      <c r="A1298" s="6">
        <v>5155.0</v>
      </c>
      <c r="B1298" s="5" t="s">
        <v>2739</v>
      </c>
      <c r="C1298" s="8">
        <f>C1299</f>
        <v>41890</v>
      </c>
      <c r="D1298" s="7">
        <f t="shared" si="35"/>
        <v>1396</v>
      </c>
    </row>
    <row r="1299">
      <c r="A1299" s="6">
        <v>5156.0</v>
      </c>
      <c r="B1299" s="5" t="s">
        <v>2744</v>
      </c>
      <c r="C1299" s="8">
        <f>IFERROR(VLOOKUP(B1299,'Лист1'!$A:$L,12,FALSE),"")</f>
        <v>41890</v>
      </c>
      <c r="D1299" s="7">
        <f t="shared" si="35"/>
        <v>1396</v>
      </c>
    </row>
    <row r="1300">
      <c r="A1300" s="6">
        <v>5157.0</v>
      </c>
      <c r="B1300" s="5" t="s">
        <v>2747</v>
      </c>
      <c r="C1300" s="8">
        <f>C1299</f>
        <v>41890</v>
      </c>
      <c r="D1300" s="7">
        <f t="shared" si="35"/>
        <v>1396</v>
      </c>
    </row>
    <row r="1301">
      <c r="A1301" s="6">
        <v>5158.0</v>
      </c>
      <c r="B1301" s="5" t="s">
        <v>2748</v>
      </c>
      <c r="C1301" s="8">
        <f>C1299</f>
        <v>41890</v>
      </c>
      <c r="D1301" s="7">
        <f t="shared" si="35"/>
        <v>1396</v>
      </c>
    </row>
    <row r="1302">
      <c r="A1302" s="6">
        <v>5159.0</v>
      </c>
      <c r="B1302" s="5" t="s">
        <v>2749</v>
      </c>
      <c r="C1302" s="8">
        <f>C1299</f>
        <v>41890</v>
      </c>
      <c r="D1302" s="7">
        <f t="shared" si="35"/>
        <v>1396</v>
      </c>
    </row>
    <row r="1303">
      <c r="A1303" s="6">
        <v>5160.0</v>
      </c>
      <c r="B1303" s="5" t="s">
        <v>2754</v>
      </c>
      <c r="C1303" s="8">
        <f>C1299</f>
        <v>41890</v>
      </c>
      <c r="D1303" s="7">
        <f t="shared" si="35"/>
        <v>1396</v>
      </c>
    </row>
    <row r="1304" hidden="1">
      <c r="A1304" s="6">
        <v>5161.0</v>
      </c>
      <c r="B1304" s="5" t="s">
        <v>2755</v>
      </c>
      <c r="C1304" s="2">
        <v>1.0</v>
      </c>
      <c r="D1304" s="7"/>
    </row>
    <row r="1305">
      <c r="A1305" s="6">
        <v>5240.0</v>
      </c>
      <c r="B1305" s="5" t="s">
        <v>948</v>
      </c>
      <c r="C1305" s="8">
        <f>IFERROR(VLOOKUP(B1305,'Лист1'!$A:$L,12,FALSE),"")</f>
        <v>50000</v>
      </c>
      <c r="D1305" s="7">
        <f t="shared" ref="D1305:D1376" si="36">ROUND((C1305*1.2)/36,0)</f>
        <v>1667</v>
      </c>
    </row>
    <row r="1306">
      <c r="A1306" s="6">
        <v>5242.0</v>
      </c>
      <c r="B1306" s="5" t="s">
        <v>34</v>
      </c>
      <c r="C1306" s="8">
        <f>IFERROR(VLOOKUP(B1306,'Лист1'!$A:$L,12,FALSE),"")</f>
        <v>50000</v>
      </c>
      <c r="D1306" s="7">
        <f t="shared" si="36"/>
        <v>1667</v>
      </c>
    </row>
    <row r="1307">
      <c r="A1307" s="6">
        <v>5243.0</v>
      </c>
      <c r="B1307" s="5" t="s">
        <v>953</v>
      </c>
      <c r="C1307" s="8">
        <f>IFERROR(VLOOKUP(B1307,'Лист1'!$A:$L,12,FALSE),"")</f>
        <v>50000</v>
      </c>
      <c r="D1307" s="7">
        <f t="shared" si="36"/>
        <v>1667</v>
      </c>
    </row>
    <row r="1308">
      <c r="A1308" s="6">
        <v>5244.0</v>
      </c>
      <c r="B1308" s="5" t="s">
        <v>954</v>
      </c>
      <c r="C1308" s="8">
        <f>IFERROR(VLOOKUP(B1308,'Лист1'!$A:$L,12,FALSE),"")</f>
        <v>50000</v>
      </c>
      <c r="D1308" s="7">
        <f t="shared" si="36"/>
        <v>1667</v>
      </c>
    </row>
    <row r="1309">
      <c r="A1309" s="6">
        <v>5245.0</v>
      </c>
      <c r="B1309" s="5" t="s">
        <v>91</v>
      </c>
      <c r="C1309" s="8">
        <f>IFERROR(VLOOKUP(B1309,'Лист1'!$A:$L,12,FALSE),"")</f>
        <v>50000</v>
      </c>
      <c r="D1309" s="7">
        <f t="shared" si="36"/>
        <v>1667</v>
      </c>
    </row>
    <row r="1310">
      <c r="A1310" s="6">
        <v>5246.0</v>
      </c>
      <c r="B1310" s="5" t="s">
        <v>957</v>
      </c>
      <c r="C1310" s="8">
        <f>IFERROR(VLOOKUP(B1310,'Лист1'!$A:$L,12,FALSE),"")</f>
        <v>50000</v>
      </c>
      <c r="D1310" s="7">
        <f t="shared" si="36"/>
        <v>1667</v>
      </c>
    </row>
    <row r="1311">
      <c r="A1311" s="6">
        <v>5247.0</v>
      </c>
      <c r="B1311" s="5" t="s">
        <v>960</v>
      </c>
      <c r="C1311" s="8">
        <f>IFERROR(VLOOKUP(B1311,'Лист1'!$A:$L,12,FALSE),"")</f>
        <v>50000</v>
      </c>
      <c r="D1311" s="7">
        <f t="shared" si="36"/>
        <v>1667</v>
      </c>
    </row>
    <row r="1312">
      <c r="A1312" s="6">
        <v>5248.0</v>
      </c>
      <c r="B1312" s="5" t="s">
        <v>961</v>
      </c>
      <c r="C1312" s="8">
        <f>IFERROR(VLOOKUP(B1312,'Лист1'!$A:$L,12,FALSE),"")</f>
        <v>50000</v>
      </c>
      <c r="D1312" s="7">
        <f t="shared" si="36"/>
        <v>1667</v>
      </c>
    </row>
    <row r="1313">
      <c r="A1313" s="6">
        <v>5249.0</v>
      </c>
      <c r="B1313" s="5" t="s">
        <v>966</v>
      </c>
      <c r="C1313" s="8">
        <f>IFERROR(VLOOKUP(B1313,'Лист1'!$A:$L,12,FALSE),"")</f>
        <v>50000</v>
      </c>
      <c r="D1313" s="7">
        <f t="shared" si="36"/>
        <v>1667</v>
      </c>
    </row>
    <row r="1314">
      <c r="A1314" s="6">
        <v>5250.0</v>
      </c>
      <c r="B1314" s="5" t="s">
        <v>969</v>
      </c>
      <c r="C1314" s="8">
        <f>IFERROR(VLOOKUP(B1314,'Лист1'!$A:$L,12,FALSE),"")</f>
        <v>50000</v>
      </c>
      <c r="D1314" s="7">
        <f t="shared" si="36"/>
        <v>1667</v>
      </c>
    </row>
    <row r="1315">
      <c r="A1315" s="6">
        <v>5251.0</v>
      </c>
      <c r="B1315" s="5" t="s">
        <v>974</v>
      </c>
      <c r="C1315" s="8">
        <f>IFERROR(VLOOKUP(B1315,'Лист1'!$A:$L,12,FALSE),"")</f>
        <v>50000</v>
      </c>
      <c r="D1315" s="7">
        <f t="shared" si="36"/>
        <v>1667</v>
      </c>
    </row>
    <row r="1316">
      <c r="A1316" s="6">
        <v>5252.0</v>
      </c>
      <c r="B1316" s="5" t="s">
        <v>979</v>
      </c>
      <c r="C1316" s="8">
        <f>IFERROR(VLOOKUP(B1316,'Лист1'!$A:$L,12,FALSE),"")</f>
        <v>50000</v>
      </c>
      <c r="D1316" s="7">
        <f t="shared" si="36"/>
        <v>1667</v>
      </c>
    </row>
    <row r="1317">
      <c r="A1317" s="6">
        <v>5253.0</v>
      </c>
      <c r="B1317" s="5" t="s">
        <v>981</v>
      </c>
      <c r="C1317" s="8">
        <f>IFERROR(VLOOKUP(B1317,'Лист1'!$A:$L,12,FALSE),"")</f>
        <v>50000</v>
      </c>
      <c r="D1317" s="7">
        <f t="shared" si="36"/>
        <v>1667</v>
      </c>
    </row>
    <row r="1318">
      <c r="A1318" s="6">
        <v>5254.0</v>
      </c>
      <c r="B1318" s="5" t="s">
        <v>987</v>
      </c>
      <c r="C1318" s="8">
        <f>IFERROR(VLOOKUP(B1318,'Лист1'!$A:$L,12,FALSE),"")</f>
        <v>50000</v>
      </c>
      <c r="D1318" s="7">
        <f t="shared" si="36"/>
        <v>1667</v>
      </c>
    </row>
    <row r="1319">
      <c r="A1319" s="6">
        <v>5255.0</v>
      </c>
      <c r="B1319" s="5" t="s">
        <v>991</v>
      </c>
      <c r="C1319" s="8">
        <f>IFERROR(VLOOKUP(B1319,'Лист1'!$A:$L,12,FALSE),"")</f>
        <v>50000</v>
      </c>
      <c r="D1319" s="7">
        <f t="shared" si="36"/>
        <v>1667</v>
      </c>
    </row>
    <row r="1320">
      <c r="A1320" s="6">
        <v>5256.0</v>
      </c>
      <c r="B1320" s="5" t="s">
        <v>995</v>
      </c>
      <c r="C1320" s="8">
        <f>IFERROR(VLOOKUP(B1320,'Лист1'!$A:$L,12,FALSE),"")</f>
        <v>50000</v>
      </c>
      <c r="D1320" s="7">
        <f t="shared" si="36"/>
        <v>1667</v>
      </c>
    </row>
    <row r="1321">
      <c r="A1321" s="6">
        <v>5265.0</v>
      </c>
      <c r="B1321" s="5" t="s">
        <v>997</v>
      </c>
      <c r="C1321" s="8">
        <f>IFERROR(VLOOKUP(B1321,'Лист1'!$A:$L,12,FALSE),"")</f>
        <v>50000</v>
      </c>
      <c r="D1321" s="7">
        <f t="shared" si="36"/>
        <v>1667</v>
      </c>
    </row>
    <row r="1322">
      <c r="A1322" s="6">
        <v>5266.0</v>
      </c>
      <c r="B1322" s="5" t="s">
        <v>998</v>
      </c>
      <c r="C1322" s="8">
        <f>IFERROR(VLOOKUP(B1322,'Лист1'!$A:$L,12,FALSE),"")</f>
        <v>50000</v>
      </c>
      <c r="D1322" s="7">
        <f t="shared" si="36"/>
        <v>1667</v>
      </c>
    </row>
    <row r="1323">
      <c r="A1323" s="6">
        <v>5267.0</v>
      </c>
      <c r="B1323" s="5" t="s">
        <v>1003</v>
      </c>
      <c r="C1323" s="8">
        <f>IFERROR(VLOOKUP(B1323,'Лист1'!$A:$L,12,FALSE),"")</f>
        <v>50000</v>
      </c>
      <c r="D1323" s="7">
        <f t="shared" si="36"/>
        <v>1667</v>
      </c>
    </row>
    <row r="1324">
      <c r="A1324" s="6">
        <v>5268.0</v>
      </c>
      <c r="B1324" s="5" t="s">
        <v>1005</v>
      </c>
      <c r="C1324" s="8">
        <f>IFERROR(VLOOKUP(B1324,'Лист1'!$A:$L,12,FALSE),"")</f>
        <v>50000</v>
      </c>
      <c r="D1324" s="7">
        <f t="shared" si="36"/>
        <v>1667</v>
      </c>
    </row>
    <row r="1325">
      <c r="A1325" s="6">
        <v>5269.0</v>
      </c>
      <c r="B1325" s="5" t="s">
        <v>1006</v>
      </c>
      <c r="C1325" s="8">
        <f>IFERROR(VLOOKUP(B1325,'Лист1'!$A:$L,12,FALSE),"")</f>
        <v>50000</v>
      </c>
      <c r="D1325" s="7">
        <f t="shared" si="36"/>
        <v>1667</v>
      </c>
    </row>
    <row r="1326">
      <c r="A1326" s="6">
        <v>5270.0</v>
      </c>
      <c r="B1326" s="5" t="s">
        <v>1008</v>
      </c>
      <c r="C1326" s="8">
        <f>IFERROR(VLOOKUP(B1326,'Лист1'!$A:$L,12,FALSE),"")</f>
        <v>50000</v>
      </c>
      <c r="D1326" s="7">
        <f t="shared" si="36"/>
        <v>1667</v>
      </c>
    </row>
    <row r="1327">
      <c r="A1327" s="6">
        <v>5271.0</v>
      </c>
      <c r="B1327" s="5" t="s">
        <v>1013</v>
      </c>
      <c r="C1327" s="8">
        <f>IFERROR(VLOOKUP(B1327,'Лист1'!$A:$L,12,FALSE),"")</f>
        <v>50000</v>
      </c>
      <c r="D1327" s="7">
        <f t="shared" si="36"/>
        <v>1667</v>
      </c>
    </row>
    <row r="1328">
      <c r="A1328" s="6">
        <v>5272.0</v>
      </c>
      <c r="B1328" s="5" t="s">
        <v>1015</v>
      </c>
      <c r="C1328" s="8">
        <f>IFERROR(VLOOKUP(B1328,'Лист1'!$A:$L,12,FALSE),"")</f>
        <v>50000</v>
      </c>
      <c r="D1328" s="7">
        <f t="shared" si="36"/>
        <v>1667</v>
      </c>
    </row>
    <row r="1329">
      <c r="A1329" s="6">
        <v>5257.0</v>
      </c>
      <c r="B1329" s="5" t="s">
        <v>1020</v>
      </c>
      <c r="C1329" s="8">
        <f>IFERROR(VLOOKUP(B1329,'Лист1'!$A:$L,12,FALSE),"")</f>
        <v>50000</v>
      </c>
      <c r="D1329" s="7">
        <f t="shared" si="36"/>
        <v>1667</v>
      </c>
    </row>
    <row r="1330">
      <c r="A1330" s="6">
        <v>5258.0</v>
      </c>
      <c r="B1330" s="5" t="s">
        <v>1026</v>
      </c>
      <c r="C1330" s="8">
        <f>IFERROR(VLOOKUP(B1330,'Лист1'!$A:$L,12,FALSE),"")</f>
        <v>50000</v>
      </c>
      <c r="D1330" s="7">
        <f t="shared" si="36"/>
        <v>1667</v>
      </c>
    </row>
    <row r="1331">
      <c r="A1331" s="6">
        <v>5259.0</v>
      </c>
      <c r="B1331" s="5" t="s">
        <v>1029</v>
      </c>
      <c r="C1331" s="8">
        <f>IFERROR(VLOOKUP(B1331,'Лист1'!$A:$L,12,FALSE),"")</f>
        <v>50000</v>
      </c>
      <c r="D1331" s="7">
        <f t="shared" si="36"/>
        <v>1667</v>
      </c>
    </row>
    <row r="1332">
      <c r="A1332" s="6">
        <v>5260.0</v>
      </c>
      <c r="B1332" s="5" t="s">
        <v>1033</v>
      </c>
      <c r="C1332" s="8">
        <f>IFERROR(VLOOKUP(B1332,'Лист1'!$A:$L,12,FALSE),"")</f>
        <v>50000</v>
      </c>
      <c r="D1332" s="7">
        <f t="shared" si="36"/>
        <v>1667</v>
      </c>
    </row>
    <row r="1333">
      <c r="A1333" s="6">
        <v>5261.0</v>
      </c>
      <c r="B1333" s="5" t="s">
        <v>1039</v>
      </c>
      <c r="C1333" s="8">
        <f>IFERROR(VLOOKUP(B1333,'Лист1'!$A:$L,12,FALSE),"")</f>
        <v>50000</v>
      </c>
      <c r="D1333" s="7">
        <f t="shared" si="36"/>
        <v>1667</v>
      </c>
    </row>
    <row r="1334">
      <c r="A1334" s="6">
        <v>5262.0</v>
      </c>
      <c r="B1334" s="5" t="s">
        <v>1043</v>
      </c>
      <c r="C1334" s="8">
        <f>IFERROR(VLOOKUP(B1334,'Лист1'!$A:$L,12,FALSE),"")</f>
        <v>50000</v>
      </c>
      <c r="D1334" s="7">
        <f t="shared" si="36"/>
        <v>1667</v>
      </c>
    </row>
    <row r="1335">
      <c r="A1335" s="6">
        <v>5263.0</v>
      </c>
      <c r="B1335" s="5" t="s">
        <v>1049</v>
      </c>
      <c r="C1335" s="8">
        <f>IFERROR(VLOOKUP(B1335,'Лист1'!$A:$L,12,FALSE),"")</f>
        <v>50000</v>
      </c>
      <c r="D1335" s="7">
        <f t="shared" si="36"/>
        <v>1667</v>
      </c>
    </row>
    <row r="1336">
      <c r="A1336" s="6">
        <v>5264.0</v>
      </c>
      <c r="B1336" s="5" t="s">
        <v>1054</v>
      </c>
      <c r="C1336" s="8">
        <f>IFERROR(VLOOKUP(B1336,'Лист1'!$A:$L,12,FALSE),"")</f>
        <v>50000</v>
      </c>
      <c r="D1336" s="7">
        <f t="shared" si="36"/>
        <v>1667</v>
      </c>
    </row>
    <row r="1337">
      <c r="A1337" s="6">
        <v>5297.0</v>
      </c>
      <c r="B1337" s="5" t="s">
        <v>74</v>
      </c>
      <c r="C1337" s="8">
        <f>IFERROR(VLOOKUP(B1337,'Лист1'!$A:$L,12,FALSE),"")</f>
        <v>50000</v>
      </c>
      <c r="D1337" s="7">
        <f t="shared" si="36"/>
        <v>1667</v>
      </c>
    </row>
    <row r="1338">
      <c r="A1338" s="6">
        <v>5298.0</v>
      </c>
      <c r="B1338" s="5" t="s">
        <v>66</v>
      </c>
      <c r="C1338" s="8">
        <f>IFERROR(VLOOKUP(B1338,'Лист1'!$A:$L,12,FALSE),"")</f>
        <v>50000</v>
      </c>
      <c r="D1338" s="7">
        <f t="shared" si="36"/>
        <v>1667</v>
      </c>
    </row>
    <row r="1339">
      <c r="A1339" s="6">
        <v>5299.0</v>
      </c>
      <c r="B1339" s="5" t="s">
        <v>1063</v>
      </c>
      <c r="C1339" s="8">
        <f>IFERROR(VLOOKUP(B1339,'Лист1'!$A:$L,12,FALSE),"")</f>
        <v>50000</v>
      </c>
      <c r="D1339" s="7">
        <f t="shared" si="36"/>
        <v>1667</v>
      </c>
    </row>
    <row r="1340">
      <c r="A1340" s="6">
        <v>5300.0</v>
      </c>
      <c r="B1340" s="5" t="s">
        <v>1064</v>
      </c>
      <c r="C1340" s="8">
        <f>IFERROR(VLOOKUP(B1340,'Лист1'!$A:$L,12,FALSE),"")</f>
        <v>50000</v>
      </c>
      <c r="D1340" s="7">
        <f t="shared" si="36"/>
        <v>1667</v>
      </c>
    </row>
    <row r="1341">
      <c r="A1341" s="6">
        <v>5301.0</v>
      </c>
      <c r="B1341" s="5" t="s">
        <v>69</v>
      </c>
      <c r="C1341" s="8">
        <f>IFERROR(VLOOKUP(B1341,'Лист1'!$A:$L,12,FALSE),"")</f>
        <v>50000</v>
      </c>
      <c r="D1341" s="7">
        <f t="shared" si="36"/>
        <v>1667</v>
      </c>
    </row>
    <row r="1342">
      <c r="A1342" s="6">
        <v>5302.0</v>
      </c>
      <c r="B1342" s="5" t="s">
        <v>64</v>
      </c>
      <c r="C1342" s="8">
        <f>IFERROR(VLOOKUP(B1342,'Лист1'!$A:$L,12,FALSE),"")</f>
        <v>50000</v>
      </c>
      <c r="D1342" s="7">
        <f t="shared" si="36"/>
        <v>1667</v>
      </c>
    </row>
    <row r="1343">
      <c r="A1343" s="6">
        <v>5303.0</v>
      </c>
      <c r="B1343" s="5" t="s">
        <v>1070</v>
      </c>
      <c r="C1343" s="8">
        <f>IFERROR(VLOOKUP(B1343,'Лист1'!$A:$L,12,FALSE),"")</f>
        <v>50000</v>
      </c>
      <c r="D1343" s="7">
        <f t="shared" si="36"/>
        <v>1667</v>
      </c>
    </row>
    <row r="1344">
      <c r="A1344" s="6">
        <v>5304.0</v>
      </c>
      <c r="B1344" s="5" t="s">
        <v>1074</v>
      </c>
      <c r="C1344" s="8">
        <f>IFERROR(VLOOKUP(B1344,'Лист1'!$A:$L,12,FALSE),"")</f>
        <v>50000</v>
      </c>
      <c r="D1344" s="7">
        <f t="shared" si="36"/>
        <v>1667</v>
      </c>
    </row>
    <row r="1345">
      <c r="A1345" s="6">
        <v>5289.0</v>
      </c>
      <c r="B1345" s="5" t="s">
        <v>1078</v>
      </c>
      <c r="C1345" s="8">
        <f>IFERROR(VLOOKUP(B1345,'Лист1'!$A:$L,12,FALSE),"")</f>
        <v>50000</v>
      </c>
      <c r="D1345" s="7">
        <f t="shared" si="36"/>
        <v>1667</v>
      </c>
    </row>
    <row r="1346">
      <c r="A1346" s="6">
        <v>5290.0</v>
      </c>
      <c r="B1346" s="5" t="s">
        <v>1084</v>
      </c>
      <c r="C1346" s="8">
        <f>IFERROR(VLOOKUP(B1346,'Лист1'!$A:$L,12,FALSE),"")</f>
        <v>50000</v>
      </c>
      <c r="D1346" s="7">
        <f t="shared" si="36"/>
        <v>1667</v>
      </c>
    </row>
    <row r="1347">
      <c r="A1347" s="6">
        <v>5291.0</v>
      </c>
      <c r="B1347" s="5" t="s">
        <v>1088</v>
      </c>
      <c r="C1347" s="8">
        <f>IFERROR(VLOOKUP(B1347,'Лист1'!$A:$L,12,FALSE),"")</f>
        <v>50000</v>
      </c>
      <c r="D1347" s="7">
        <f t="shared" si="36"/>
        <v>1667</v>
      </c>
    </row>
    <row r="1348">
      <c r="A1348" s="6">
        <v>5292.0</v>
      </c>
      <c r="B1348" s="5" t="s">
        <v>1092</v>
      </c>
      <c r="C1348" s="8">
        <f>IFERROR(VLOOKUP(B1348,'Лист1'!$A:$L,12,FALSE),"")</f>
        <v>50000</v>
      </c>
      <c r="D1348" s="7">
        <f t="shared" si="36"/>
        <v>1667</v>
      </c>
    </row>
    <row r="1349">
      <c r="A1349" s="6">
        <v>5293.0</v>
      </c>
      <c r="B1349" s="5" t="s">
        <v>1096</v>
      </c>
      <c r="C1349" s="8">
        <f>IFERROR(VLOOKUP(B1349,'Лист1'!$A:$L,12,FALSE),"")</f>
        <v>1</v>
      </c>
      <c r="D1349" s="7">
        <f t="shared" si="36"/>
        <v>0</v>
      </c>
    </row>
    <row r="1350">
      <c r="A1350" s="6">
        <v>5294.0</v>
      </c>
      <c r="B1350" s="5" t="s">
        <v>1102</v>
      </c>
      <c r="C1350" s="8">
        <f>IFERROR(VLOOKUP(B1350,'Лист1'!$A:$L,12,FALSE),"")</f>
        <v>50000</v>
      </c>
      <c r="D1350" s="7">
        <f t="shared" si="36"/>
        <v>1667</v>
      </c>
    </row>
    <row r="1351">
      <c r="A1351" s="6">
        <v>5295.0</v>
      </c>
      <c r="B1351" s="5" t="s">
        <v>1106</v>
      </c>
      <c r="C1351" s="8">
        <f>IFERROR(VLOOKUP(B1351,'Лист1'!$A:$L,12,FALSE),"")</f>
        <v>50000</v>
      </c>
      <c r="D1351" s="7">
        <f t="shared" si="36"/>
        <v>1667</v>
      </c>
    </row>
    <row r="1352">
      <c r="A1352" s="6">
        <v>5296.0</v>
      </c>
      <c r="B1352" s="5" t="s">
        <v>1110</v>
      </c>
      <c r="C1352" s="8">
        <f>IFERROR(VLOOKUP(B1352,'Лист1'!$A:$L,12,FALSE),"")</f>
        <v>50000</v>
      </c>
      <c r="D1352" s="7">
        <f t="shared" si="36"/>
        <v>1667</v>
      </c>
    </row>
    <row r="1353">
      <c r="A1353" s="6">
        <v>5273.0</v>
      </c>
      <c r="B1353" s="5" t="s">
        <v>1111</v>
      </c>
      <c r="C1353" s="8">
        <f>IFERROR(VLOOKUP(B1353,'Лист1'!$A:$L,12,FALSE),"")</f>
        <v>50000</v>
      </c>
      <c r="D1353" s="7">
        <f t="shared" si="36"/>
        <v>1667</v>
      </c>
    </row>
    <row r="1354">
      <c r="A1354" s="6">
        <v>5274.0</v>
      </c>
      <c r="B1354" s="5" t="s">
        <v>1113</v>
      </c>
      <c r="C1354" s="8">
        <f>IFERROR(VLOOKUP(B1354,'Лист1'!$A:$L,12,FALSE),"")</f>
        <v>50000</v>
      </c>
      <c r="D1354" s="7">
        <f t="shared" si="36"/>
        <v>1667</v>
      </c>
    </row>
    <row r="1355">
      <c r="A1355" s="6">
        <v>5275.0</v>
      </c>
      <c r="B1355" s="5" t="s">
        <v>1117</v>
      </c>
      <c r="C1355" s="8">
        <f>IFERROR(VLOOKUP(B1355,'Лист1'!$A:$L,12,FALSE),"")</f>
        <v>50000</v>
      </c>
      <c r="D1355" s="7">
        <f t="shared" si="36"/>
        <v>1667</v>
      </c>
    </row>
    <row r="1356">
      <c r="A1356" s="6">
        <v>5276.0</v>
      </c>
      <c r="B1356" s="5" t="s">
        <v>1121</v>
      </c>
      <c r="C1356" s="8">
        <f>IFERROR(VLOOKUP(B1356,'Лист1'!$A:$L,12,FALSE),"")</f>
        <v>50000</v>
      </c>
      <c r="D1356" s="7">
        <f t="shared" si="36"/>
        <v>1667</v>
      </c>
    </row>
    <row r="1357">
      <c r="A1357" s="6">
        <v>5277.0</v>
      </c>
      <c r="B1357" s="5" t="s">
        <v>1123</v>
      </c>
      <c r="C1357" s="8">
        <f>IFERROR(VLOOKUP(B1357,'Лист1'!$A:$L,12,FALSE),"")</f>
        <v>50000</v>
      </c>
      <c r="D1357" s="7">
        <f t="shared" si="36"/>
        <v>1667</v>
      </c>
    </row>
    <row r="1358">
      <c r="A1358" s="6">
        <v>5278.0</v>
      </c>
      <c r="B1358" s="5" t="s">
        <v>1125</v>
      </c>
      <c r="C1358" s="8">
        <f>IFERROR(VLOOKUP(B1358,'Лист1'!$A:$L,12,FALSE),"")</f>
        <v>50000</v>
      </c>
      <c r="D1358" s="7">
        <f t="shared" si="36"/>
        <v>1667</v>
      </c>
    </row>
    <row r="1359">
      <c r="A1359" s="6">
        <v>5279.0</v>
      </c>
      <c r="B1359" s="5" t="s">
        <v>1129</v>
      </c>
      <c r="C1359" s="8">
        <f>IFERROR(VLOOKUP(B1359,'Лист1'!$A:$L,12,FALSE),"")</f>
        <v>50000</v>
      </c>
      <c r="D1359" s="7">
        <f t="shared" si="36"/>
        <v>1667</v>
      </c>
    </row>
    <row r="1360">
      <c r="A1360" s="6">
        <v>5280.0</v>
      </c>
      <c r="B1360" s="5" t="s">
        <v>1132</v>
      </c>
      <c r="C1360" s="8">
        <f>IFERROR(VLOOKUP(B1360,'Лист1'!$A:$L,12,FALSE),"")</f>
        <v>50000</v>
      </c>
      <c r="D1360" s="7">
        <f t="shared" si="36"/>
        <v>1667</v>
      </c>
    </row>
    <row r="1361">
      <c r="A1361" s="6">
        <v>5281.0</v>
      </c>
      <c r="B1361" s="5" t="s">
        <v>1138</v>
      </c>
      <c r="C1361" s="8">
        <f>IFERROR(VLOOKUP(B1361,'Лист1'!$A:$L,12,FALSE),"")</f>
        <v>50000</v>
      </c>
      <c r="D1361" s="7">
        <f t="shared" si="36"/>
        <v>1667</v>
      </c>
    </row>
    <row r="1362">
      <c r="A1362" s="6">
        <v>5282.0</v>
      </c>
      <c r="B1362" s="5" t="s">
        <v>1145</v>
      </c>
      <c r="C1362" s="8">
        <f>IFERROR(VLOOKUP(B1362,'Лист1'!$A:$L,12,FALSE),"")</f>
        <v>50000</v>
      </c>
      <c r="D1362" s="7">
        <f t="shared" si="36"/>
        <v>1667</v>
      </c>
    </row>
    <row r="1363">
      <c r="A1363" s="6">
        <v>5283.0</v>
      </c>
      <c r="B1363" s="5" t="s">
        <v>1149</v>
      </c>
      <c r="C1363" s="8">
        <f>IFERROR(VLOOKUP(B1363,'Лист1'!$A:$L,12,FALSE),"")</f>
        <v>50000</v>
      </c>
      <c r="D1363" s="7">
        <f t="shared" si="36"/>
        <v>1667</v>
      </c>
    </row>
    <row r="1364">
      <c r="A1364" s="6">
        <v>5284.0</v>
      </c>
      <c r="B1364" s="5" t="s">
        <v>1152</v>
      </c>
      <c r="C1364" s="8">
        <f>IFERROR(VLOOKUP(B1364,'Лист1'!$A:$L,12,FALSE),"")</f>
        <v>50000</v>
      </c>
      <c r="D1364" s="7">
        <f t="shared" si="36"/>
        <v>1667</v>
      </c>
    </row>
    <row r="1365">
      <c r="A1365" s="6">
        <v>5285.0</v>
      </c>
      <c r="B1365" s="5" t="s">
        <v>1157</v>
      </c>
      <c r="C1365" s="8">
        <f>IFERROR(VLOOKUP(B1365,'Лист1'!$A:$L,12,FALSE),"")</f>
        <v>50000</v>
      </c>
      <c r="D1365" s="7">
        <f t="shared" si="36"/>
        <v>1667</v>
      </c>
    </row>
    <row r="1366">
      <c r="A1366" s="6">
        <v>5286.0</v>
      </c>
      <c r="B1366" s="5" t="s">
        <v>1159</v>
      </c>
      <c r="C1366" s="8">
        <f>IFERROR(VLOOKUP(B1366,'Лист1'!$A:$L,12,FALSE),"")</f>
        <v>50000</v>
      </c>
      <c r="D1366" s="7">
        <f t="shared" si="36"/>
        <v>1667</v>
      </c>
    </row>
    <row r="1367">
      <c r="A1367" s="6">
        <v>5287.0</v>
      </c>
      <c r="B1367" s="5" t="s">
        <v>1163</v>
      </c>
      <c r="C1367" s="8">
        <f>IFERROR(VLOOKUP(B1367,'Лист1'!$A:$L,12,FALSE),"")</f>
        <v>50000</v>
      </c>
      <c r="D1367" s="7">
        <f t="shared" si="36"/>
        <v>1667</v>
      </c>
    </row>
    <row r="1368">
      <c r="A1368" s="6">
        <v>5288.0</v>
      </c>
      <c r="B1368" s="5" t="s">
        <v>1165</v>
      </c>
      <c r="C1368" s="8">
        <f>IFERROR(VLOOKUP(B1368,'Лист1'!$A:$L,12,FALSE),"")</f>
        <v>50000</v>
      </c>
      <c r="D1368" s="7">
        <f t="shared" si="36"/>
        <v>1667</v>
      </c>
    </row>
    <row r="1369">
      <c r="A1369" s="6">
        <v>5307.0</v>
      </c>
      <c r="B1369" s="5" t="s">
        <v>1749</v>
      </c>
      <c r="C1369" s="8">
        <f>IFERROR(VLOOKUP(B1369,'Лист1'!$A:$L,12,FALSE),"")</f>
        <v>50000</v>
      </c>
      <c r="D1369" s="7">
        <f t="shared" si="36"/>
        <v>1667</v>
      </c>
    </row>
    <row r="1370">
      <c r="A1370" s="6">
        <v>5311.0</v>
      </c>
      <c r="B1370" s="5" t="s">
        <v>1752</v>
      </c>
      <c r="C1370" s="8">
        <f>IFERROR(VLOOKUP(B1370,'Лист1'!$A:$L,12,FALSE),"")</f>
        <v>50000</v>
      </c>
      <c r="D1370" s="7">
        <f t="shared" si="36"/>
        <v>1667</v>
      </c>
    </row>
    <row r="1371">
      <c r="A1371" s="6">
        <v>5308.0</v>
      </c>
      <c r="B1371" s="5" t="s">
        <v>1755</v>
      </c>
      <c r="C1371" s="8">
        <f>IFERROR(VLOOKUP(B1371,'Лист1'!$A:$L,12,FALSE),"")</f>
        <v>50000</v>
      </c>
      <c r="D1371" s="7">
        <f t="shared" si="36"/>
        <v>1667</v>
      </c>
    </row>
    <row r="1372">
      <c r="A1372" s="6">
        <v>5312.0</v>
      </c>
      <c r="B1372" s="5" t="s">
        <v>1758</v>
      </c>
      <c r="C1372" s="8">
        <f>IFERROR(VLOOKUP(B1372,'Лист1'!$A:$L,12,FALSE),"")</f>
        <v>50000</v>
      </c>
      <c r="D1372" s="7">
        <f t="shared" si="36"/>
        <v>1667</v>
      </c>
    </row>
    <row r="1373">
      <c r="A1373" s="6">
        <v>5306.0</v>
      </c>
      <c r="B1373" s="5" t="s">
        <v>1760</v>
      </c>
      <c r="C1373" s="8">
        <f>IFERROR(VLOOKUP(B1373,'Лист1'!$A:$L,12,FALSE),"")</f>
        <v>50000</v>
      </c>
      <c r="D1373" s="7">
        <f t="shared" si="36"/>
        <v>1667</v>
      </c>
    </row>
    <row r="1374">
      <c r="A1374" s="6">
        <v>5309.0</v>
      </c>
      <c r="B1374" s="5" t="s">
        <v>1762</v>
      </c>
      <c r="C1374" s="8">
        <f>IFERROR(VLOOKUP(B1374,'Лист1'!$A:$L,12,FALSE),"")</f>
        <v>50000</v>
      </c>
      <c r="D1374" s="7">
        <f t="shared" si="36"/>
        <v>1667</v>
      </c>
    </row>
    <row r="1375">
      <c r="A1375" s="6">
        <v>5305.0</v>
      </c>
      <c r="B1375" s="5" t="s">
        <v>1764</v>
      </c>
      <c r="C1375" s="8">
        <f>IFERROR(VLOOKUP(B1375,'Лист1'!$A:$L,12,FALSE),"")</f>
        <v>50000</v>
      </c>
      <c r="D1375" s="7">
        <f t="shared" si="36"/>
        <v>1667</v>
      </c>
    </row>
    <row r="1376">
      <c r="A1376" s="6">
        <v>5310.0</v>
      </c>
      <c r="B1376" s="5" t="s">
        <v>1766</v>
      </c>
      <c r="C1376" s="8">
        <f>IFERROR(VLOOKUP(B1376,'Лист1'!$A:$L,12,FALSE),"")</f>
        <v>50000</v>
      </c>
      <c r="D1376" s="7">
        <f t="shared" si="36"/>
        <v>1667</v>
      </c>
    </row>
    <row r="1377" hidden="1">
      <c r="A1377" s="6">
        <v>5313.0</v>
      </c>
      <c r="B1377" s="5" t="s">
        <v>2886</v>
      </c>
      <c r="C1377" s="8" t="str">
        <f>IFERROR(VLOOKUP(B1377,'Лист1'!$A:$L,12,FALSE),"")</f>
        <v/>
      </c>
      <c r="D1377" s="7"/>
    </row>
    <row r="1378" hidden="1">
      <c r="A1378" s="6">
        <v>5314.0</v>
      </c>
      <c r="B1378" s="5" t="s">
        <v>2887</v>
      </c>
      <c r="C1378" s="8" t="str">
        <f>IFERROR(VLOOKUP(B1378,'Лист1'!$A:$L,12,FALSE),"")</f>
        <v/>
      </c>
      <c r="D1378" s="7"/>
    </row>
    <row r="1379" hidden="1">
      <c r="A1379" s="6">
        <v>5315.0</v>
      </c>
      <c r="B1379" s="5" t="s">
        <v>2890</v>
      </c>
      <c r="C1379" s="8" t="str">
        <f>IFERROR(VLOOKUP(B1379,'Лист1'!$A:$L,12,FALSE),"")</f>
        <v/>
      </c>
      <c r="D1379" s="7"/>
    </row>
    <row r="1380" hidden="1">
      <c r="A1380" s="6">
        <v>5316.0</v>
      </c>
      <c r="B1380" s="5" t="s">
        <v>2891</v>
      </c>
      <c r="C1380" s="8" t="str">
        <f>IFERROR(VLOOKUP(B1380,'Лист1'!$A:$L,12,FALSE),"")</f>
        <v/>
      </c>
      <c r="D1380" s="7"/>
    </row>
    <row r="1381" hidden="1">
      <c r="A1381" s="6">
        <v>5317.0</v>
      </c>
      <c r="B1381" s="5" t="s">
        <v>2894</v>
      </c>
      <c r="C1381" s="8" t="str">
        <f>IFERROR(VLOOKUP(B1381,'Лист1'!$A:$L,12,FALSE),"")</f>
        <v/>
      </c>
      <c r="D1381" s="7"/>
    </row>
    <row r="1382" hidden="1">
      <c r="A1382" s="6">
        <v>5318.0</v>
      </c>
      <c r="B1382" s="5" t="s">
        <v>2895</v>
      </c>
      <c r="C1382" s="8" t="str">
        <f>IFERROR(VLOOKUP(B1382,'Лист1'!$A:$L,12,FALSE),"")</f>
        <v/>
      </c>
      <c r="D1382" s="7"/>
    </row>
    <row r="1383" hidden="1">
      <c r="A1383" s="6">
        <v>5319.0</v>
      </c>
      <c r="B1383" s="5" t="s">
        <v>2898</v>
      </c>
      <c r="C1383" s="8" t="str">
        <f>IFERROR(VLOOKUP(B1383,'Лист1'!$A:$L,12,FALSE),"")</f>
        <v/>
      </c>
      <c r="D1383" s="7"/>
    </row>
    <row r="1384" hidden="1">
      <c r="A1384" s="6">
        <v>5320.0</v>
      </c>
      <c r="B1384" s="5" t="s">
        <v>2899</v>
      </c>
      <c r="C1384" s="8" t="str">
        <f>IFERROR(VLOOKUP(B1384,'Лист1'!$A:$L,12,FALSE),"")</f>
        <v/>
      </c>
      <c r="D1384" s="7"/>
    </row>
    <row r="1385" hidden="1">
      <c r="A1385" s="6">
        <v>5321.0</v>
      </c>
      <c r="B1385" s="5" t="s">
        <v>2902</v>
      </c>
      <c r="C1385" s="8" t="str">
        <f>IFERROR(VLOOKUP(B1385,'Лист1'!$A:$L,12,FALSE),"")</f>
        <v/>
      </c>
      <c r="D1385" s="7"/>
    </row>
    <row r="1386" hidden="1">
      <c r="A1386" s="6">
        <v>5322.0</v>
      </c>
      <c r="B1386" s="5" t="s">
        <v>2905</v>
      </c>
      <c r="C1386" s="8" t="str">
        <f>IFERROR(VLOOKUP(B1386,'Лист1'!$A:$L,12,FALSE),"")</f>
        <v/>
      </c>
      <c r="D1386" s="7"/>
    </row>
    <row r="1387" hidden="1">
      <c r="A1387" s="6">
        <v>5323.0</v>
      </c>
      <c r="B1387" s="5" t="s">
        <v>2906</v>
      </c>
      <c r="C1387" s="8" t="str">
        <f>IFERROR(VLOOKUP(B1387,'Лист1'!$A:$L,12,FALSE),"")</f>
        <v/>
      </c>
      <c r="D1387" s="7"/>
    </row>
    <row r="1388" hidden="1">
      <c r="A1388" s="6">
        <v>5324.0</v>
      </c>
      <c r="B1388" s="5" t="s">
        <v>2909</v>
      </c>
      <c r="C1388" s="8" t="str">
        <f>IFERROR(VLOOKUP(B1388,'Лист1'!$A:$L,12,FALSE),"")</f>
        <v/>
      </c>
      <c r="D1388" s="7"/>
    </row>
    <row r="1389" hidden="1">
      <c r="A1389" s="6">
        <v>5325.0</v>
      </c>
      <c r="B1389" s="5" t="s">
        <v>2910</v>
      </c>
      <c r="C1389" s="8" t="str">
        <f>IFERROR(VLOOKUP(B1389,'Лист1'!$A:$L,12,FALSE),"")</f>
        <v/>
      </c>
      <c r="D1389" s="7"/>
    </row>
    <row r="1390" hidden="1">
      <c r="A1390" s="6">
        <v>5326.0</v>
      </c>
      <c r="B1390" s="5" t="s">
        <v>2913</v>
      </c>
      <c r="C1390" s="8" t="str">
        <f>IFERROR(VLOOKUP(B1390,'Лист1'!$A:$L,12,FALSE),"")</f>
        <v/>
      </c>
      <c r="D1390" s="7"/>
    </row>
    <row r="1391" hidden="1">
      <c r="A1391" s="6">
        <v>5327.0</v>
      </c>
      <c r="B1391" s="5" t="s">
        <v>2914</v>
      </c>
      <c r="C1391" s="8" t="str">
        <f>IFERROR(VLOOKUP(B1391,'Лист1'!$A:$L,12,FALSE),"")</f>
        <v/>
      </c>
      <c r="D1391" s="7"/>
    </row>
    <row r="1392" hidden="1">
      <c r="A1392" s="6">
        <v>5328.0</v>
      </c>
      <c r="B1392" s="5" t="s">
        <v>2917</v>
      </c>
      <c r="C1392" s="8" t="str">
        <f>IFERROR(VLOOKUP(B1392,'Лист1'!$A:$L,12,FALSE),"")</f>
        <v/>
      </c>
      <c r="D1392" s="7"/>
    </row>
    <row r="1393" hidden="1">
      <c r="A1393" s="6">
        <v>5329.0</v>
      </c>
      <c r="B1393" s="5" t="s">
        <v>2918</v>
      </c>
      <c r="C1393" s="8" t="str">
        <f>IFERROR(VLOOKUP(B1393,'Лист1'!$A:$L,12,FALSE),"")</f>
        <v/>
      </c>
      <c r="D1393" s="7"/>
    </row>
    <row r="1394" hidden="1">
      <c r="A1394" s="6">
        <v>5330.0</v>
      </c>
      <c r="B1394" s="5" t="s">
        <v>2921</v>
      </c>
      <c r="C1394" s="8" t="str">
        <f>IFERROR(VLOOKUP(B1394,'Лист1'!$A:$L,12,FALSE),"")</f>
        <v/>
      </c>
      <c r="D1394" s="7"/>
    </row>
    <row r="1395" hidden="1">
      <c r="A1395" s="6">
        <v>5331.0</v>
      </c>
      <c r="B1395" s="5" t="s">
        <v>2924</v>
      </c>
      <c r="C1395" s="8" t="str">
        <f>IFERROR(VLOOKUP(B1395,'Лист1'!$A:$L,12,FALSE),"")</f>
        <v/>
      </c>
      <c r="D1395" s="7"/>
    </row>
    <row r="1396" hidden="1">
      <c r="A1396" s="6">
        <v>5332.0</v>
      </c>
      <c r="B1396" s="5" t="s">
        <v>2925</v>
      </c>
      <c r="C1396" s="8" t="str">
        <f>IFERROR(VLOOKUP(B1396,'Лист1'!$A:$L,12,FALSE),"")</f>
        <v/>
      </c>
      <c r="D1396" s="7"/>
    </row>
    <row r="1397" hidden="1">
      <c r="A1397" s="6">
        <v>5333.0</v>
      </c>
      <c r="B1397" s="5" t="s">
        <v>2928</v>
      </c>
      <c r="C1397" s="8" t="str">
        <f>IFERROR(VLOOKUP(B1397,'Лист1'!$A:$L,12,FALSE),"")</f>
        <v/>
      </c>
      <c r="D1397" s="7"/>
    </row>
    <row r="1398" hidden="1">
      <c r="A1398" s="6">
        <v>5334.0</v>
      </c>
      <c r="B1398" s="5" t="s">
        <v>2929</v>
      </c>
      <c r="C1398" s="8" t="str">
        <f>IFERROR(VLOOKUP(B1398,'Лист1'!$A:$L,12,FALSE),"")</f>
        <v/>
      </c>
      <c r="D1398" s="7"/>
    </row>
    <row r="1399" hidden="1">
      <c r="A1399" s="6">
        <v>5335.0</v>
      </c>
      <c r="B1399" s="5" t="s">
        <v>2932</v>
      </c>
      <c r="C1399" s="8" t="str">
        <f>IFERROR(VLOOKUP(B1399,'Лист1'!$A:$L,12,FALSE),"")</f>
        <v/>
      </c>
      <c r="D1399" s="7"/>
    </row>
    <row r="1400" hidden="1">
      <c r="A1400" s="6">
        <v>5336.0</v>
      </c>
      <c r="B1400" s="5" t="s">
        <v>2933</v>
      </c>
      <c r="D1400" s="7"/>
    </row>
    <row r="1401">
      <c r="A1401" s="6"/>
      <c r="B1401" s="5"/>
      <c r="C1401" s="7"/>
      <c r="D1401" s="7"/>
    </row>
    <row r="1402">
      <c r="A1402" s="6"/>
      <c r="B1402" s="5"/>
      <c r="C1402" s="7"/>
      <c r="D1402" s="7"/>
    </row>
    <row r="1403">
      <c r="A1403" s="6"/>
      <c r="B1403" s="5"/>
      <c r="C1403" s="7"/>
      <c r="D1403" s="7"/>
    </row>
    <row r="1404">
      <c r="A1404" s="6"/>
      <c r="B1404" s="5"/>
      <c r="C1404" s="7"/>
      <c r="D1404" s="7"/>
    </row>
    <row r="1405">
      <c r="A1405" s="6"/>
      <c r="B1405" s="5"/>
      <c r="C1405" s="7"/>
      <c r="D1405" s="7"/>
    </row>
    <row r="1406">
      <c r="A1406" s="6"/>
      <c r="B1406" s="5"/>
      <c r="C1406" s="7"/>
      <c r="D1406" s="7"/>
    </row>
    <row r="1407">
      <c r="A1407" s="6"/>
      <c r="B1407" s="5"/>
      <c r="C1407" s="7"/>
      <c r="D1407" s="7"/>
    </row>
    <row r="1408">
      <c r="A1408" s="6"/>
      <c r="B1408" s="5"/>
      <c r="C1408" s="7"/>
      <c r="D1408" s="7"/>
    </row>
    <row r="1409">
      <c r="A1409" s="6"/>
      <c r="B1409" s="5"/>
      <c r="C1409" s="7"/>
      <c r="D1409" s="7"/>
    </row>
    <row r="1410">
      <c r="A1410" s="6"/>
      <c r="B1410" s="5"/>
      <c r="C1410" s="7"/>
      <c r="D1410" s="7"/>
    </row>
    <row r="1411">
      <c r="A1411" s="6"/>
      <c r="B1411" s="5"/>
      <c r="C1411" s="7"/>
      <c r="D1411" s="7"/>
    </row>
    <row r="1412">
      <c r="A1412" s="6"/>
      <c r="B1412" s="5"/>
      <c r="C1412" s="7"/>
      <c r="D1412" s="7"/>
    </row>
    <row r="1413">
      <c r="A1413" s="6"/>
      <c r="B1413" s="5"/>
      <c r="C1413" s="7"/>
      <c r="D1413" s="7"/>
    </row>
    <row r="1414">
      <c r="A1414" s="6"/>
      <c r="B1414" s="5"/>
      <c r="C1414" s="7"/>
      <c r="D1414" s="7"/>
    </row>
    <row r="1415">
      <c r="A1415" s="6"/>
      <c r="B1415" s="5"/>
      <c r="C1415" s="7"/>
      <c r="D1415" s="7"/>
    </row>
    <row r="1416">
      <c r="A1416" s="6"/>
      <c r="B1416" s="5"/>
      <c r="C1416" s="7"/>
      <c r="D1416" s="7"/>
    </row>
    <row r="1417">
      <c r="A1417" s="6"/>
      <c r="B1417" s="5"/>
      <c r="C1417" s="7"/>
      <c r="D1417" s="7"/>
    </row>
    <row r="1418">
      <c r="A1418" s="6"/>
      <c r="B1418" s="5"/>
      <c r="C1418" s="7"/>
      <c r="D1418" s="7"/>
    </row>
    <row r="1419">
      <c r="A1419" s="6"/>
      <c r="B1419" s="5"/>
      <c r="C1419" s="7"/>
      <c r="D1419" s="7"/>
    </row>
    <row r="1420">
      <c r="A1420" s="6"/>
      <c r="B1420" s="5"/>
      <c r="C1420" s="7"/>
      <c r="D1420" s="7"/>
    </row>
    <row r="1421">
      <c r="A1421" s="6"/>
      <c r="B1421" s="5"/>
      <c r="C1421" s="7"/>
      <c r="D1421" s="7"/>
    </row>
    <row r="1422">
      <c r="A1422" s="6"/>
      <c r="B1422" s="5"/>
      <c r="C1422" s="7"/>
      <c r="D1422" s="7"/>
    </row>
    <row r="1423">
      <c r="A1423" s="6"/>
      <c r="B1423" s="5"/>
      <c r="C1423" s="7"/>
      <c r="D1423" s="7"/>
    </row>
    <row r="1424">
      <c r="A1424" s="6"/>
      <c r="B1424" s="5"/>
      <c r="C1424" s="7"/>
      <c r="D1424" s="7"/>
    </row>
    <row r="1425">
      <c r="A1425" s="6"/>
      <c r="B1425" s="5"/>
      <c r="C1425" s="7"/>
      <c r="D1425" s="7"/>
    </row>
    <row r="1426">
      <c r="A1426" s="6"/>
      <c r="B1426" s="5"/>
      <c r="C1426" s="7"/>
      <c r="D1426" s="7"/>
    </row>
    <row r="1427">
      <c r="A1427" s="6"/>
      <c r="B1427" s="5"/>
      <c r="C1427" s="7"/>
      <c r="D1427" s="7"/>
    </row>
    <row r="1428">
      <c r="A1428" s="6"/>
      <c r="B1428" s="5"/>
      <c r="C1428" s="7"/>
      <c r="D1428" s="7"/>
    </row>
    <row r="1429">
      <c r="A1429" s="6"/>
      <c r="B1429" s="5"/>
      <c r="C1429" s="7"/>
      <c r="D1429" s="7"/>
    </row>
    <row r="1430">
      <c r="A1430" s="6"/>
      <c r="B1430" s="5"/>
      <c r="C1430" s="7"/>
      <c r="D1430" s="7"/>
    </row>
    <row r="1431">
      <c r="A1431" s="6"/>
      <c r="B1431" s="5"/>
      <c r="C1431" s="7"/>
      <c r="D1431" s="7"/>
    </row>
    <row r="1432">
      <c r="A1432" s="6"/>
      <c r="B1432" s="5"/>
      <c r="C1432" s="7"/>
      <c r="D1432" s="7"/>
    </row>
    <row r="1433">
      <c r="A1433" s="6"/>
      <c r="B1433" s="5"/>
      <c r="C1433" s="7"/>
      <c r="D1433" s="7"/>
    </row>
    <row r="1434">
      <c r="A1434" s="6"/>
      <c r="B1434" s="5"/>
      <c r="C1434" s="7"/>
      <c r="D1434" s="7"/>
    </row>
    <row r="1435">
      <c r="A1435" s="6"/>
      <c r="B1435" s="5"/>
      <c r="C1435" s="7"/>
      <c r="D1435" s="7"/>
    </row>
    <row r="1436">
      <c r="A1436" s="6"/>
      <c r="B1436" s="5"/>
      <c r="C1436" s="7"/>
      <c r="D1436" s="7"/>
    </row>
    <row r="1437">
      <c r="A1437" s="6"/>
      <c r="B1437" s="5"/>
      <c r="C1437" s="7"/>
      <c r="D1437" s="7"/>
    </row>
    <row r="1438">
      <c r="A1438" s="6"/>
      <c r="B1438" s="5"/>
      <c r="C1438" s="7"/>
      <c r="D1438" s="7"/>
    </row>
    <row r="1439">
      <c r="A1439" s="6"/>
      <c r="B1439" s="5"/>
      <c r="C1439" s="7"/>
      <c r="D1439" s="7"/>
    </row>
    <row r="1440">
      <c r="A1440" s="6"/>
      <c r="B1440" s="5"/>
      <c r="C1440" s="7"/>
      <c r="D1440" s="7"/>
    </row>
    <row r="1441">
      <c r="A1441" s="6"/>
      <c r="B1441" s="5"/>
      <c r="C1441" s="7"/>
      <c r="D1441" s="7"/>
    </row>
    <row r="1442">
      <c r="A1442" s="6"/>
      <c r="B1442" s="5"/>
      <c r="C1442" s="7"/>
      <c r="D1442" s="7"/>
    </row>
    <row r="1443">
      <c r="A1443" s="6"/>
      <c r="B1443" s="5"/>
      <c r="C1443" s="7"/>
      <c r="D1443" s="7"/>
    </row>
    <row r="1444">
      <c r="A1444" s="6"/>
      <c r="B1444" s="5"/>
      <c r="C1444" s="7"/>
      <c r="D1444" s="7"/>
    </row>
    <row r="1445">
      <c r="A1445" s="6"/>
      <c r="B1445" s="5"/>
      <c r="C1445" s="7"/>
      <c r="D1445" s="7"/>
    </row>
    <row r="1446">
      <c r="A1446" s="6"/>
      <c r="B1446" s="5"/>
      <c r="C1446" s="7"/>
      <c r="D1446" s="7"/>
    </row>
    <row r="1447">
      <c r="A1447" s="6"/>
      <c r="B1447" s="5"/>
      <c r="C1447" s="7"/>
      <c r="D1447" s="7"/>
    </row>
    <row r="1448">
      <c r="A1448" s="6"/>
      <c r="B1448" s="5"/>
      <c r="C1448" s="7"/>
      <c r="D1448" s="7"/>
    </row>
    <row r="1449">
      <c r="A1449" s="6"/>
      <c r="B1449" s="5"/>
      <c r="C1449" s="7"/>
      <c r="D1449" s="7"/>
    </row>
    <row r="1450">
      <c r="A1450" s="6"/>
      <c r="B1450" s="5"/>
      <c r="C1450" s="7"/>
      <c r="D1450" s="7"/>
    </row>
    <row r="1451">
      <c r="A1451" s="6"/>
      <c r="B1451" s="5"/>
      <c r="C1451" s="7"/>
      <c r="D1451" s="7"/>
    </row>
    <row r="1452">
      <c r="A1452" s="6"/>
      <c r="B1452" s="5"/>
      <c r="C1452" s="7"/>
      <c r="D1452" s="7"/>
    </row>
    <row r="1453">
      <c r="A1453" s="6"/>
      <c r="B1453" s="5"/>
      <c r="C1453" s="7"/>
      <c r="D1453" s="7"/>
    </row>
    <row r="1454">
      <c r="A1454" s="6"/>
      <c r="B1454" s="5"/>
      <c r="C1454" s="7"/>
      <c r="D1454" s="7"/>
    </row>
    <row r="1455">
      <c r="A1455" s="6"/>
      <c r="B1455" s="5"/>
      <c r="C1455" s="7"/>
      <c r="D1455" s="7"/>
    </row>
    <row r="1456">
      <c r="A1456" s="6"/>
      <c r="B1456" s="5"/>
      <c r="C1456" s="7"/>
      <c r="D1456" s="7"/>
    </row>
    <row r="1457">
      <c r="A1457" s="6"/>
      <c r="B1457" s="5"/>
      <c r="C1457" s="7"/>
      <c r="D1457" s="7"/>
    </row>
    <row r="1458">
      <c r="A1458" s="6"/>
      <c r="B1458" s="5"/>
      <c r="C1458" s="7"/>
      <c r="D1458" s="7"/>
    </row>
    <row r="1459">
      <c r="A1459" s="6"/>
      <c r="B1459" s="5"/>
      <c r="C1459" s="7"/>
      <c r="D1459" s="7"/>
    </row>
    <row r="1460">
      <c r="A1460" s="6"/>
      <c r="B1460" s="5"/>
      <c r="C1460" s="7"/>
      <c r="D1460" s="7"/>
    </row>
    <row r="1461">
      <c r="A1461" s="6"/>
      <c r="B1461" s="5"/>
      <c r="C1461" s="7"/>
      <c r="D1461" s="7"/>
    </row>
    <row r="1462">
      <c r="A1462" s="6"/>
      <c r="B1462" s="5"/>
      <c r="C1462" s="7"/>
      <c r="D1462" s="7"/>
    </row>
    <row r="1463">
      <c r="A1463" s="6"/>
      <c r="B1463" s="5"/>
      <c r="C1463" s="7"/>
      <c r="D1463" s="7"/>
    </row>
    <row r="1464">
      <c r="A1464" s="6"/>
      <c r="B1464" s="5"/>
      <c r="C1464" s="7"/>
      <c r="D1464" s="7"/>
    </row>
    <row r="1465">
      <c r="A1465" s="6"/>
      <c r="B1465" s="5"/>
      <c r="C1465" s="7"/>
      <c r="D1465" s="7"/>
    </row>
    <row r="1466">
      <c r="A1466" s="6"/>
      <c r="B1466" s="5"/>
      <c r="C1466" s="7"/>
      <c r="D1466" s="7"/>
    </row>
    <row r="1467">
      <c r="A1467" s="6"/>
      <c r="B1467" s="5"/>
      <c r="C1467" s="7"/>
      <c r="D1467" s="7"/>
    </row>
    <row r="1468">
      <c r="A1468" s="6"/>
      <c r="B1468" s="5"/>
      <c r="C1468" s="7"/>
      <c r="D1468" s="7"/>
    </row>
    <row r="1469">
      <c r="A1469" s="6"/>
      <c r="B1469" s="5"/>
      <c r="C1469" s="7"/>
      <c r="D1469" s="7"/>
    </row>
    <row r="1470">
      <c r="A1470" s="6"/>
      <c r="B1470" s="5"/>
      <c r="C1470" s="7"/>
      <c r="D1470" s="7"/>
    </row>
    <row r="1471">
      <c r="A1471" s="6"/>
      <c r="B1471" s="5"/>
      <c r="C1471" s="7"/>
      <c r="D1471" s="7"/>
    </row>
    <row r="1472">
      <c r="A1472" s="6"/>
      <c r="B1472" s="5"/>
      <c r="C1472" s="7"/>
      <c r="D1472" s="7"/>
    </row>
    <row r="1473">
      <c r="A1473" s="6"/>
      <c r="B1473" s="5"/>
      <c r="C1473" s="7"/>
      <c r="D1473" s="7"/>
    </row>
    <row r="1474">
      <c r="A1474" s="6"/>
      <c r="B1474" s="5"/>
      <c r="C1474" s="7"/>
      <c r="D1474" s="7"/>
    </row>
    <row r="1475">
      <c r="A1475" s="6"/>
      <c r="B1475" s="5"/>
      <c r="C1475" s="7"/>
      <c r="D1475" s="7"/>
    </row>
    <row r="1476">
      <c r="A1476" s="6"/>
      <c r="B1476" s="5"/>
      <c r="C1476" s="7"/>
      <c r="D1476" s="7"/>
    </row>
    <row r="1477">
      <c r="A1477" s="6"/>
      <c r="B1477" s="5"/>
      <c r="C1477" s="7"/>
      <c r="D1477" s="7"/>
    </row>
    <row r="1478">
      <c r="A1478" s="6"/>
      <c r="B1478" s="5"/>
      <c r="C1478" s="7"/>
      <c r="D1478" s="7"/>
    </row>
    <row r="1479">
      <c r="A1479" s="6"/>
      <c r="B1479" s="5"/>
      <c r="C1479" s="7"/>
      <c r="D1479" s="7"/>
    </row>
    <row r="1480">
      <c r="A1480" s="6"/>
      <c r="B1480" s="5"/>
      <c r="C1480" s="7"/>
      <c r="D1480" s="7"/>
    </row>
    <row r="1481">
      <c r="A1481" s="6"/>
      <c r="B1481" s="5"/>
      <c r="C1481" s="7"/>
      <c r="D1481" s="7"/>
    </row>
    <row r="1482">
      <c r="A1482" s="6"/>
      <c r="B1482" s="5"/>
      <c r="C1482" s="7"/>
      <c r="D1482" s="7"/>
    </row>
    <row r="1483">
      <c r="A1483" s="6"/>
      <c r="B1483" s="5"/>
      <c r="C1483" s="7"/>
      <c r="D1483" s="7"/>
    </row>
    <row r="1484">
      <c r="A1484" s="6"/>
      <c r="B1484" s="5"/>
      <c r="C1484" s="7"/>
      <c r="D1484" s="7"/>
    </row>
    <row r="1485">
      <c r="A1485" s="6"/>
      <c r="B1485" s="5"/>
      <c r="C1485" s="7"/>
      <c r="D1485" s="7"/>
    </row>
    <row r="1486">
      <c r="A1486" s="6"/>
      <c r="B1486" s="5"/>
      <c r="C1486" s="7"/>
      <c r="D1486" s="7"/>
    </row>
    <row r="1487">
      <c r="A1487" s="6"/>
      <c r="B1487" s="5"/>
      <c r="C1487" s="7"/>
      <c r="D1487" s="7"/>
    </row>
    <row r="1488">
      <c r="A1488" s="6"/>
      <c r="B1488" s="5"/>
      <c r="C1488" s="7"/>
      <c r="D1488" s="7"/>
    </row>
    <row r="1489">
      <c r="A1489" s="6"/>
      <c r="B1489" s="5"/>
      <c r="C1489" s="7"/>
      <c r="D1489" s="7"/>
    </row>
    <row r="1490">
      <c r="A1490" s="6"/>
      <c r="B1490" s="5"/>
      <c r="C1490" s="7"/>
      <c r="D1490" s="7"/>
    </row>
    <row r="1491">
      <c r="A1491" s="6"/>
      <c r="B1491" s="5"/>
      <c r="C1491" s="7"/>
      <c r="D1491" s="7"/>
    </row>
    <row r="1492">
      <c r="A1492" s="6"/>
      <c r="B1492" s="5"/>
      <c r="C1492" s="7"/>
      <c r="D1492" s="7"/>
    </row>
    <row r="1493">
      <c r="A1493" s="6"/>
      <c r="B1493" s="5"/>
      <c r="C1493" s="7"/>
      <c r="D1493" s="7"/>
    </row>
    <row r="1494">
      <c r="A1494" s="6"/>
      <c r="B1494" s="5"/>
      <c r="C1494" s="7"/>
      <c r="D1494" s="7"/>
    </row>
    <row r="1495">
      <c r="A1495" s="6"/>
      <c r="B1495" s="5"/>
      <c r="C1495" s="7"/>
      <c r="D1495" s="7"/>
    </row>
    <row r="1496">
      <c r="A1496" s="6"/>
      <c r="B1496" s="5"/>
      <c r="C1496" s="7"/>
      <c r="D1496" s="7"/>
    </row>
    <row r="1497">
      <c r="A1497" s="6"/>
      <c r="B1497" s="5"/>
      <c r="C1497" s="7"/>
      <c r="D1497" s="7"/>
    </row>
    <row r="1498">
      <c r="A1498" s="6"/>
      <c r="B1498" s="5"/>
      <c r="C1498" s="7"/>
      <c r="D1498" s="7"/>
    </row>
    <row r="1499">
      <c r="A1499" s="6"/>
      <c r="B1499" s="5"/>
      <c r="C1499" s="7"/>
      <c r="D1499" s="7"/>
    </row>
    <row r="1500">
      <c r="A1500" s="6"/>
      <c r="B1500" s="5"/>
      <c r="C1500" s="7"/>
      <c r="D1500" s="7"/>
    </row>
    <row r="1501">
      <c r="A1501" s="6"/>
      <c r="B1501" s="5"/>
      <c r="C1501" s="7"/>
      <c r="D1501" s="7"/>
    </row>
    <row r="1502">
      <c r="A1502" s="6"/>
      <c r="B1502" s="5"/>
      <c r="C1502" s="7"/>
      <c r="D1502" s="7"/>
    </row>
    <row r="1503">
      <c r="A1503" s="6"/>
      <c r="B1503" s="5"/>
      <c r="C1503" s="7"/>
      <c r="D1503" s="7"/>
    </row>
    <row r="1504">
      <c r="A1504" s="6"/>
      <c r="B1504" s="5"/>
      <c r="C1504" s="7"/>
      <c r="D1504" s="7"/>
    </row>
    <row r="1505">
      <c r="A1505" s="6"/>
      <c r="B1505" s="5"/>
      <c r="C1505" s="7"/>
      <c r="D1505" s="7"/>
    </row>
    <row r="1506">
      <c r="A1506" s="6"/>
      <c r="B1506" s="5"/>
      <c r="C1506" s="7"/>
      <c r="D1506" s="7"/>
    </row>
    <row r="1507">
      <c r="A1507" s="6"/>
      <c r="B1507" s="5"/>
      <c r="C1507" s="7"/>
      <c r="D1507" s="7"/>
    </row>
    <row r="1508">
      <c r="A1508" s="6"/>
      <c r="B1508" s="5"/>
      <c r="C1508" s="7"/>
      <c r="D1508" s="7"/>
    </row>
    <row r="1509">
      <c r="A1509" s="6"/>
      <c r="B1509" s="5"/>
      <c r="C1509" s="7"/>
      <c r="D1509" s="7"/>
    </row>
    <row r="1510">
      <c r="A1510" s="6"/>
      <c r="B1510" s="5"/>
      <c r="C1510" s="7"/>
      <c r="D1510" s="7"/>
    </row>
    <row r="1511">
      <c r="A1511" s="6"/>
      <c r="B1511" s="5"/>
      <c r="C1511" s="7"/>
      <c r="D1511" s="7"/>
    </row>
    <row r="1512">
      <c r="A1512" s="6"/>
      <c r="B1512" s="5"/>
      <c r="C1512" s="7"/>
      <c r="D1512" s="7"/>
    </row>
    <row r="1513">
      <c r="A1513" s="6"/>
      <c r="B1513" s="5"/>
      <c r="C1513" s="7"/>
      <c r="D1513" s="7"/>
    </row>
    <row r="1514">
      <c r="A1514" s="6"/>
      <c r="B1514" s="5"/>
      <c r="C1514" s="7"/>
      <c r="D1514" s="7"/>
    </row>
    <row r="1515">
      <c r="A1515" s="6"/>
      <c r="B1515" s="5"/>
      <c r="C1515" s="7"/>
      <c r="D1515" s="7"/>
    </row>
    <row r="1516">
      <c r="A1516" s="6"/>
      <c r="B1516" s="5"/>
      <c r="C1516" s="7"/>
      <c r="D1516" s="7"/>
    </row>
    <row r="1517">
      <c r="A1517" s="6"/>
      <c r="B1517" s="5"/>
      <c r="C1517" s="7"/>
      <c r="D1517" s="7"/>
    </row>
    <row r="1518">
      <c r="A1518" s="6"/>
      <c r="B1518" s="5"/>
      <c r="C1518" s="7"/>
      <c r="D1518" s="7"/>
    </row>
    <row r="1519">
      <c r="A1519" s="6"/>
      <c r="B1519" s="5"/>
      <c r="C1519" s="7"/>
      <c r="D1519" s="7"/>
    </row>
    <row r="1520">
      <c r="A1520" s="6"/>
      <c r="B1520" s="5"/>
      <c r="C1520" s="7"/>
      <c r="D1520" s="7"/>
    </row>
    <row r="1521">
      <c r="A1521" s="6"/>
      <c r="B1521" s="5"/>
      <c r="C1521" s="7"/>
      <c r="D1521" s="7"/>
    </row>
    <row r="1522">
      <c r="A1522" s="6"/>
      <c r="B1522" s="5"/>
      <c r="C1522" s="7"/>
      <c r="D1522" s="7"/>
    </row>
    <row r="1523">
      <c r="A1523" s="6"/>
      <c r="B1523" s="5"/>
      <c r="C1523" s="7"/>
      <c r="D1523" s="7"/>
    </row>
    <row r="1524">
      <c r="A1524" s="6"/>
      <c r="B1524" s="5"/>
      <c r="C1524" s="7"/>
      <c r="D1524" s="7"/>
    </row>
    <row r="1525">
      <c r="A1525" s="6"/>
      <c r="B1525" s="5"/>
      <c r="C1525" s="7"/>
      <c r="D1525" s="7"/>
    </row>
    <row r="1526">
      <c r="A1526" s="6"/>
      <c r="B1526" s="5"/>
      <c r="C1526" s="7"/>
      <c r="D1526" s="7"/>
    </row>
    <row r="1527">
      <c r="A1527" s="6"/>
      <c r="B1527" s="5"/>
      <c r="C1527" s="7"/>
      <c r="D1527" s="7"/>
    </row>
    <row r="1528">
      <c r="A1528" s="6"/>
      <c r="B1528" s="5"/>
      <c r="C1528" s="7"/>
      <c r="D1528" s="7"/>
    </row>
    <row r="1529">
      <c r="A1529" s="6"/>
      <c r="B1529" s="5"/>
      <c r="C1529" s="7"/>
      <c r="D1529" s="7"/>
    </row>
    <row r="1530">
      <c r="A1530" s="6"/>
      <c r="B1530" s="5"/>
      <c r="C1530" s="7"/>
      <c r="D1530" s="7"/>
    </row>
    <row r="1531">
      <c r="A1531" s="6"/>
      <c r="B1531" s="5"/>
      <c r="C1531" s="7"/>
      <c r="D1531" s="7"/>
    </row>
    <row r="1532">
      <c r="A1532" s="6"/>
      <c r="B1532" s="5"/>
      <c r="C1532" s="7"/>
      <c r="D1532" s="7"/>
    </row>
    <row r="1533">
      <c r="A1533" s="6"/>
      <c r="B1533" s="5"/>
      <c r="C1533" s="7"/>
      <c r="D1533" s="7"/>
    </row>
    <row r="1534">
      <c r="A1534" s="6"/>
      <c r="B1534" s="5"/>
      <c r="C1534" s="7"/>
      <c r="D1534" s="7"/>
    </row>
    <row r="1535">
      <c r="A1535" s="6"/>
      <c r="B1535" s="5"/>
      <c r="C1535" s="7"/>
      <c r="D1535" s="7"/>
    </row>
    <row r="1536">
      <c r="A1536" s="6"/>
      <c r="B1536" s="5"/>
      <c r="C1536" s="7"/>
      <c r="D1536" s="7"/>
    </row>
    <row r="1537">
      <c r="A1537" s="6"/>
      <c r="B1537" s="5"/>
      <c r="C1537" s="7"/>
      <c r="D1537" s="7"/>
    </row>
    <row r="1538">
      <c r="A1538" s="6"/>
      <c r="B1538" s="5"/>
      <c r="C1538" s="7"/>
      <c r="D1538" s="7"/>
    </row>
    <row r="1539">
      <c r="A1539" s="6"/>
      <c r="B1539" s="5"/>
      <c r="C1539" s="7"/>
      <c r="D1539" s="7"/>
    </row>
    <row r="1540">
      <c r="A1540" s="6"/>
      <c r="B1540" s="5"/>
      <c r="C1540" s="7"/>
      <c r="D1540" s="7"/>
    </row>
    <row r="1541">
      <c r="A1541" s="6"/>
      <c r="B1541" s="5"/>
      <c r="C1541" s="7"/>
      <c r="D1541" s="7"/>
    </row>
    <row r="1542">
      <c r="A1542" s="6"/>
      <c r="B1542" s="5"/>
      <c r="C1542" s="7"/>
      <c r="D1542" s="7"/>
    </row>
    <row r="1543">
      <c r="A1543" s="6"/>
      <c r="B1543" s="5"/>
      <c r="C1543" s="7"/>
      <c r="D1543" s="7"/>
    </row>
    <row r="1544">
      <c r="A1544" s="6"/>
      <c r="B1544" s="5"/>
      <c r="C1544" s="7"/>
      <c r="D1544" s="7"/>
    </row>
    <row r="1545">
      <c r="A1545" s="6"/>
      <c r="B1545" s="5"/>
      <c r="C1545" s="7"/>
      <c r="D1545" s="7"/>
    </row>
    <row r="1546">
      <c r="A1546" s="6"/>
      <c r="B1546" s="5"/>
      <c r="C1546" s="7"/>
      <c r="D1546" s="7"/>
    </row>
    <row r="1547">
      <c r="A1547" s="6"/>
      <c r="B1547" s="5"/>
      <c r="C1547" s="7"/>
      <c r="D1547" s="7"/>
    </row>
    <row r="1548">
      <c r="A1548" s="6"/>
      <c r="B1548" s="5"/>
      <c r="C1548" s="7"/>
      <c r="D1548" s="7"/>
    </row>
    <row r="1549">
      <c r="A1549" s="6"/>
      <c r="B1549" s="5"/>
      <c r="C1549" s="7"/>
      <c r="D1549" s="7"/>
    </row>
    <row r="1550">
      <c r="A1550" s="6"/>
      <c r="B1550" s="5"/>
      <c r="C1550" s="7"/>
      <c r="D1550" s="7"/>
    </row>
    <row r="1551">
      <c r="A1551" s="6"/>
      <c r="B1551" s="5"/>
      <c r="C1551" s="7"/>
      <c r="D1551" s="7"/>
    </row>
    <row r="1552">
      <c r="A1552" s="6"/>
      <c r="B1552" s="5"/>
      <c r="C1552" s="7"/>
      <c r="D1552" s="7"/>
    </row>
    <row r="1553">
      <c r="A1553" s="6"/>
      <c r="B1553" s="5"/>
      <c r="C1553" s="7"/>
      <c r="D1553" s="7"/>
    </row>
    <row r="1554">
      <c r="A1554" s="6"/>
      <c r="B1554" s="5"/>
      <c r="C1554" s="7"/>
      <c r="D1554" s="7"/>
    </row>
    <row r="1555">
      <c r="A1555" s="6"/>
      <c r="B1555" s="5"/>
      <c r="C1555" s="7"/>
      <c r="D1555" s="7"/>
    </row>
    <row r="1556">
      <c r="A1556" s="6"/>
      <c r="B1556" s="5"/>
      <c r="C1556" s="7"/>
      <c r="D1556" s="7"/>
    </row>
    <row r="1557">
      <c r="A1557" s="6"/>
      <c r="B1557" s="5"/>
      <c r="C1557" s="7"/>
      <c r="D1557" s="7"/>
    </row>
    <row r="1558">
      <c r="A1558" s="6"/>
      <c r="B1558" s="5"/>
      <c r="C1558" s="7"/>
      <c r="D1558" s="7"/>
    </row>
    <row r="1559">
      <c r="A1559" s="6"/>
      <c r="B1559" s="5"/>
      <c r="C1559" s="7"/>
      <c r="D1559" s="7"/>
    </row>
    <row r="1560">
      <c r="A1560" s="6"/>
      <c r="B1560" s="5"/>
      <c r="C1560" s="7"/>
      <c r="D1560" s="7"/>
    </row>
    <row r="1561">
      <c r="A1561" s="6"/>
      <c r="B1561" s="5"/>
      <c r="C1561" s="7"/>
      <c r="D1561" s="7"/>
    </row>
    <row r="1562">
      <c r="A1562" s="6"/>
      <c r="B1562" s="5"/>
      <c r="C1562" s="7"/>
      <c r="D1562" s="7"/>
    </row>
    <row r="1563">
      <c r="A1563" s="6"/>
      <c r="B1563" s="5"/>
      <c r="C1563" s="7"/>
      <c r="D1563" s="7"/>
    </row>
    <row r="1564">
      <c r="A1564" s="6"/>
      <c r="B1564" s="5"/>
      <c r="C1564" s="7"/>
      <c r="D1564" s="7"/>
    </row>
    <row r="1565">
      <c r="A1565" s="6"/>
      <c r="B1565" s="5"/>
      <c r="C1565" s="7"/>
      <c r="D1565" s="7"/>
    </row>
    <row r="1566">
      <c r="A1566" s="6"/>
      <c r="B1566" s="5"/>
      <c r="C1566" s="7"/>
      <c r="D1566" s="7"/>
    </row>
    <row r="1567">
      <c r="A1567" s="6"/>
      <c r="B1567" s="5"/>
      <c r="C1567" s="7"/>
      <c r="D1567" s="7"/>
    </row>
    <row r="1568">
      <c r="A1568" s="6"/>
      <c r="B1568" s="5"/>
      <c r="C1568" s="7"/>
      <c r="D1568" s="7"/>
    </row>
    <row r="1569">
      <c r="A1569" s="6"/>
      <c r="B1569" s="5"/>
      <c r="C1569" s="7"/>
      <c r="D1569" s="7"/>
    </row>
    <row r="1570">
      <c r="A1570" s="6"/>
      <c r="B1570" s="5"/>
      <c r="C1570" s="7"/>
      <c r="D1570" s="7"/>
    </row>
    <row r="1571">
      <c r="A1571" s="6"/>
      <c r="B1571" s="5"/>
      <c r="C1571" s="7"/>
      <c r="D1571" s="7"/>
    </row>
    <row r="1572">
      <c r="A1572" s="6"/>
      <c r="B1572" s="5"/>
      <c r="C1572" s="7"/>
      <c r="D1572" s="7"/>
    </row>
    <row r="1573">
      <c r="A1573" s="6"/>
      <c r="B1573" s="5"/>
      <c r="C1573" s="7"/>
      <c r="D1573" s="7"/>
    </row>
    <row r="1574">
      <c r="A1574" s="6"/>
      <c r="B1574" s="5"/>
      <c r="C1574" s="7"/>
      <c r="D1574" s="7"/>
    </row>
    <row r="1575">
      <c r="A1575" s="6"/>
      <c r="B1575" s="5"/>
      <c r="C1575" s="7"/>
      <c r="D1575" s="7"/>
    </row>
    <row r="1576">
      <c r="A1576" s="6"/>
      <c r="B1576" s="5"/>
      <c r="C1576" s="7"/>
      <c r="D1576" s="7"/>
    </row>
    <row r="1577">
      <c r="A1577" s="6"/>
      <c r="B1577" s="5"/>
      <c r="C1577" s="7"/>
      <c r="D1577" s="7"/>
    </row>
    <row r="1578">
      <c r="A1578" s="6"/>
      <c r="B1578" s="5"/>
      <c r="C1578" s="7"/>
      <c r="D1578" s="7"/>
    </row>
    <row r="1579">
      <c r="A1579" s="6"/>
      <c r="B1579" s="5"/>
      <c r="C1579" s="7"/>
      <c r="D1579" s="7"/>
    </row>
    <row r="1580">
      <c r="A1580" s="6"/>
      <c r="B1580" s="5"/>
      <c r="C1580" s="7"/>
      <c r="D1580" s="7"/>
    </row>
    <row r="1581">
      <c r="A1581" s="6"/>
      <c r="B1581" s="5"/>
      <c r="C1581" s="7"/>
      <c r="D1581" s="7"/>
    </row>
    <row r="1582">
      <c r="A1582" s="6"/>
      <c r="B1582" s="5"/>
      <c r="C1582" s="7"/>
      <c r="D1582" s="7"/>
    </row>
    <row r="1583">
      <c r="A1583" s="6"/>
      <c r="B1583" s="5"/>
      <c r="C1583" s="7"/>
      <c r="D1583" s="7"/>
    </row>
    <row r="1584">
      <c r="A1584" s="6"/>
      <c r="B1584" s="5"/>
      <c r="C1584" s="7"/>
      <c r="D1584" s="7"/>
    </row>
    <row r="1585">
      <c r="A1585" s="6"/>
      <c r="B1585" s="5"/>
      <c r="C1585" s="7"/>
      <c r="D1585" s="7"/>
    </row>
    <row r="1586">
      <c r="A1586" s="6"/>
      <c r="B1586" s="5"/>
      <c r="C1586" s="7"/>
      <c r="D1586" s="7"/>
    </row>
    <row r="1587">
      <c r="A1587" s="6"/>
      <c r="B1587" s="5"/>
      <c r="C1587" s="7"/>
      <c r="D1587" s="7"/>
    </row>
    <row r="1588">
      <c r="A1588" s="6"/>
      <c r="B1588" s="5"/>
      <c r="C1588" s="7"/>
      <c r="D1588" s="7"/>
    </row>
    <row r="1589">
      <c r="A1589" s="6"/>
      <c r="B1589" s="5"/>
      <c r="C1589" s="7"/>
      <c r="D1589" s="7"/>
    </row>
    <row r="1590">
      <c r="A1590" s="6"/>
      <c r="B1590" s="5"/>
      <c r="C1590" s="7"/>
      <c r="D1590" s="7"/>
    </row>
    <row r="1591">
      <c r="A1591" s="6"/>
      <c r="B1591" s="5"/>
      <c r="C1591" s="7"/>
      <c r="D1591" s="7"/>
    </row>
    <row r="1592">
      <c r="A1592" s="6"/>
      <c r="B1592" s="5"/>
      <c r="C1592" s="7"/>
      <c r="D1592" s="7"/>
    </row>
    <row r="1593">
      <c r="A1593" s="6"/>
      <c r="B1593" s="5"/>
      <c r="C1593" s="7"/>
      <c r="D1593" s="7"/>
    </row>
    <row r="1594">
      <c r="A1594" s="6"/>
      <c r="B1594" s="5"/>
      <c r="C1594" s="7"/>
      <c r="D1594" s="7"/>
    </row>
    <row r="1595">
      <c r="A1595" s="6"/>
      <c r="B1595" s="5"/>
      <c r="C1595" s="7"/>
      <c r="D1595" s="7"/>
    </row>
    <row r="1596">
      <c r="A1596" s="6"/>
      <c r="B1596" s="5"/>
      <c r="C1596" s="7"/>
      <c r="D1596" s="7"/>
    </row>
    <row r="1597">
      <c r="A1597" s="6"/>
      <c r="B1597" s="5"/>
      <c r="C1597" s="7"/>
      <c r="D1597" s="7"/>
    </row>
    <row r="1598">
      <c r="A1598" s="6"/>
      <c r="B1598" s="5"/>
      <c r="C1598" s="7"/>
      <c r="D1598" s="7"/>
    </row>
    <row r="1599">
      <c r="A1599" s="6"/>
      <c r="B1599" s="5"/>
      <c r="C1599" s="7"/>
      <c r="D1599" s="7"/>
    </row>
    <row r="1600">
      <c r="A1600" s="6"/>
      <c r="B1600" s="5"/>
      <c r="C1600" s="7"/>
      <c r="D1600" s="7"/>
    </row>
    <row r="1601">
      <c r="A1601" s="6"/>
      <c r="B1601" s="5"/>
      <c r="C1601" s="7"/>
      <c r="D1601" s="7"/>
    </row>
    <row r="1602">
      <c r="A1602" s="6"/>
      <c r="B1602" s="5"/>
      <c r="C1602" s="7"/>
      <c r="D1602" s="7"/>
    </row>
    <row r="1603">
      <c r="A1603" s="6"/>
      <c r="B1603" s="5"/>
      <c r="C1603" s="7"/>
      <c r="D1603" s="7"/>
    </row>
    <row r="1604">
      <c r="A1604" s="6"/>
      <c r="B1604" s="5"/>
      <c r="C1604" s="7"/>
      <c r="D1604" s="7"/>
    </row>
    <row r="1605">
      <c r="A1605" s="6"/>
      <c r="B1605" s="5"/>
      <c r="C1605" s="7"/>
      <c r="D1605" s="7"/>
    </row>
    <row r="1606">
      <c r="A1606" s="6"/>
      <c r="B1606" s="5"/>
      <c r="C1606" s="7"/>
      <c r="D1606" s="7"/>
    </row>
    <row r="1607">
      <c r="A1607" s="6"/>
      <c r="B1607" s="5"/>
      <c r="C1607" s="7"/>
      <c r="D1607" s="7"/>
    </row>
    <row r="1608">
      <c r="A1608" s="6"/>
      <c r="B1608" s="5"/>
      <c r="C1608" s="7"/>
      <c r="D1608" s="7"/>
    </row>
    <row r="1609">
      <c r="A1609" s="6"/>
      <c r="B1609" s="5"/>
      <c r="C1609" s="7"/>
      <c r="D1609" s="7"/>
    </row>
    <row r="1610">
      <c r="A1610" s="6"/>
      <c r="B1610" s="5"/>
      <c r="C1610" s="7"/>
      <c r="D1610" s="7"/>
    </row>
    <row r="1611">
      <c r="A1611" s="6"/>
      <c r="B1611" s="5"/>
      <c r="C1611" s="7"/>
      <c r="D1611" s="7"/>
    </row>
    <row r="1612">
      <c r="A1612" s="6"/>
      <c r="B1612" s="5"/>
      <c r="C1612" s="7"/>
      <c r="D1612" s="7"/>
    </row>
    <row r="1613">
      <c r="A1613" s="6"/>
      <c r="B1613" s="5"/>
      <c r="C1613" s="7"/>
      <c r="D1613" s="7"/>
    </row>
    <row r="1614">
      <c r="A1614" s="6"/>
      <c r="B1614" s="5"/>
      <c r="C1614" s="7"/>
      <c r="D1614" s="7"/>
    </row>
    <row r="1615">
      <c r="A1615" s="6"/>
      <c r="B1615" s="5"/>
      <c r="C1615" s="7"/>
      <c r="D1615" s="7"/>
    </row>
    <row r="1616">
      <c r="A1616" s="6"/>
      <c r="B1616" s="5"/>
      <c r="C1616" s="7"/>
      <c r="D1616" s="7"/>
    </row>
    <row r="1617">
      <c r="A1617" s="6"/>
      <c r="B1617" s="5"/>
      <c r="C1617" s="7"/>
      <c r="D1617" s="7"/>
    </row>
    <row r="1618">
      <c r="A1618" s="6"/>
      <c r="B1618" s="5"/>
      <c r="C1618" s="7"/>
      <c r="D1618" s="7"/>
    </row>
    <row r="1619">
      <c r="A1619" s="6"/>
      <c r="B1619" s="5"/>
      <c r="C1619" s="7"/>
      <c r="D1619" s="7"/>
    </row>
    <row r="1620">
      <c r="A1620" s="6"/>
      <c r="B1620" s="5"/>
      <c r="C1620" s="7"/>
      <c r="D1620" s="7"/>
    </row>
    <row r="1621">
      <c r="A1621" s="6"/>
      <c r="B1621" s="5"/>
      <c r="C1621" s="7"/>
      <c r="D1621" s="7"/>
    </row>
    <row r="1622">
      <c r="A1622" s="6"/>
      <c r="B1622" s="5"/>
      <c r="C1622" s="7"/>
      <c r="D1622" s="7"/>
    </row>
    <row r="1623">
      <c r="A1623" s="6"/>
      <c r="B1623" s="5"/>
      <c r="C1623" s="7"/>
      <c r="D1623" s="7"/>
    </row>
    <row r="1624">
      <c r="A1624" s="6"/>
      <c r="B1624" s="5"/>
      <c r="C1624" s="7"/>
      <c r="D1624" s="7"/>
    </row>
    <row r="1625">
      <c r="A1625" s="6"/>
      <c r="B1625" s="5"/>
      <c r="C1625" s="7"/>
      <c r="D1625" s="7"/>
    </row>
    <row r="1626">
      <c r="A1626" s="6"/>
      <c r="B1626" s="5"/>
      <c r="C1626" s="7"/>
      <c r="D1626" s="7"/>
    </row>
    <row r="1627">
      <c r="A1627" s="6"/>
      <c r="B1627" s="5"/>
      <c r="C1627" s="7"/>
      <c r="D1627" s="7"/>
    </row>
    <row r="1628">
      <c r="A1628" s="6"/>
      <c r="B1628" s="5"/>
      <c r="C1628" s="7"/>
      <c r="D1628" s="7"/>
    </row>
    <row r="1629">
      <c r="A1629" s="6"/>
      <c r="B1629" s="5"/>
      <c r="C1629" s="7"/>
      <c r="D1629" s="7"/>
    </row>
    <row r="1630">
      <c r="A1630" s="6"/>
      <c r="B1630" s="5"/>
      <c r="C1630" s="7"/>
      <c r="D1630" s="7"/>
    </row>
    <row r="1631">
      <c r="A1631" s="6"/>
      <c r="B1631" s="5"/>
      <c r="C1631" s="7"/>
      <c r="D1631" s="7"/>
    </row>
    <row r="1632">
      <c r="A1632" s="6"/>
      <c r="B1632" s="5"/>
      <c r="C1632" s="7"/>
      <c r="D1632" s="7"/>
    </row>
    <row r="1633">
      <c r="A1633" s="6"/>
      <c r="B1633" s="5"/>
      <c r="C1633" s="7"/>
      <c r="D1633" s="7"/>
    </row>
    <row r="1634">
      <c r="A1634" s="6"/>
      <c r="B1634" s="5"/>
      <c r="C1634" s="7"/>
      <c r="D1634" s="7"/>
    </row>
    <row r="1635">
      <c r="A1635" s="6"/>
      <c r="B1635" s="5"/>
      <c r="C1635" s="7"/>
      <c r="D1635" s="7"/>
    </row>
    <row r="1636">
      <c r="A1636" s="6"/>
      <c r="B1636" s="5"/>
      <c r="C1636" s="7"/>
      <c r="D1636" s="7"/>
    </row>
    <row r="1637">
      <c r="A1637" s="6"/>
      <c r="B1637" s="5"/>
      <c r="C1637" s="7"/>
      <c r="D1637" s="7"/>
    </row>
    <row r="1638">
      <c r="A1638" s="6"/>
      <c r="B1638" s="5"/>
      <c r="C1638" s="7"/>
      <c r="D1638" s="7"/>
    </row>
    <row r="1639">
      <c r="A1639" s="6"/>
      <c r="B1639" s="5"/>
      <c r="C1639" s="7"/>
      <c r="D1639" s="7"/>
    </row>
    <row r="1640">
      <c r="A1640" s="6"/>
      <c r="B1640" s="5"/>
      <c r="C1640" s="7"/>
      <c r="D1640" s="7"/>
    </row>
    <row r="1641">
      <c r="A1641" s="6"/>
      <c r="B1641" s="5"/>
      <c r="C1641" s="7"/>
      <c r="D1641" s="7"/>
    </row>
    <row r="1642">
      <c r="A1642" s="6"/>
      <c r="B1642" s="5"/>
      <c r="C1642" s="7"/>
      <c r="D1642" s="7"/>
    </row>
    <row r="1643">
      <c r="A1643" s="6"/>
      <c r="B1643" s="5"/>
      <c r="C1643" s="7"/>
      <c r="D1643" s="7"/>
    </row>
    <row r="1644">
      <c r="A1644" s="6"/>
      <c r="B1644" s="5"/>
      <c r="C1644" s="7"/>
      <c r="D1644" s="7"/>
    </row>
    <row r="1645">
      <c r="A1645" s="6"/>
      <c r="B1645" s="5"/>
      <c r="C1645" s="7"/>
      <c r="D1645" s="7"/>
    </row>
    <row r="1646">
      <c r="A1646" s="6"/>
      <c r="B1646" s="5"/>
      <c r="C1646" s="7"/>
      <c r="D1646" s="7"/>
    </row>
    <row r="1647">
      <c r="A1647" s="6"/>
      <c r="B1647" s="5"/>
      <c r="C1647" s="7"/>
      <c r="D1647" s="7"/>
    </row>
    <row r="1648">
      <c r="A1648" s="6"/>
      <c r="B1648" s="5"/>
      <c r="C1648" s="7"/>
      <c r="D1648" s="7"/>
    </row>
    <row r="1649">
      <c r="A1649" s="6"/>
      <c r="B1649" s="5"/>
      <c r="C1649" s="7"/>
      <c r="D1649" s="7"/>
    </row>
    <row r="1650">
      <c r="A1650" s="6"/>
      <c r="B1650" s="5"/>
      <c r="C1650" s="7"/>
      <c r="D1650" s="7"/>
    </row>
    <row r="1651">
      <c r="A1651" s="6"/>
      <c r="B1651" s="5"/>
      <c r="C1651" s="7"/>
      <c r="D1651" s="7"/>
    </row>
    <row r="1652">
      <c r="A1652" s="6"/>
      <c r="B1652" s="5"/>
      <c r="C1652" s="7"/>
      <c r="D1652" s="7"/>
    </row>
    <row r="1653">
      <c r="A1653" s="6"/>
      <c r="B1653" s="5"/>
      <c r="C1653" s="7"/>
      <c r="D1653" s="7"/>
    </row>
    <row r="1654">
      <c r="A1654" s="6"/>
      <c r="B1654" s="5"/>
      <c r="C1654" s="7"/>
      <c r="D1654" s="7"/>
    </row>
    <row r="1655">
      <c r="A1655" s="6"/>
      <c r="B1655" s="5"/>
      <c r="C1655" s="7"/>
      <c r="D1655" s="7"/>
    </row>
    <row r="1656">
      <c r="A1656" s="6"/>
      <c r="B1656" s="5"/>
      <c r="C1656" s="7"/>
      <c r="D1656" s="7"/>
    </row>
    <row r="1657">
      <c r="A1657" s="6"/>
      <c r="B1657" s="5"/>
      <c r="C1657" s="7"/>
      <c r="D1657" s="7"/>
    </row>
    <row r="1658">
      <c r="A1658" s="6"/>
      <c r="B1658" s="5"/>
      <c r="C1658" s="7"/>
      <c r="D1658" s="7"/>
    </row>
    <row r="1659">
      <c r="A1659" s="6"/>
      <c r="B1659" s="5"/>
      <c r="C1659" s="7"/>
      <c r="D1659" s="7"/>
    </row>
    <row r="1660">
      <c r="A1660" s="6"/>
      <c r="B1660" s="5"/>
      <c r="C1660" s="7"/>
      <c r="D1660" s="7"/>
    </row>
    <row r="1661">
      <c r="A1661" s="6"/>
      <c r="B1661" s="5"/>
      <c r="C1661" s="7"/>
      <c r="D1661" s="7"/>
    </row>
    <row r="1662">
      <c r="A1662" s="6"/>
      <c r="B1662" s="5"/>
      <c r="C1662" s="7"/>
      <c r="D1662" s="7"/>
    </row>
    <row r="1663">
      <c r="A1663" s="6"/>
      <c r="B1663" s="5"/>
      <c r="C1663" s="7"/>
      <c r="D1663" s="7"/>
    </row>
    <row r="1664">
      <c r="A1664" s="6"/>
      <c r="B1664" s="5"/>
      <c r="C1664" s="7"/>
      <c r="D1664" s="7"/>
    </row>
    <row r="1665">
      <c r="A1665" s="6"/>
      <c r="B1665" s="5"/>
      <c r="C1665" s="7"/>
      <c r="D1665" s="7"/>
    </row>
    <row r="1666">
      <c r="A1666" s="6"/>
      <c r="B1666" s="5"/>
      <c r="C1666" s="7"/>
      <c r="D1666" s="7"/>
    </row>
    <row r="1667">
      <c r="A1667" s="6"/>
      <c r="B1667" s="5"/>
      <c r="C1667" s="7"/>
      <c r="D1667" s="7"/>
    </row>
    <row r="1668">
      <c r="A1668" s="6"/>
      <c r="B1668" s="5"/>
      <c r="C1668" s="7"/>
      <c r="D1668" s="7"/>
    </row>
    <row r="1669">
      <c r="A1669" s="6"/>
      <c r="B1669" s="5"/>
      <c r="C1669" s="7"/>
      <c r="D1669" s="7"/>
    </row>
    <row r="1670">
      <c r="A1670" s="6"/>
      <c r="B1670" s="5"/>
      <c r="C1670" s="7"/>
      <c r="D1670" s="7"/>
    </row>
    <row r="1671">
      <c r="A1671" s="6"/>
      <c r="B1671" s="5"/>
      <c r="C1671" s="7"/>
      <c r="D1671" s="7"/>
    </row>
    <row r="1672">
      <c r="A1672" s="6"/>
      <c r="B1672" s="5"/>
      <c r="C1672" s="7"/>
      <c r="D1672" s="7"/>
    </row>
    <row r="1673">
      <c r="A1673" s="6"/>
      <c r="B1673" s="5"/>
      <c r="C1673" s="7"/>
      <c r="D1673" s="7"/>
    </row>
    <row r="1674">
      <c r="A1674" s="6"/>
      <c r="B1674" s="5"/>
      <c r="C1674" s="7"/>
      <c r="D1674" s="7"/>
    </row>
    <row r="1675">
      <c r="A1675" s="6"/>
      <c r="B1675" s="5"/>
      <c r="C1675" s="7"/>
      <c r="D1675" s="7"/>
    </row>
    <row r="1676">
      <c r="A1676" s="6"/>
      <c r="B1676" s="5"/>
      <c r="C1676" s="7"/>
      <c r="D1676" s="7"/>
    </row>
    <row r="1677">
      <c r="A1677" s="6"/>
      <c r="B1677" s="5"/>
      <c r="C1677" s="7"/>
      <c r="D1677" s="7"/>
    </row>
    <row r="1678">
      <c r="A1678" s="6"/>
      <c r="B1678" s="5"/>
      <c r="C1678" s="7"/>
      <c r="D1678" s="7"/>
    </row>
    <row r="1679">
      <c r="A1679" s="6"/>
      <c r="B1679" s="5"/>
      <c r="C1679" s="7"/>
      <c r="D1679" s="7"/>
    </row>
    <row r="1680">
      <c r="A1680" s="6"/>
      <c r="B1680" s="5"/>
      <c r="C1680" s="7"/>
      <c r="D1680" s="7"/>
    </row>
    <row r="1681">
      <c r="A1681" s="6"/>
      <c r="B1681" s="5"/>
      <c r="C1681" s="7"/>
      <c r="D1681" s="7"/>
    </row>
    <row r="1682">
      <c r="A1682" s="6"/>
      <c r="B1682" s="5"/>
      <c r="C1682" s="7"/>
      <c r="D1682" s="7"/>
    </row>
    <row r="1683">
      <c r="A1683" s="6"/>
      <c r="B1683" s="5"/>
      <c r="C1683" s="7"/>
      <c r="D1683" s="7"/>
    </row>
    <row r="1684">
      <c r="A1684" s="6"/>
      <c r="B1684" s="5"/>
      <c r="C1684" s="7"/>
      <c r="D1684" s="7"/>
    </row>
    <row r="1685">
      <c r="A1685" s="6"/>
      <c r="B1685" s="5"/>
      <c r="C1685" s="7"/>
      <c r="D1685" s="7"/>
    </row>
    <row r="1686">
      <c r="A1686" s="6"/>
      <c r="B1686" s="5"/>
      <c r="C1686" s="7"/>
      <c r="D1686" s="7"/>
    </row>
    <row r="1687">
      <c r="A1687" s="6"/>
      <c r="B1687" s="5"/>
      <c r="C1687" s="7"/>
      <c r="D1687" s="7"/>
    </row>
    <row r="1688">
      <c r="A1688" s="6"/>
      <c r="B1688" s="5"/>
      <c r="C1688" s="7"/>
      <c r="D1688" s="7"/>
    </row>
    <row r="1689">
      <c r="A1689" s="6"/>
      <c r="B1689" s="5"/>
      <c r="C1689" s="7"/>
      <c r="D1689" s="7"/>
    </row>
    <row r="1690">
      <c r="A1690" s="6"/>
      <c r="B1690" s="5"/>
      <c r="C1690" s="7"/>
      <c r="D1690" s="7"/>
    </row>
    <row r="1691">
      <c r="A1691" s="6"/>
      <c r="B1691" s="5"/>
      <c r="C1691" s="7"/>
      <c r="D1691" s="7"/>
    </row>
    <row r="1692">
      <c r="A1692" s="6"/>
      <c r="B1692" s="5"/>
      <c r="C1692" s="7"/>
      <c r="D1692" s="7"/>
    </row>
    <row r="1693">
      <c r="A1693" s="6"/>
      <c r="B1693" s="5"/>
      <c r="C1693" s="7"/>
      <c r="D1693" s="7"/>
    </row>
    <row r="1694">
      <c r="A1694" s="6"/>
      <c r="B1694" s="5"/>
      <c r="C1694" s="7"/>
      <c r="D1694" s="7"/>
    </row>
    <row r="1695">
      <c r="A1695" s="6"/>
      <c r="B1695" s="5"/>
      <c r="C1695" s="7"/>
      <c r="D1695" s="7"/>
    </row>
    <row r="1696">
      <c r="A1696" s="6"/>
      <c r="B1696" s="5"/>
      <c r="C1696" s="7"/>
      <c r="D1696" s="7"/>
    </row>
    <row r="1697">
      <c r="A1697" s="6"/>
      <c r="B1697" s="5"/>
      <c r="C1697" s="7"/>
      <c r="D1697" s="7"/>
    </row>
    <row r="1698">
      <c r="A1698" s="6"/>
      <c r="B1698" s="5"/>
      <c r="C1698" s="7"/>
      <c r="D1698" s="7"/>
    </row>
    <row r="1699">
      <c r="A1699" s="6"/>
      <c r="B1699" s="5"/>
      <c r="C1699" s="7"/>
      <c r="D1699" s="7"/>
    </row>
    <row r="1700">
      <c r="A1700" s="6"/>
      <c r="B1700" s="5"/>
      <c r="C1700" s="7"/>
      <c r="D1700" s="7"/>
    </row>
    <row r="1701">
      <c r="A1701" s="6"/>
      <c r="B1701" s="5"/>
      <c r="C1701" s="7"/>
      <c r="D1701" s="7"/>
    </row>
    <row r="1702">
      <c r="A1702" s="6"/>
      <c r="B1702" s="5"/>
      <c r="C1702" s="7"/>
      <c r="D1702" s="7"/>
    </row>
    <row r="1703">
      <c r="A1703" s="6"/>
      <c r="B1703" s="5"/>
      <c r="C1703" s="7"/>
      <c r="D1703" s="7"/>
    </row>
    <row r="1704">
      <c r="A1704" s="6"/>
      <c r="B1704" s="5"/>
      <c r="C1704" s="7"/>
      <c r="D1704" s="7"/>
    </row>
    <row r="1705">
      <c r="A1705" s="6"/>
      <c r="B1705" s="5"/>
      <c r="C1705" s="7"/>
      <c r="D1705" s="7"/>
    </row>
    <row r="1706">
      <c r="A1706" s="6"/>
      <c r="B1706" s="5"/>
      <c r="C1706" s="7"/>
      <c r="D1706" s="7"/>
    </row>
    <row r="1707">
      <c r="A1707" s="6"/>
      <c r="B1707" s="5"/>
      <c r="C1707" s="7"/>
      <c r="D1707" s="7"/>
    </row>
    <row r="1708">
      <c r="A1708" s="6"/>
      <c r="B1708" s="5"/>
      <c r="C1708" s="7"/>
      <c r="D1708" s="7"/>
    </row>
    <row r="1709">
      <c r="A1709" s="6"/>
      <c r="B1709" s="5"/>
      <c r="C1709" s="7"/>
      <c r="D1709" s="7"/>
    </row>
    <row r="1710">
      <c r="A1710" s="6"/>
      <c r="B1710" s="5"/>
      <c r="C1710" s="7"/>
      <c r="D1710" s="7"/>
    </row>
    <row r="1711">
      <c r="A1711" s="6"/>
      <c r="B1711" s="5"/>
      <c r="C1711" s="7"/>
      <c r="D1711" s="7"/>
    </row>
    <row r="1712">
      <c r="A1712" s="6"/>
      <c r="B1712" s="5"/>
      <c r="C1712" s="7"/>
      <c r="D1712" s="7"/>
    </row>
    <row r="1713">
      <c r="A1713" s="6"/>
      <c r="B1713" s="5"/>
      <c r="C1713" s="7"/>
      <c r="D1713" s="7"/>
    </row>
    <row r="1714">
      <c r="A1714" s="6"/>
      <c r="B1714" s="5"/>
      <c r="C1714" s="7"/>
      <c r="D1714" s="7"/>
    </row>
    <row r="1715">
      <c r="A1715" s="6"/>
      <c r="B1715" s="5"/>
      <c r="C1715" s="7"/>
      <c r="D1715" s="7"/>
    </row>
    <row r="1716">
      <c r="A1716" s="6"/>
      <c r="B1716" s="5"/>
      <c r="C1716" s="7"/>
      <c r="D1716" s="7"/>
    </row>
    <row r="1717">
      <c r="A1717" s="6"/>
      <c r="B1717" s="5"/>
      <c r="C1717" s="7"/>
      <c r="D1717" s="7"/>
    </row>
    <row r="1718">
      <c r="A1718" s="6"/>
      <c r="B1718" s="5"/>
      <c r="C1718" s="7"/>
      <c r="D1718" s="7"/>
    </row>
    <row r="1719">
      <c r="A1719" s="6"/>
      <c r="B1719" s="5"/>
      <c r="C1719" s="7"/>
      <c r="D1719" s="7"/>
    </row>
    <row r="1720">
      <c r="A1720" s="6"/>
      <c r="B1720" s="5"/>
      <c r="C1720" s="7"/>
      <c r="D1720" s="7"/>
    </row>
    <row r="1721">
      <c r="A1721" s="6"/>
      <c r="B1721" s="5"/>
      <c r="C1721" s="7"/>
      <c r="D1721" s="7"/>
    </row>
    <row r="1722">
      <c r="A1722" s="6"/>
      <c r="B1722" s="5"/>
      <c r="C1722" s="7"/>
      <c r="D1722" s="7"/>
    </row>
    <row r="1723">
      <c r="A1723" s="6"/>
      <c r="B1723" s="5"/>
      <c r="C1723" s="7"/>
      <c r="D1723" s="7"/>
    </row>
    <row r="1724">
      <c r="A1724" s="6"/>
      <c r="B1724" s="5"/>
      <c r="C1724" s="7"/>
      <c r="D1724" s="7"/>
    </row>
    <row r="1725">
      <c r="A1725" s="6"/>
      <c r="B1725" s="5"/>
      <c r="C1725" s="7"/>
      <c r="D1725" s="7"/>
    </row>
    <row r="1726">
      <c r="A1726" s="6"/>
      <c r="B1726" s="5"/>
      <c r="C1726" s="7"/>
      <c r="D1726" s="7"/>
    </row>
    <row r="1727">
      <c r="A1727" s="6"/>
      <c r="B1727" s="5"/>
      <c r="C1727" s="7"/>
      <c r="D1727" s="7"/>
    </row>
    <row r="1728">
      <c r="A1728" s="6"/>
      <c r="B1728" s="5"/>
      <c r="C1728" s="7"/>
      <c r="D1728" s="7"/>
    </row>
    <row r="1729">
      <c r="A1729" s="6"/>
      <c r="B1729" s="5"/>
      <c r="C1729" s="7"/>
      <c r="D1729" s="7"/>
    </row>
    <row r="1730">
      <c r="A1730" s="6"/>
      <c r="B1730" s="5"/>
      <c r="C1730" s="7"/>
      <c r="D1730" s="7"/>
    </row>
    <row r="1731">
      <c r="A1731" s="6"/>
      <c r="B1731" s="5"/>
      <c r="C1731" s="7"/>
      <c r="D1731" s="7"/>
    </row>
    <row r="1732">
      <c r="A1732" s="6"/>
      <c r="B1732" s="5"/>
      <c r="C1732" s="7"/>
      <c r="D1732" s="7"/>
    </row>
    <row r="1733">
      <c r="A1733" s="6"/>
      <c r="B1733" s="5"/>
      <c r="C1733" s="7"/>
      <c r="D1733" s="7"/>
    </row>
    <row r="1734">
      <c r="A1734" s="6"/>
      <c r="B1734" s="5"/>
      <c r="C1734" s="7"/>
      <c r="D1734" s="7"/>
    </row>
    <row r="1735">
      <c r="A1735" s="6"/>
      <c r="B1735" s="5"/>
      <c r="C1735" s="7"/>
      <c r="D1735" s="7"/>
    </row>
    <row r="1736">
      <c r="A1736" s="6"/>
      <c r="B1736" s="5"/>
      <c r="C1736" s="7"/>
      <c r="D1736" s="7"/>
    </row>
    <row r="1737">
      <c r="A1737" s="6"/>
      <c r="B1737" s="5"/>
      <c r="C1737" s="7"/>
      <c r="D1737" s="7"/>
    </row>
    <row r="1738">
      <c r="A1738" s="6"/>
      <c r="B1738" s="5"/>
      <c r="C1738" s="7"/>
      <c r="D1738" s="7"/>
    </row>
    <row r="1739">
      <c r="A1739" s="6"/>
      <c r="B1739" s="5"/>
      <c r="C1739" s="7"/>
      <c r="D1739" s="7"/>
    </row>
    <row r="1740">
      <c r="A1740" s="6"/>
      <c r="B1740" s="5"/>
      <c r="C1740" s="7"/>
      <c r="D1740" s="7"/>
    </row>
    <row r="1741">
      <c r="A1741" s="6"/>
      <c r="B1741" s="5"/>
      <c r="C1741" s="7"/>
      <c r="D1741" s="7"/>
    </row>
    <row r="1742">
      <c r="A1742" s="6"/>
      <c r="B1742" s="5"/>
      <c r="C1742" s="7"/>
      <c r="D1742" s="7"/>
    </row>
    <row r="1743">
      <c r="A1743" s="6"/>
      <c r="B1743" s="5"/>
      <c r="C1743" s="7"/>
      <c r="D1743" s="7"/>
    </row>
    <row r="1744">
      <c r="A1744" s="6"/>
      <c r="B1744" s="5"/>
      <c r="C1744" s="7"/>
      <c r="D1744" s="7"/>
    </row>
    <row r="1745">
      <c r="A1745" s="6"/>
      <c r="B1745" s="5"/>
      <c r="C1745" s="7"/>
      <c r="D1745" s="7"/>
    </row>
    <row r="1746">
      <c r="A1746" s="6"/>
      <c r="B1746" s="5"/>
      <c r="C1746" s="7"/>
      <c r="D1746" s="7"/>
    </row>
    <row r="1747">
      <c r="A1747" s="6"/>
      <c r="B1747" s="5"/>
      <c r="C1747" s="7"/>
      <c r="D1747" s="7"/>
    </row>
    <row r="1748">
      <c r="A1748" s="6"/>
      <c r="B1748" s="5"/>
      <c r="C1748" s="7"/>
      <c r="D1748" s="7"/>
    </row>
    <row r="1749">
      <c r="A1749" s="6"/>
      <c r="B1749" s="5"/>
      <c r="C1749" s="7"/>
      <c r="D1749" s="7"/>
    </row>
    <row r="1750">
      <c r="A1750" s="6"/>
      <c r="B1750" s="5"/>
      <c r="C1750" s="7"/>
      <c r="D1750" s="7"/>
    </row>
    <row r="1751">
      <c r="A1751" s="6"/>
      <c r="B1751" s="5"/>
      <c r="C1751" s="7"/>
      <c r="D1751" s="7"/>
    </row>
    <row r="1752">
      <c r="A1752" s="6"/>
      <c r="B1752" s="5"/>
      <c r="C1752" s="7"/>
      <c r="D1752" s="7"/>
    </row>
    <row r="1753">
      <c r="A1753" s="6"/>
      <c r="B1753" s="5"/>
      <c r="C1753" s="7"/>
      <c r="D1753" s="7"/>
    </row>
    <row r="1754">
      <c r="A1754" s="6"/>
      <c r="B1754" s="5"/>
      <c r="C1754" s="7"/>
      <c r="D1754" s="7"/>
    </row>
    <row r="1755">
      <c r="A1755" s="6"/>
      <c r="B1755" s="5"/>
      <c r="C1755" s="7"/>
      <c r="D1755" s="7"/>
    </row>
    <row r="1756">
      <c r="A1756" s="6"/>
      <c r="B1756" s="5"/>
      <c r="C1756" s="7"/>
      <c r="D1756" s="7"/>
    </row>
    <row r="1757">
      <c r="A1757" s="6"/>
      <c r="B1757" s="5"/>
      <c r="C1757" s="7"/>
      <c r="D1757" s="7"/>
    </row>
    <row r="1758">
      <c r="A1758" s="6"/>
      <c r="B1758" s="5"/>
      <c r="C1758" s="7"/>
      <c r="D1758" s="7"/>
    </row>
    <row r="1759">
      <c r="A1759" s="6"/>
      <c r="B1759" s="5"/>
      <c r="C1759" s="7"/>
      <c r="D1759" s="7"/>
    </row>
    <row r="1760">
      <c r="A1760" s="6"/>
      <c r="B1760" s="5"/>
      <c r="C1760" s="7"/>
      <c r="D1760" s="7"/>
    </row>
    <row r="1761">
      <c r="A1761" s="6"/>
      <c r="B1761" s="5"/>
      <c r="C1761" s="7"/>
      <c r="D1761" s="7"/>
    </row>
    <row r="1762">
      <c r="A1762" s="6"/>
      <c r="B1762" s="5"/>
      <c r="C1762" s="7"/>
      <c r="D1762" s="7"/>
    </row>
    <row r="1763">
      <c r="A1763" s="6"/>
      <c r="B1763" s="5"/>
      <c r="C1763" s="7"/>
      <c r="D1763" s="7"/>
    </row>
    <row r="1764">
      <c r="A1764" s="6"/>
      <c r="B1764" s="5"/>
      <c r="C1764" s="7"/>
      <c r="D1764" s="7"/>
    </row>
    <row r="1765">
      <c r="A1765" s="6"/>
      <c r="B1765" s="5"/>
      <c r="C1765" s="7"/>
      <c r="D1765" s="7"/>
    </row>
    <row r="1766">
      <c r="A1766" s="6"/>
      <c r="B1766" s="5"/>
      <c r="C1766" s="7"/>
      <c r="D1766" s="7"/>
    </row>
    <row r="1767">
      <c r="A1767" s="6"/>
      <c r="B1767" s="5"/>
      <c r="C1767" s="7"/>
      <c r="D1767" s="7"/>
    </row>
    <row r="1768">
      <c r="A1768" s="6"/>
      <c r="B1768" s="5"/>
      <c r="C1768" s="7"/>
      <c r="D1768" s="7"/>
    </row>
    <row r="1769">
      <c r="A1769" s="6"/>
      <c r="B1769" s="5"/>
      <c r="C1769" s="7"/>
      <c r="D1769" s="7"/>
    </row>
    <row r="1770">
      <c r="A1770" s="6"/>
      <c r="B1770" s="5"/>
      <c r="C1770" s="7"/>
      <c r="D1770" s="7"/>
    </row>
    <row r="1771">
      <c r="A1771" s="6"/>
      <c r="B1771" s="5"/>
      <c r="C1771" s="7"/>
      <c r="D1771" s="7"/>
    </row>
    <row r="1772">
      <c r="A1772" s="6"/>
      <c r="B1772" s="5"/>
      <c r="C1772" s="7"/>
      <c r="D1772" s="7"/>
    </row>
    <row r="1773">
      <c r="A1773" s="6"/>
      <c r="B1773" s="5"/>
      <c r="C1773" s="7"/>
      <c r="D1773" s="7"/>
    </row>
    <row r="1774">
      <c r="A1774" s="6"/>
      <c r="B1774" s="5"/>
      <c r="C1774" s="7"/>
      <c r="D1774" s="7"/>
    </row>
    <row r="1775">
      <c r="A1775" s="6"/>
      <c r="B1775" s="5"/>
      <c r="C1775" s="7"/>
      <c r="D1775" s="7"/>
    </row>
    <row r="1776">
      <c r="A1776" s="6"/>
      <c r="B1776" s="5"/>
      <c r="C1776" s="7"/>
      <c r="D1776" s="7"/>
    </row>
    <row r="1777">
      <c r="A1777" s="6"/>
      <c r="B1777" s="5"/>
      <c r="C1777" s="7"/>
      <c r="D1777" s="7"/>
    </row>
    <row r="1778">
      <c r="A1778" s="6"/>
      <c r="B1778" s="5"/>
      <c r="C1778" s="7"/>
      <c r="D1778" s="7"/>
    </row>
    <row r="1779">
      <c r="A1779" s="6"/>
      <c r="B1779" s="5"/>
      <c r="C1779" s="7"/>
      <c r="D1779" s="7"/>
    </row>
    <row r="1780">
      <c r="A1780" s="6"/>
      <c r="B1780" s="5"/>
      <c r="C1780" s="7"/>
      <c r="D1780" s="7"/>
    </row>
    <row r="1781">
      <c r="A1781" s="6"/>
      <c r="B1781" s="5"/>
      <c r="C1781" s="7"/>
      <c r="D1781" s="7"/>
    </row>
    <row r="1782">
      <c r="A1782" s="6"/>
      <c r="B1782" s="5"/>
      <c r="C1782" s="7"/>
      <c r="D1782" s="7"/>
    </row>
    <row r="1783">
      <c r="A1783" s="6"/>
      <c r="B1783" s="5"/>
      <c r="C1783" s="7"/>
      <c r="D1783" s="7"/>
    </row>
    <row r="1784">
      <c r="A1784" s="6"/>
      <c r="B1784" s="5"/>
      <c r="C1784" s="7"/>
      <c r="D1784" s="7"/>
    </row>
    <row r="1785">
      <c r="A1785" s="6"/>
      <c r="B1785" s="5"/>
      <c r="C1785" s="7"/>
      <c r="D1785" s="7"/>
    </row>
    <row r="1786">
      <c r="A1786" s="6"/>
      <c r="B1786" s="5"/>
      <c r="C1786" s="7"/>
      <c r="D1786" s="7"/>
    </row>
    <row r="1787">
      <c r="A1787" s="6"/>
      <c r="B1787" s="5"/>
      <c r="C1787" s="7"/>
      <c r="D1787" s="7"/>
    </row>
    <row r="1788">
      <c r="A1788" s="6"/>
      <c r="B1788" s="5"/>
      <c r="C1788" s="7"/>
      <c r="D1788" s="7"/>
    </row>
    <row r="1789">
      <c r="A1789" s="6"/>
      <c r="B1789" s="5"/>
      <c r="C1789" s="7"/>
      <c r="D1789" s="7"/>
    </row>
    <row r="1790">
      <c r="A1790" s="6"/>
      <c r="B1790" s="5"/>
      <c r="C1790" s="7"/>
      <c r="D1790" s="7"/>
    </row>
    <row r="1791">
      <c r="A1791" s="6"/>
      <c r="B1791" s="5"/>
      <c r="C1791" s="7"/>
      <c r="D1791" s="7"/>
    </row>
    <row r="1792">
      <c r="A1792" s="6"/>
      <c r="B1792" s="5"/>
      <c r="C1792" s="7"/>
      <c r="D1792" s="7"/>
    </row>
    <row r="1793">
      <c r="A1793" s="6"/>
      <c r="B1793" s="5"/>
      <c r="C1793" s="7"/>
      <c r="D1793" s="7"/>
    </row>
    <row r="1794">
      <c r="A1794" s="6"/>
      <c r="B1794" s="5"/>
      <c r="C1794" s="7"/>
      <c r="D1794" s="7"/>
    </row>
    <row r="1795">
      <c r="A1795" s="6"/>
      <c r="B1795" s="5"/>
      <c r="C1795" s="7"/>
      <c r="D1795" s="7"/>
    </row>
    <row r="1796">
      <c r="A1796" s="6"/>
      <c r="B1796" s="5"/>
      <c r="C1796" s="7"/>
      <c r="D1796" s="7"/>
    </row>
    <row r="1797">
      <c r="A1797" s="6"/>
      <c r="B1797" s="5"/>
      <c r="C1797" s="7"/>
      <c r="D1797" s="7"/>
    </row>
    <row r="1798">
      <c r="A1798" s="6"/>
      <c r="B1798" s="5"/>
      <c r="C1798" s="7"/>
      <c r="D1798" s="7"/>
    </row>
    <row r="1799">
      <c r="A1799" s="6"/>
      <c r="B1799" s="5"/>
      <c r="C1799" s="7"/>
      <c r="D1799" s="7"/>
    </row>
    <row r="1800">
      <c r="A1800" s="6"/>
      <c r="B1800" s="5"/>
      <c r="C1800" s="7"/>
      <c r="D1800" s="7"/>
    </row>
    <row r="1801">
      <c r="A1801" s="6"/>
      <c r="B1801" s="5"/>
      <c r="C1801" s="7"/>
      <c r="D1801" s="7"/>
    </row>
    <row r="1802">
      <c r="A1802" s="6"/>
      <c r="B1802" s="5"/>
      <c r="C1802" s="7"/>
      <c r="D1802" s="7"/>
    </row>
    <row r="1803">
      <c r="A1803" s="6"/>
      <c r="B1803" s="5"/>
      <c r="C1803" s="7"/>
      <c r="D1803" s="7"/>
    </row>
    <row r="1804">
      <c r="A1804" s="6"/>
      <c r="B1804" s="5"/>
      <c r="C1804" s="7"/>
      <c r="D1804" s="7"/>
    </row>
    <row r="1805">
      <c r="A1805" s="6"/>
      <c r="B1805" s="5"/>
      <c r="C1805" s="7"/>
      <c r="D1805" s="7"/>
    </row>
    <row r="1806">
      <c r="A1806" s="6"/>
      <c r="B1806" s="5"/>
      <c r="C1806" s="7"/>
      <c r="D1806" s="7"/>
    </row>
    <row r="1807">
      <c r="A1807" s="6"/>
      <c r="B1807" s="5"/>
      <c r="C1807" s="7"/>
      <c r="D1807" s="7"/>
    </row>
    <row r="1808">
      <c r="A1808" s="6"/>
      <c r="B1808" s="5"/>
      <c r="C1808" s="7"/>
      <c r="D1808" s="7"/>
    </row>
    <row r="1809">
      <c r="A1809" s="6"/>
      <c r="B1809" s="5"/>
      <c r="C1809" s="7"/>
      <c r="D1809" s="7"/>
    </row>
    <row r="1810">
      <c r="A1810" s="6"/>
      <c r="B1810" s="5"/>
      <c r="C1810" s="7"/>
      <c r="D1810" s="7"/>
    </row>
    <row r="1811">
      <c r="A1811" s="6"/>
      <c r="B1811" s="5"/>
      <c r="C1811" s="7"/>
      <c r="D1811" s="7"/>
    </row>
    <row r="1812">
      <c r="A1812" s="6"/>
      <c r="B1812" s="5"/>
      <c r="C1812" s="7"/>
      <c r="D1812" s="7"/>
    </row>
    <row r="1813">
      <c r="A1813" s="6"/>
      <c r="B1813" s="5"/>
      <c r="C1813" s="7"/>
      <c r="D1813" s="7"/>
    </row>
    <row r="1814">
      <c r="A1814" s="6"/>
      <c r="B1814" s="5"/>
      <c r="C1814" s="7"/>
      <c r="D1814" s="7"/>
    </row>
    <row r="1815">
      <c r="A1815" s="6"/>
      <c r="B1815" s="5"/>
      <c r="C1815" s="7"/>
      <c r="D1815" s="7"/>
    </row>
    <row r="1816">
      <c r="A1816" s="6"/>
      <c r="B1816" s="5"/>
      <c r="C1816" s="7"/>
      <c r="D1816" s="7"/>
    </row>
    <row r="1817">
      <c r="A1817" s="6"/>
      <c r="B1817" s="5"/>
      <c r="C1817" s="7"/>
      <c r="D1817" s="7"/>
    </row>
    <row r="1818">
      <c r="A1818" s="6"/>
      <c r="B1818" s="5"/>
      <c r="C1818" s="7"/>
      <c r="D1818" s="7"/>
    </row>
    <row r="1819">
      <c r="A1819" s="6"/>
      <c r="B1819" s="5"/>
      <c r="C1819" s="7"/>
      <c r="D1819" s="7"/>
    </row>
    <row r="1820">
      <c r="A1820" s="6"/>
      <c r="B1820" s="5"/>
      <c r="C1820" s="7"/>
      <c r="D1820" s="7"/>
    </row>
    <row r="1821">
      <c r="A1821" s="6"/>
      <c r="B1821" s="5"/>
      <c r="C1821" s="7"/>
      <c r="D1821" s="7"/>
    </row>
    <row r="1822">
      <c r="A1822" s="6"/>
      <c r="B1822" s="5"/>
      <c r="C1822" s="7"/>
      <c r="D1822" s="7"/>
    </row>
    <row r="1823">
      <c r="A1823" s="6"/>
      <c r="B1823" s="5"/>
      <c r="C1823" s="7"/>
      <c r="D1823" s="7"/>
    </row>
    <row r="1824">
      <c r="A1824" s="6"/>
      <c r="B1824" s="5"/>
      <c r="C1824" s="7"/>
      <c r="D1824" s="7"/>
    </row>
    <row r="1825">
      <c r="A1825" s="6"/>
      <c r="B1825" s="5"/>
      <c r="C1825" s="7"/>
      <c r="D1825" s="7"/>
    </row>
    <row r="1826">
      <c r="A1826" s="6"/>
      <c r="B1826" s="5"/>
      <c r="C1826" s="7"/>
      <c r="D1826" s="7"/>
    </row>
    <row r="1827">
      <c r="A1827" s="6"/>
      <c r="B1827" s="5"/>
      <c r="C1827" s="7"/>
      <c r="D1827" s="7"/>
    </row>
    <row r="1828">
      <c r="A1828" s="6"/>
      <c r="B1828" s="5"/>
      <c r="C1828" s="7"/>
      <c r="D1828" s="7"/>
    </row>
    <row r="1829">
      <c r="A1829" s="6"/>
      <c r="B1829" s="5"/>
      <c r="C1829" s="7"/>
      <c r="D1829" s="7"/>
    </row>
    <row r="1830">
      <c r="A1830" s="6"/>
      <c r="B1830" s="5"/>
      <c r="C1830" s="7"/>
      <c r="D1830" s="7"/>
    </row>
    <row r="1831">
      <c r="A1831" s="6"/>
      <c r="B1831" s="5"/>
      <c r="C1831" s="7"/>
      <c r="D1831" s="7"/>
    </row>
    <row r="1832">
      <c r="A1832" s="6"/>
      <c r="B1832" s="5"/>
      <c r="C1832" s="7"/>
      <c r="D1832" s="7"/>
    </row>
    <row r="1833">
      <c r="A1833" s="6"/>
      <c r="B1833" s="5"/>
      <c r="C1833" s="7"/>
      <c r="D1833" s="7"/>
    </row>
    <row r="1834">
      <c r="A1834" s="6"/>
      <c r="B1834" s="5"/>
      <c r="C1834" s="7"/>
      <c r="D1834" s="7"/>
    </row>
    <row r="1835">
      <c r="A1835" s="6"/>
      <c r="B1835" s="5"/>
      <c r="C1835" s="7"/>
      <c r="D1835" s="7"/>
    </row>
    <row r="1836">
      <c r="A1836" s="6"/>
      <c r="B1836" s="5"/>
      <c r="C1836" s="7"/>
      <c r="D1836" s="7"/>
    </row>
    <row r="1837">
      <c r="A1837" s="6"/>
      <c r="B1837" s="5"/>
      <c r="C1837" s="7"/>
      <c r="D1837" s="7"/>
    </row>
    <row r="1838">
      <c r="A1838" s="6"/>
      <c r="B1838" s="5"/>
      <c r="C1838" s="7"/>
      <c r="D1838" s="7"/>
    </row>
    <row r="1839">
      <c r="A1839" s="6"/>
      <c r="B1839" s="5"/>
      <c r="C1839" s="7"/>
      <c r="D1839" s="7"/>
    </row>
    <row r="1840">
      <c r="A1840" s="6"/>
      <c r="B1840" s="5"/>
      <c r="C1840" s="7"/>
      <c r="D1840" s="7"/>
    </row>
    <row r="1841">
      <c r="A1841" s="6"/>
      <c r="B1841" s="5"/>
      <c r="C1841" s="7"/>
      <c r="D1841" s="7"/>
    </row>
    <row r="1842">
      <c r="A1842" s="6"/>
      <c r="B1842" s="5"/>
      <c r="C1842" s="7"/>
      <c r="D1842" s="7"/>
    </row>
    <row r="1843">
      <c r="A1843" s="6"/>
      <c r="B1843" s="5"/>
      <c r="C1843" s="7"/>
      <c r="D1843" s="7"/>
    </row>
    <row r="1844">
      <c r="A1844" s="6"/>
      <c r="B1844" s="5"/>
      <c r="C1844" s="7"/>
      <c r="D1844" s="7"/>
    </row>
    <row r="1845">
      <c r="A1845" s="6"/>
      <c r="B1845" s="5"/>
      <c r="C1845" s="7"/>
      <c r="D1845" s="7"/>
    </row>
    <row r="1846">
      <c r="A1846" s="6"/>
      <c r="B1846" s="5"/>
      <c r="C1846" s="7"/>
      <c r="D1846" s="7"/>
    </row>
    <row r="1847">
      <c r="A1847" s="6"/>
      <c r="B1847" s="5"/>
      <c r="C1847" s="7"/>
      <c r="D1847" s="7"/>
    </row>
    <row r="1848">
      <c r="A1848" s="6"/>
      <c r="B1848" s="5"/>
      <c r="C1848" s="7"/>
      <c r="D1848" s="7"/>
    </row>
    <row r="1849">
      <c r="A1849" s="6"/>
      <c r="B1849" s="5"/>
      <c r="C1849" s="7"/>
      <c r="D1849" s="7"/>
    </row>
    <row r="1850">
      <c r="A1850" s="6"/>
      <c r="B1850" s="5"/>
      <c r="C1850" s="7"/>
      <c r="D1850" s="7"/>
    </row>
    <row r="1851">
      <c r="A1851" s="6"/>
      <c r="B1851" s="5"/>
      <c r="C1851" s="7"/>
      <c r="D1851" s="7"/>
    </row>
    <row r="1852">
      <c r="A1852" s="6"/>
      <c r="B1852" s="5"/>
      <c r="C1852" s="7"/>
      <c r="D1852" s="7"/>
    </row>
    <row r="1853">
      <c r="A1853" s="6"/>
      <c r="B1853" s="5"/>
      <c r="C1853" s="7"/>
      <c r="D1853" s="7"/>
    </row>
    <row r="1854">
      <c r="A1854" s="6"/>
      <c r="B1854" s="5"/>
      <c r="C1854" s="7"/>
      <c r="D1854" s="7"/>
    </row>
    <row r="1855">
      <c r="A1855" s="6"/>
      <c r="B1855" s="5"/>
      <c r="C1855" s="7"/>
      <c r="D1855" s="7"/>
    </row>
    <row r="1856">
      <c r="A1856" s="6"/>
      <c r="B1856" s="5"/>
      <c r="C1856" s="7"/>
      <c r="D1856" s="7"/>
    </row>
    <row r="1857">
      <c r="A1857" s="6"/>
      <c r="B1857" s="5"/>
      <c r="C1857" s="7"/>
      <c r="D1857" s="7"/>
    </row>
    <row r="1858">
      <c r="A1858" s="6"/>
      <c r="B1858" s="5"/>
      <c r="C1858" s="7"/>
      <c r="D1858" s="7"/>
    </row>
    <row r="1859">
      <c r="A1859" s="6"/>
      <c r="B1859" s="5"/>
      <c r="C1859" s="7"/>
      <c r="D1859" s="7"/>
    </row>
    <row r="1860">
      <c r="A1860" s="6"/>
      <c r="B1860" s="5"/>
      <c r="C1860" s="7"/>
      <c r="D1860" s="7"/>
    </row>
    <row r="1861">
      <c r="A1861" s="6"/>
      <c r="B1861" s="5"/>
      <c r="C1861" s="7"/>
      <c r="D1861" s="7"/>
    </row>
    <row r="1862">
      <c r="A1862" s="6"/>
      <c r="B1862" s="5"/>
      <c r="C1862" s="7"/>
      <c r="D1862" s="7"/>
    </row>
    <row r="1863">
      <c r="A1863" s="6"/>
      <c r="B1863" s="5"/>
      <c r="C1863" s="7"/>
      <c r="D1863" s="7"/>
    </row>
    <row r="1864">
      <c r="A1864" s="6"/>
      <c r="B1864" s="5"/>
      <c r="C1864" s="7"/>
      <c r="D1864" s="7"/>
    </row>
    <row r="1865">
      <c r="A1865" s="6"/>
      <c r="B1865" s="5"/>
      <c r="C1865" s="7"/>
      <c r="D1865" s="7"/>
    </row>
    <row r="1866">
      <c r="A1866" s="6"/>
      <c r="B1866" s="5"/>
      <c r="C1866" s="7"/>
      <c r="D1866" s="7"/>
    </row>
    <row r="1867">
      <c r="A1867" s="6"/>
      <c r="B1867" s="5"/>
      <c r="C1867" s="7"/>
      <c r="D1867" s="7"/>
    </row>
    <row r="1868">
      <c r="A1868" s="6"/>
      <c r="B1868" s="5"/>
      <c r="C1868" s="7"/>
      <c r="D1868" s="7"/>
    </row>
    <row r="1869">
      <c r="A1869" s="6"/>
      <c r="B1869" s="5"/>
      <c r="C1869" s="7"/>
      <c r="D1869" s="7"/>
    </row>
    <row r="1870">
      <c r="A1870" s="6"/>
      <c r="B1870" s="5"/>
      <c r="C1870" s="7"/>
      <c r="D1870" s="7"/>
    </row>
    <row r="1871">
      <c r="A1871" s="6"/>
      <c r="B1871" s="5"/>
      <c r="C1871" s="7"/>
      <c r="D1871" s="7"/>
    </row>
    <row r="1872">
      <c r="A1872" s="6"/>
      <c r="B1872" s="5"/>
      <c r="C1872" s="7"/>
      <c r="D1872" s="7"/>
    </row>
    <row r="1873">
      <c r="A1873" s="6"/>
      <c r="B1873" s="5"/>
      <c r="C1873" s="7"/>
      <c r="D1873" s="7"/>
    </row>
    <row r="1874">
      <c r="A1874" s="6"/>
      <c r="B1874" s="5"/>
      <c r="C1874" s="7"/>
      <c r="D1874" s="7"/>
    </row>
    <row r="1875">
      <c r="A1875" s="6"/>
      <c r="B1875" s="5"/>
      <c r="C1875" s="7"/>
      <c r="D1875" s="7"/>
    </row>
    <row r="1876">
      <c r="A1876" s="6"/>
      <c r="B1876" s="5"/>
      <c r="C1876" s="7"/>
      <c r="D1876" s="7"/>
    </row>
    <row r="1877">
      <c r="A1877" s="6"/>
      <c r="B1877" s="5"/>
      <c r="C1877" s="7"/>
      <c r="D1877" s="7"/>
    </row>
    <row r="1878">
      <c r="A1878" s="6"/>
      <c r="B1878" s="5"/>
      <c r="C1878" s="7"/>
      <c r="D1878" s="7"/>
    </row>
    <row r="1879">
      <c r="A1879" s="6"/>
      <c r="B1879" s="5"/>
      <c r="C1879" s="7"/>
      <c r="D1879" s="7"/>
    </row>
    <row r="1880">
      <c r="A1880" s="6"/>
      <c r="B1880" s="5"/>
      <c r="C1880" s="7"/>
      <c r="D1880" s="7"/>
    </row>
    <row r="1881">
      <c r="A1881" s="6"/>
      <c r="B1881" s="5"/>
      <c r="C1881" s="7"/>
      <c r="D1881" s="7"/>
    </row>
    <row r="1882">
      <c r="A1882" s="6"/>
      <c r="B1882" s="5"/>
      <c r="C1882" s="7"/>
      <c r="D1882" s="7"/>
    </row>
    <row r="1883">
      <c r="A1883" s="6"/>
      <c r="B1883" s="5"/>
      <c r="C1883" s="7"/>
      <c r="D1883" s="7"/>
    </row>
    <row r="1884">
      <c r="A1884" s="6"/>
      <c r="B1884" s="5"/>
      <c r="C1884" s="7"/>
      <c r="D1884" s="7"/>
    </row>
    <row r="1885">
      <c r="A1885" s="6"/>
      <c r="B1885" s="5"/>
      <c r="C1885" s="7"/>
      <c r="D1885" s="7"/>
    </row>
    <row r="1886">
      <c r="A1886" s="6"/>
      <c r="B1886" s="5"/>
      <c r="C1886" s="7"/>
      <c r="D1886" s="7"/>
    </row>
    <row r="1887">
      <c r="A1887" s="6"/>
      <c r="B1887" s="5"/>
      <c r="C1887" s="7"/>
      <c r="D1887" s="7"/>
    </row>
    <row r="1888">
      <c r="A1888" s="6"/>
      <c r="B1888" s="5"/>
      <c r="C1888" s="7"/>
      <c r="D1888" s="7"/>
    </row>
    <row r="1889">
      <c r="A1889" s="6"/>
      <c r="B1889" s="5"/>
      <c r="C1889" s="7"/>
      <c r="D1889" s="7"/>
    </row>
    <row r="1890">
      <c r="A1890" s="6"/>
      <c r="B1890" s="5"/>
      <c r="C1890" s="7"/>
      <c r="D1890" s="7"/>
    </row>
    <row r="1891">
      <c r="A1891" s="6"/>
      <c r="B1891" s="5"/>
      <c r="C1891" s="7"/>
      <c r="D1891" s="7"/>
    </row>
    <row r="1892">
      <c r="A1892" s="6"/>
      <c r="B1892" s="5"/>
      <c r="C1892" s="7"/>
      <c r="D1892" s="7"/>
    </row>
    <row r="1893">
      <c r="A1893" s="6"/>
      <c r="B1893" s="5"/>
      <c r="C1893" s="7"/>
      <c r="D1893" s="7"/>
    </row>
    <row r="1894">
      <c r="A1894" s="6"/>
      <c r="B1894" s="5"/>
      <c r="C1894" s="7"/>
      <c r="D1894" s="7"/>
    </row>
    <row r="1895">
      <c r="A1895" s="6"/>
      <c r="B1895" s="5"/>
      <c r="C1895" s="7"/>
      <c r="D1895" s="7"/>
    </row>
    <row r="1896">
      <c r="A1896" s="6"/>
      <c r="B1896" s="5"/>
      <c r="C1896" s="7"/>
      <c r="D1896" s="7"/>
    </row>
    <row r="1897">
      <c r="A1897" s="6"/>
      <c r="B1897" s="5"/>
      <c r="C1897" s="7"/>
      <c r="D1897" s="7"/>
    </row>
    <row r="1898">
      <c r="A1898" s="6"/>
      <c r="B1898" s="5"/>
      <c r="C1898" s="7"/>
      <c r="D1898" s="7"/>
    </row>
    <row r="1899">
      <c r="A1899" s="6"/>
      <c r="B1899" s="5"/>
      <c r="C1899" s="7"/>
      <c r="D1899" s="7"/>
    </row>
    <row r="1900">
      <c r="A1900" s="6"/>
      <c r="B1900" s="5"/>
      <c r="C1900" s="7"/>
      <c r="D1900" s="7"/>
    </row>
    <row r="1901">
      <c r="A1901" s="6"/>
      <c r="B1901" s="5"/>
      <c r="C1901" s="7"/>
      <c r="D1901" s="7"/>
    </row>
    <row r="1902">
      <c r="A1902" s="6"/>
      <c r="B1902" s="5"/>
      <c r="C1902" s="7"/>
      <c r="D1902" s="7"/>
    </row>
    <row r="1903">
      <c r="A1903" s="6"/>
      <c r="B1903" s="5"/>
      <c r="C1903" s="7"/>
      <c r="D1903" s="7"/>
    </row>
    <row r="1904">
      <c r="A1904" s="6"/>
      <c r="B1904" s="5"/>
      <c r="C1904" s="7"/>
      <c r="D1904" s="7"/>
    </row>
    <row r="1905">
      <c r="A1905" s="6"/>
      <c r="B1905" s="5"/>
      <c r="C1905" s="7"/>
      <c r="D1905" s="7"/>
    </row>
    <row r="1906">
      <c r="A1906" s="6"/>
      <c r="B1906" s="5"/>
      <c r="C1906" s="7"/>
      <c r="D1906" s="7"/>
    </row>
    <row r="1907">
      <c r="A1907" s="6"/>
      <c r="B1907" s="5"/>
      <c r="C1907" s="7"/>
      <c r="D1907" s="7"/>
    </row>
    <row r="1908">
      <c r="A1908" s="6"/>
      <c r="B1908" s="5"/>
      <c r="C1908" s="7"/>
      <c r="D1908" s="7"/>
    </row>
    <row r="1909">
      <c r="A1909" s="6"/>
      <c r="B1909" s="5"/>
      <c r="C1909" s="7"/>
      <c r="D1909" s="7"/>
    </row>
    <row r="1910">
      <c r="A1910" s="6"/>
      <c r="B1910" s="5"/>
      <c r="C1910" s="7"/>
      <c r="D1910" s="7"/>
    </row>
    <row r="1911">
      <c r="A1911" s="6"/>
      <c r="B1911" s="5"/>
      <c r="C1911" s="7"/>
      <c r="D1911" s="7"/>
    </row>
    <row r="1912">
      <c r="A1912" s="6"/>
      <c r="B1912" s="5"/>
      <c r="C1912" s="7"/>
      <c r="D1912" s="7"/>
    </row>
    <row r="1913">
      <c r="A1913" s="6"/>
      <c r="B1913" s="5"/>
      <c r="C1913" s="7"/>
      <c r="D1913" s="7"/>
    </row>
    <row r="1914">
      <c r="A1914" s="6"/>
      <c r="B1914" s="5"/>
      <c r="C1914" s="7"/>
      <c r="D1914" s="7"/>
    </row>
    <row r="1915">
      <c r="A1915" s="6"/>
      <c r="B1915" s="5"/>
      <c r="C1915" s="7"/>
      <c r="D1915" s="7"/>
    </row>
    <row r="1916">
      <c r="A1916" s="6"/>
      <c r="B1916" s="5"/>
      <c r="C1916" s="7"/>
      <c r="D1916" s="7"/>
    </row>
    <row r="1917">
      <c r="A1917" s="6"/>
      <c r="B1917" s="5"/>
      <c r="C1917" s="7"/>
      <c r="D1917" s="7"/>
    </row>
    <row r="1918">
      <c r="A1918" s="6"/>
      <c r="B1918" s="5"/>
      <c r="C1918" s="7"/>
      <c r="D1918" s="7"/>
    </row>
    <row r="1919">
      <c r="A1919" s="6"/>
      <c r="B1919" s="5"/>
      <c r="C1919" s="7"/>
      <c r="D1919" s="7"/>
    </row>
    <row r="1920">
      <c r="A1920" s="6"/>
      <c r="B1920" s="5"/>
      <c r="C1920" s="7"/>
      <c r="D1920" s="7"/>
    </row>
    <row r="1921">
      <c r="A1921" s="6"/>
      <c r="B1921" s="5"/>
      <c r="C1921" s="7"/>
      <c r="D1921" s="7"/>
    </row>
    <row r="1922">
      <c r="A1922" s="6"/>
      <c r="B1922" s="5"/>
      <c r="C1922" s="7"/>
      <c r="D1922" s="7"/>
    </row>
    <row r="1923">
      <c r="A1923" s="6"/>
      <c r="B1923" s="5"/>
      <c r="C1923" s="7"/>
      <c r="D1923" s="7"/>
    </row>
    <row r="1924">
      <c r="A1924" s="6"/>
      <c r="B1924" s="5"/>
      <c r="C1924" s="7"/>
      <c r="D1924" s="7"/>
    </row>
    <row r="1925">
      <c r="A1925" s="6"/>
      <c r="B1925" s="5"/>
      <c r="C1925" s="7"/>
      <c r="D1925" s="7"/>
    </row>
    <row r="1926">
      <c r="A1926" s="6"/>
      <c r="B1926" s="5"/>
      <c r="C1926" s="7"/>
      <c r="D1926" s="7"/>
    </row>
    <row r="1927">
      <c r="A1927" s="6"/>
      <c r="B1927" s="5"/>
      <c r="C1927" s="7"/>
      <c r="D1927" s="7"/>
    </row>
    <row r="1928">
      <c r="A1928" s="6"/>
      <c r="B1928" s="5"/>
      <c r="C1928" s="7"/>
      <c r="D1928" s="7"/>
    </row>
    <row r="1929">
      <c r="A1929" s="6"/>
      <c r="B1929" s="5"/>
      <c r="C1929" s="7"/>
      <c r="D1929" s="7"/>
    </row>
    <row r="1930">
      <c r="A1930" s="6"/>
      <c r="B1930" s="5"/>
      <c r="C1930" s="7"/>
      <c r="D1930" s="7"/>
    </row>
    <row r="1931">
      <c r="A1931" s="6"/>
      <c r="B1931" s="5"/>
      <c r="C1931" s="7"/>
      <c r="D1931" s="7"/>
    </row>
    <row r="1932">
      <c r="A1932" s="6"/>
      <c r="B1932" s="5"/>
      <c r="C1932" s="7"/>
      <c r="D1932" s="7"/>
    </row>
    <row r="1933">
      <c r="A1933" s="6"/>
      <c r="B1933" s="5"/>
      <c r="C1933" s="7"/>
      <c r="D1933" s="7"/>
    </row>
    <row r="1934">
      <c r="A1934" s="6"/>
      <c r="B1934" s="5"/>
      <c r="C1934" s="7"/>
      <c r="D1934" s="7"/>
    </row>
    <row r="1935">
      <c r="A1935" s="6"/>
      <c r="B1935" s="5"/>
      <c r="C1935" s="7"/>
      <c r="D1935" s="7"/>
    </row>
    <row r="1936">
      <c r="A1936" s="6"/>
      <c r="B1936" s="5"/>
      <c r="C1936" s="7"/>
      <c r="D1936" s="7"/>
    </row>
    <row r="1937">
      <c r="A1937" s="6"/>
      <c r="B1937" s="5"/>
      <c r="C1937" s="7"/>
      <c r="D1937" s="7"/>
    </row>
    <row r="1938">
      <c r="A1938" s="6"/>
      <c r="B1938" s="5"/>
      <c r="C1938" s="7"/>
      <c r="D1938" s="7"/>
    </row>
    <row r="1939">
      <c r="A1939" s="6"/>
      <c r="B1939" s="5"/>
      <c r="C1939" s="7"/>
      <c r="D1939" s="7"/>
    </row>
    <row r="1940">
      <c r="A1940" s="6"/>
      <c r="B1940" s="5"/>
      <c r="C1940" s="7"/>
      <c r="D1940" s="7"/>
    </row>
    <row r="1941">
      <c r="A1941" s="6"/>
      <c r="B1941" s="5"/>
      <c r="C1941" s="7"/>
      <c r="D1941" s="7"/>
    </row>
    <row r="1942">
      <c r="A1942" s="6"/>
      <c r="B1942" s="5"/>
      <c r="C1942" s="7"/>
      <c r="D1942" s="7"/>
    </row>
    <row r="1943">
      <c r="A1943" s="6"/>
      <c r="B1943" s="5"/>
      <c r="C1943" s="7"/>
      <c r="D1943" s="7"/>
    </row>
    <row r="1944">
      <c r="A1944" s="6"/>
      <c r="B1944" s="5"/>
      <c r="C1944" s="7"/>
      <c r="D1944" s="7"/>
    </row>
    <row r="1945">
      <c r="A1945" s="6"/>
      <c r="B1945" s="5"/>
      <c r="C1945" s="7"/>
      <c r="D1945" s="7"/>
    </row>
    <row r="1946">
      <c r="A1946" s="6"/>
      <c r="B1946" s="5"/>
      <c r="C1946" s="7"/>
      <c r="D1946" s="7"/>
    </row>
    <row r="1947">
      <c r="A1947" s="6"/>
      <c r="B1947" s="5"/>
      <c r="C1947" s="7"/>
      <c r="D1947" s="7"/>
    </row>
    <row r="1948">
      <c r="A1948" s="6"/>
      <c r="B1948" s="5"/>
      <c r="C1948" s="7"/>
      <c r="D1948" s="7"/>
    </row>
    <row r="1949">
      <c r="A1949" s="6"/>
      <c r="B1949" s="5"/>
      <c r="C1949" s="7"/>
      <c r="D1949" s="7"/>
    </row>
    <row r="1950">
      <c r="A1950" s="6"/>
      <c r="B1950" s="5"/>
      <c r="C1950" s="7"/>
      <c r="D1950" s="7"/>
    </row>
    <row r="1951">
      <c r="A1951" s="6"/>
      <c r="B1951" s="5"/>
      <c r="C1951" s="7"/>
      <c r="D1951" s="7"/>
    </row>
    <row r="1952">
      <c r="A1952" s="6"/>
      <c r="B1952" s="5"/>
      <c r="C1952" s="7"/>
      <c r="D1952" s="7"/>
    </row>
    <row r="1953">
      <c r="A1953" s="6"/>
      <c r="B1953" s="5"/>
      <c r="C1953" s="7"/>
      <c r="D1953" s="7"/>
    </row>
    <row r="1954">
      <c r="A1954" s="6"/>
      <c r="B1954" s="5"/>
      <c r="C1954" s="7"/>
      <c r="D1954" s="7"/>
    </row>
    <row r="1955">
      <c r="A1955" s="6"/>
      <c r="B1955" s="5"/>
      <c r="C1955" s="7"/>
      <c r="D1955" s="7"/>
    </row>
    <row r="1956">
      <c r="A1956" s="6"/>
      <c r="B1956" s="5"/>
      <c r="C1956" s="7"/>
      <c r="D1956" s="7"/>
    </row>
    <row r="1957">
      <c r="A1957" s="6"/>
      <c r="B1957" s="5"/>
      <c r="C1957" s="7"/>
      <c r="D1957" s="7"/>
    </row>
    <row r="1958">
      <c r="A1958" s="6"/>
      <c r="B1958" s="5"/>
      <c r="C1958" s="7"/>
      <c r="D1958" s="7"/>
    </row>
    <row r="1959">
      <c r="A1959" s="6"/>
      <c r="B1959" s="5"/>
      <c r="C1959" s="7"/>
      <c r="D1959" s="7"/>
    </row>
    <row r="1960">
      <c r="A1960" s="6"/>
      <c r="B1960" s="5"/>
      <c r="C1960" s="7"/>
      <c r="D1960" s="7"/>
    </row>
    <row r="1961">
      <c r="A1961" s="6"/>
      <c r="B1961" s="5"/>
      <c r="C1961" s="7"/>
      <c r="D1961" s="7"/>
    </row>
    <row r="1962">
      <c r="A1962" s="6"/>
      <c r="B1962" s="5"/>
      <c r="C1962" s="7"/>
      <c r="D1962" s="7"/>
    </row>
    <row r="1963">
      <c r="A1963" s="6"/>
      <c r="B1963" s="5"/>
      <c r="C1963" s="7"/>
      <c r="D1963" s="7"/>
    </row>
    <row r="1964">
      <c r="A1964" s="6"/>
      <c r="B1964" s="5"/>
      <c r="C1964" s="7"/>
      <c r="D1964" s="7"/>
    </row>
    <row r="1965">
      <c r="A1965" s="6"/>
      <c r="B1965" s="5"/>
      <c r="C1965" s="7"/>
      <c r="D1965" s="7"/>
    </row>
    <row r="1966">
      <c r="A1966" s="6"/>
      <c r="B1966" s="5"/>
      <c r="C1966" s="7"/>
      <c r="D1966" s="7"/>
    </row>
    <row r="1967">
      <c r="A1967" s="6"/>
      <c r="B1967" s="5"/>
      <c r="C1967" s="7"/>
      <c r="D1967" s="7"/>
    </row>
    <row r="1968">
      <c r="A1968" s="6"/>
      <c r="B1968" s="5"/>
      <c r="C1968" s="7"/>
      <c r="D1968" s="7"/>
    </row>
    <row r="1969">
      <c r="A1969" s="6"/>
      <c r="B1969" s="5"/>
      <c r="C1969" s="7"/>
      <c r="D1969" s="7"/>
    </row>
    <row r="1970">
      <c r="A1970" s="6"/>
      <c r="B1970" s="5"/>
      <c r="C1970" s="7"/>
      <c r="D1970" s="7"/>
    </row>
    <row r="1971">
      <c r="A1971" s="6"/>
      <c r="B1971" s="5"/>
      <c r="C1971" s="7"/>
      <c r="D1971" s="7"/>
    </row>
    <row r="1972">
      <c r="A1972" s="6"/>
      <c r="B1972" s="5"/>
      <c r="C1972" s="7"/>
      <c r="D1972" s="7"/>
    </row>
    <row r="1973">
      <c r="A1973" s="6"/>
      <c r="B1973" s="5"/>
      <c r="C1973" s="7"/>
      <c r="D1973" s="7"/>
    </row>
    <row r="1974">
      <c r="A1974" s="6"/>
      <c r="B1974" s="5"/>
      <c r="C1974" s="7"/>
      <c r="D1974" s="7"/>
    </row>
    <row r="1975">
      <c r="A1975" s="6"/>
      <c r="B1975" s="5"/>
      <c r="C1975" s="7"/>
      <c r="D1975" s="7"/>
    </row>
    <row r="1976">
      <c r="A1976" s="6"/>
      <c r="B1976" s="5"/>
      <c r="C1976" s="7"/>
      <c r="D1976" s="7"/>
    </row>
    <row r="1977">
      <c r="A1977" s="6"/>
      <c r="B1977" s="5"/>
      <c r="C1977" s="7"/>
      <c r="D1977" s="7"/>
    </row>
    <row r="1978">
      <c r="A1978" s="6"/>
      <c r="B1978" s="5"/>
      <c r="C1978" s="7"/>
      <c r="D1978" s="7"/>
    </row>
    <row r="1979">
      <c r="A1979" s="6"/>
      <c r="B1979" s="5"/>
      <c r="C1979" s="7"/>
      <c r="D1979" s="7"/>
    </row>
    <row r="1980">
      <c r="A1980" s="6"/>
      <c r="B1980" s="5"/>
      <c r="C1980" s="7"/>
      <c r="D1980" s="7"/>
    </row>
    <row r="1981">
      <c r="A1981" s="6"/>
      <c r="B1981" s="5"/>
      <c r="C1981" s="7"/>
      <c r="D1981" s="7"/>
    </row>
    <row r="1982">
      <c r="A1982" s="6"/>
      <c r="B1982" s="5"/>
      <c r="C1982" s="7"/>
      <c r="D1982" s="7"/>
    </row>
    <row r="1983">
      <c r="A1983" s="6"/>
      <c r="B1983" s="5"/>
      <c r="C1983" s="7"/>
      <c r="D1983" s="7"/>
    </row>
    <row r="1984">
      <c r="A1984" s="6"/>
      <c r="B1984" s="5"/>
      <c r="C1984" s="7"/>
      <c r="D1984" s="7"/>
    </row>
    <row r="1985">
      <c r="A1985" s="6"/>
      <c r="B1985" s="5"/>
      <c r="C1985" s="7"/>
      <c r="D1985" s="7"/>
    </row>
    <row r="1986">
      <c r="A1986" s="6"/>
      <c r="B1986" s="5"/>
      <c r="C1986" s="7"/>
      <c r="D1986" s="7"/>
    </row>
    <row r="1987">
      <c r="A1987" s="6"/>
      <c r="B1987" s="5"/>
      <c r="C1987" s="7"/>
      <c r="D1987" s="7"/>
    </row>
    <row r="1988">
      <c r="A1988" s="6"/>
      <c r="B1988" s="5"/>
      <c r="C1988" s="7"/>
      <c r="D1988" s="7"/>
    </row>
    <row r="1989">
      <c r="A1989" s="6"/>
      <c r="B1989" s="5"/>
      <c r="C1989" s="7"/>
      <c r="D1989" s="7"/>
    </row>
    <row r="1990">
      <c r="A1990" s="6"/>
      <c r="B1990" s="5"/>
      <c r="C1990" s="7"/>
      <c r="D1990" s="7"/>
    </row>
    <row r="1991">
      <c r="A1991" s="6"/>
      <c r="B1991" s="5"/>
      <c r="C1991" s="7"/>
      <c r="D1991" s="7"/>
    </row>
    <row r="1992">
      <c r="A1992" s="6"/>
      <c r="B1992" s="5"/>
      <c r="C1992" s="7"/>
      <c r="D1992" s="7"/>
    </row>
    <row r="1993">
      <c r="A1993" s="6"/>
      <c r="B1993" s="5"/>
      <c r="C1993" s="7"/>
      <c r="D1993" s="7"/>
    </row>
    <row r="1994">
      <c r="A1994" s="6"/>
      <c r="B1994" s="5"/>
      <c r="C1994" s="7"/>
      <c r="D1994" s="7"/>
    </row>
    <row r="1995">
      <c r="A1995" s="6"/>
      <c r="B1995" s="5"/>
      <c r="C1995" s="7"/>
      <c r="D1995" s="7"/>
    </row>
    <row r="1996">
      <c r="A1996" s="6"/>
      <c r="B1996" s="5"/>
      <c r="C1996" s="7"/>
      <c r="D1996" s="7"/>
    </row>
    <row r="1997">
      <c r="A1997" s="6"/>
      <c r="B1997" s="5"/>
      <c r="C1997" s="7"/>
      <c r="D1997" s="7"/>
    </row>
    <row r="1998">
      <c r="A1998" s="6"/>
      <c r="B1998" s="5"/>
      <c r="C1998" s="7"/>
      <c r="D1998" s="7"/>
    </row>
    <row r="1999">
      <c r="A1999" s="6"/>
      <c r="B1999" s="5"/>
      <c r="C1999" s="7"/>
      <c r="D1999" s="7"/>
    </row>
    <row r="2000">
      <c r="A2000" s="6"/>
      <c r="B2000" s="5"/>
      <c r="C2000" s="7"/>
      <c r="D2000" s="7"/>
    </row>
    <row r="2001">
      <c r="A2001" s="6"/>
      <c r="B2001" s="5"/>
      <c r="C2001" s="7"/>
      <c r="D2001" s="7"/>
    </row>
    <row r="2002">
      <c r="A2002" s="6"/>
      <c r="B2002" s="5"/>
      <c r="C2002" s="7"/>
      <c r="D2002" s="7"/>
    </row>
    <row r="2003">
      <c r="A2003" s="6"/>
      <c r="B2003" s="5"/>
      <c r="C2003" s="7"/>
      <c r="D2003" s="7"/>
    </row>
    <row r="2004">
      <c r="A2004" s="6"/>
      <c r="B2004" s="5"/>
      <c r="C2004" s="7"/>
      <c r="D2004" s="7"/>
    </row>
    <row r="2005">
      <c r="A2005" s="6"/>
      <c r="B2005" s="5"/>
      <c r="C2005" s="7"/>
      <c r="D2005" s="7"/>
    </row>
    <row r="2006">
      <c r="A2006" s="6"/>
      <c r="B2006" s="5"/>
      <c r="C2006" s="7"/>
      <c r="D2006" s="7"/>
    </row>
    <row r="2007">
      <c r="A2007" s="6"/>
      <c r="B2007" s="5"/>
      <c r="C2007" s="7"/>
      <c r="D2007" s="7"/>
    </row>
    <row r="2008">
      <c r="A2008" s="6"/>
      <c r="B2008" s="5"/>
      <c r="C2008" s="7"/>
      <c r="D2008" s="7"/>
    </row>
    <row r="2009">
      <c r="A2009" s="6"/>
      <c r="B2009" s="5"/>
      <c r="C2009" s="7"/>
      <c r="D2009" s="7"/>
    </row>
    <row r="2010">
      <c r="A2010" s="6"/>
      <c r="B2010" s="5"/>
      <c r="C2010" s="7"/>
      <c r="D2010" s="7"/>
    </row>
    <row r="2011">
      <c r="A2011" s="6"/>
      <c r="B2011" s="5"/>
      <c r="C2011" s="7"/>
      <c r="D2011" s="7"/>
    </row>
    <row r="2012">
      <c r="A2012" s="6"/>
      <c r="B2012" s="5"/>
      <c r="C2012" s="7"/>
      <c r="D2012" s="7"/>
    </row>
    <row r="2013">
      <c r="A2013" s="6"/>
      <c r="B2013" s="5"/>
      <c r="C2013" s="7"/>
      <c r="D2013" s="7"/>
    </row>
    <row r="2014">
      <c r="A2014" s="6"/>
      <c r="B2014" s="5"/>
      <c r="C2014" s="7"/>
      <c r="D2014" s="7"/>
    </row>
    <row r="2015">
      <c r="A2015" s="6"/>
      <c r="B2015" s="5"/>
      <c r="C2015" s="7"/>
      <c r="D2015" s="7"/>
    </row>
    <row r="2016">
      <c r="A2016" s="6"/>
      <c r="B2016" s="5"/>
      <c r="C2016" s="7"/>
      <c r="D2016" s="7"/>
    </row>
    <row r="2017">
      <c r="A2017" s="6"/>
      <c r="B2017" s="5"/>
      <c r="C2017" s="7"/>
      <c r="D2017" s="7"/>
    </row>
    <row r="2018">
      <c r="A2018" s="6"/>
      <c r="B2018" s="5"/>
      <c r="C2018" s="7"/>
      <c r="D2018" s="7"/>
    </row>
    <row r="2019">
      <c r="A2019" s="6"/>
      <c r="B2019" s="5"/>
      <c r="C2019" s="7"/>
      <c r="D2019" s="7"/>
    </row>
    <row r="2020">
      <c r="A2020" s="6"/>
      <c r="B2020" s="5"/>
      <c r="C2020" s="7"/>
      <c r="D2020" s="7"/>
    </row>
    <row r="2021">
      <c r="A2021" s="6"/>
      <c r="B2021" s="5"/>
      <c r="C2021" s="7"/>
      <c r="D2021" s="7"/>
    </row>
    <row r="2022">
      <c r="A2022" s="6"/>
      <c r="B2022" s="5"/>
      <c r="C2022" s="7"/>
      <c r="D2022" s="7"/>
    </row>
    <row r="2023">
      <c r="A2023" s="6"/>
      <c r="B2023" s="5"/>
      <c r="C2023" s="7"/>
      <c r="D2023" s="7"/>
    </row>
    <row r="2024">
      <c r="A2024" s="6"/>
      <c r="B2024" s="5"/>
      <c r="C2024" s="7"/>
      <c r="D2024" s="7"/>
    </row>
    <row r="2025">
      <c r="A2025" s="6"/>
      <c r="B2025" s="5"/>
      <c r="C2025" s="7"/>
      <c r="D2025" s="7"/>
    </row>
    <row r="2026">
      <c r="A2026" s="6"/>
      <c r="B2026" s="5"/>
      <c r="C2026" s="7"/>
      <c r="D2026" s="7"/>
    </row>
    <row r="2027">
      <c r="A2027" s="6"/>
      <c r="B2027" s="5"/>
      <c r="C2027" s="7"/>
      <c r="D2027" s="7"/>
    </row>
    <row r="2028">
      <c r="A2028" s="6"/>
      <c r="B2028" s="5"/>
      <c r="C2028" s="7"/>
      <c r="D2028" s="7"/>
    </row>
    <row r="2029">
      <c r="A2029" s="6"/>
      <c r="B2029" s="5"/>
      <c r="C2029" s="7"/>
      <c r="D2029" s="7"/>
    </row>
    <row r="2030">
      <c r="A2030" s="6"/>
      <c r="B2030" s="5"/>
      <c r="C2030" s="7"/>
      <c r="D2030" s="7"/>
    </row>
    <row r="2031">
      <c r="A2031" s="6"/>
      <c r="B2031" s="5"/>
      <c r="C2031" s="7"/>
      <c r="D2031" s="7"/>
    </row>
    <row r="2032">
      <c r="A2032" s="6"/>
      <c r="B2032" s="5"/>
      <c r="C2032" s="7"/>
      <c r="D2032" s="7"/>
    </row>
    <row r="2033">
      <c r="A2033" s="6"/>
      <c r="B2033" s="5"/>
      <c r="C2033" s="7"/>
      <c r="D2033" s="7"/>
    </row>
    <row r="2034">
      <c r="A2034" s="6"/>
      <c r="B2034" s="5"/>
      <c r="C2034" s="7"/>
      <c r="D2034" s="7"/>
    </row>
    <row r="2035">
      <c r="A2035" s="6"/>
      <c r="B2035" s="5"/>
      <c r="C2035" s="7"/>
      <c r="D2035" s="7"/>
    </row>
    <row r="2036">
      <c r="A2036" s="6"/>
      <c r="B2036" s="5"/>
      <c r="C2036" s="7"/>
      <c r="D2036" s="7"/>
    </row>
    <row r="2037">
      <c r="A2037" s="6"/>
      <c r="B2037" s="5"/>
      <c r="C2037" s="7"/>
      <c r="D2037" s="7"/>
    </row>
    <row r="2038">
      <c r="A2038" s="6"/>
      <c r="B2038" s="5"/>
      <c r="C2038" s="7"/>
      <c r="D2038" s="7"/>
    </row>
    <row r="2039">
      <c r="A2039" s="6"/>
      <c r="B2039" s="5"/>
      <c r="C2039" s="7"/>
      <c r="D2039" s="7"/>
    </row>
    <row r="2040">
      <c r="A2040" s="6"/>
      <c r="B2040" s="5"/>
      <c r="C2040" s="7"/>
      <c r="D2040" s="7"/>
    </row>
    <row r="2041">
      <c r="A2041" s="6"/>
      <c r="B2041" s="5"/>
      <c r="C2041" s="7"/>
      <c r="D2041" s="7"/>
    </row>
    <row r="2042">
      <c r="A2042" s="6"/>
      <c r="B2042" s="5"/>
      <c r="C2042" s="7"/>
      <c r="D2042" s="7"/>
    </row>
    <row r="2043">
      <c r="A2043" s="6"/>
      <c r="B2043" s="5"/>
      <c r="C2043" s="7"/>
      <c r="D2043" s="7"/>
    </row>
    <row r="2044">
      <c r="A2044" s="6"/>
      <c r="B2044" s="5"/>
      <c r="C2044" s="7"/>
      <c r="D2044" s="7"/>
    </row>
    <row r="2045">
      <c r="A2045" s="6"/>
      <c r="B2045" s="5"/>
      <c r="C2045" s="7"/>
      <c r="D2045" s="7"/>
    </row>
    <row r="2046">
      <c r="A2046" s="6"/>
      <c r="B2046" s="5"/>
      <c r="C2046" s="7"/>
      <c r="D2046" s="7"/>
    </row>
    <row r="2047">
      <c r="A2047" s="6"/>
      <c r="B2047" s="5"/>
      <c r="C2047" s="7"/>
      <c r="D2047" s="7"/>
    </row>
    <row r="2048">
      <c r="A2048" s="6"/>
      <c r="B2048" s="5"/>
      <c r="C2048" s="7"/>
      <c r="D2048" s="7"/>
    </row>
    <row r="2049">
      <c r="A2049" s="6"/>
      <c r="B2049" s="5"/>
      <c r="C2049" s="7"/>
      <c r="D2049" s="7"/>
    </row>
    <row r="2050">
      <c r="A2050" s="6"/>
      <c r="B2050" s="5"/>
      <c r="C2050" s="7"/>
      <c r="D2050" s="7"/>
    </row>
    <row r="2051">
      <c r="A2051" s="6"/>
      <c r="B2051" s="5"/>
      <c r="C2051" s="7"/>
      <c r="D2051" s="7"/>
    </row>
    <row r="2052">
      <c r="A2052" s="6"/>
      <c r="B2052" s="5"/>
      <c r="C2052" s="7"/>
      <c r="D2052" s="7"/>
    </row>
    <row r="2053">
      <c r="A2053" s="6"/>
      <c r="B2053" s="5"/>
      <c r="C2053" s="7"/>
      <c r="D2053" s="7"/>
    </row>
    <row r="2054">
      <c r="A2054" s="6"/>
      <c r="B2054" s="5"/>
      <c r="C2054" s="7"/>
      <c r="D2054" s="7"/>
    </row>
    <row r="2055">
      <c r="A2055" s="6"/>
      <c r="B2055" s="5"/>
      <c r="C2055" s="7"/>
      <c r="D2055" s="7"/>
    </row>
    <row r="2056">
      <c r="A2056" s="6"/>
      <c r="B2056" s="5"/>
      <c r="C2056" s="7"/>
      <c r="D2056" s="7"/>
    </row>
    <row r="2057">
      <c r="A2057" s="6"/>
      <c r="B2057" s="5"/>
      <c r="C2057" s="7"/>
      <c r="D2057" s="7"/>
    </row>
    <row r="2058">
      <c r="A2058" s="6"/>
      <c r="B2058" s="5"/>
      <c r="C2058" s="7"/>
      <c r="D2058" s="7"/>
    </row>
    <row r="2059">
      <c r="A2059" s="6"/>
      <c r="B2059" s="5"/>
      <c r="C2059" s="7"/>
      <c r="D2059" s="7"/>
    </row>
    <row r="2060">
      <c r="A2060" s="6"/>
      <c r="B2060" s="5"/>
      <c r="C2060" s="7"/>
      <c r="D2060" s="7"/>
    </row>
    <row r="2061">
      <c r="A2061" s="6"/>
      <c r="B2061" s="5"/>
      <c r="C2061" s="7"/>
      <c r="D2061" s="7"/>
    </row>
    <row r="2062">
      <c r="A2062" s="6"/>
      <c r="B2062" s="5"/>
      <c r="C2062" s="7"/>
      <c r="D2062" s="7"/>
    </row>
    <row r="2063">
      <c r="A2063" s="6"/>
      <c r="B2063" s="5"/>
      <c r="C2063" s="7"/>
      <c r="D2063" s="7"/>
    </row>
    <row r="2064">
      <c r="A2064" s="6"/>
      <c r="B2064" s="5"/>
      <c r="C2064" s="7"/>
      <c r="D2064" s="7"/>
    </row>
    <row r="2065">
      <c r="A2065" s="6"/>
      <c r="B2065" s="5"/>
      <c r="C2065" s="7"/>
      <c r="D2065" s="7"/>
    </row>
    <row r="2066">
      <c r="A2066" s="6"/>
      <c r="B2066" s="5"/>
      <c r="C2066" s="7"/>
      <c r="D2066" s="7"/>
    </row>
    <row r="2067">
      <c r="A2067" s="6"/>
      <c r="B2067" s="5"/>
      <c r="C2067" s="7"/>
      <c r="D2067" s="7"/>
    </row>
    <row r="2068">
      <c r="A2068" s="6"/>
      <c r="B2068" s="5"/>
      <c r="C2068" s="7"/>
      <c r="D2068" s="7"/>
    </row>
    <row r="2069">
      <c r="A2069" s="6"/>
      <c r="B2069" s="5"/>
      <c r="C2069" s="7"/>
      <c r="D2069" s="7"/>
    </row>
    <row r="2070">
      <c r="A2070" s="6"/>
      <c r="B2070" s="5"/>
      <c r="C2070" s="7"/>
      <c r="D2070" s="7"/>
    </row>
    <row r="2071">
      <c r="A2071" s="6"/>
      <c r="B2071" s="5"/>
      <c r="C2071" s="7"/>
      <c r="D2071" s="7"/>
    </row>
    <row r="2072">
      <c r="A2072" s="6"/>
      <c r="B2072" s="5"/>
      <c r="C2072" s="7"/>
      <c r="D2072" s="7"/>
    </row>
    <row r="2073">
      <c r="A2073" s="6"/>
      <c r="B2073" s="5"/>
      <c r="C2073" s="7"/>
      <c r="D2073" s="7"/>
    </row>
    <row r="2074">
      <c r="A2074" s="6"/>
      <c r="B2074" s="5"/>
      <c r="C2074" s="7"/>
      <c r="D2074" s="7"/>
    </row>
    <row r="2075">
      <c r="A2075" s="6"/>
      <c r="B2075" s="5"/>
      <c r="C2075" s="7"/>
      <c r="D2075" s="7"/>
    </row>
    <row r="2076">
      <c r="A2076" s="6"/>
      <c r="B2076" s="5"/>
      <c r="C2076" s="7"/>
      <c r="D2076" s="7"/>
    </row>
    <row r="2077">
      <c r="A2077" s="6"/>
      <c r="B2077" s="5"/>
      <c r="C2077" s="7"/>
      <c r="D2077" s="7"/>
    </row>
    <row r="2078">
      <c r="A2078" s="6"/>
      <c r="B2078" s="5"/>
      <c r="C2078" s="7"/>
      <c r="D2078" s="7"/>
    </row>
    <row r="2079">
      <c r="A2079" s="6"/>
      <c r="B2079" s="5"/>
      <c r="C2079" s="7"/>
      <c r="D2079" s="7"/>
    </row>
    <row r="2080">
      <c r="A2080" s="6"/>
      <c r="B2080" s="5"/>
      <c r="C2080" s="7"/>
      <c r="D2080" s="7"/>
    </row>
    <row r="2081">
      <c r="A2081" s="6"/>
      <c r="B2081" s="5"/>
      <c r="C2081" s="7"/>
      <c r="D2081" s="7"/>
    </row>
    <row r="2082">
      <c r="A2082" s="6"/>
      <c r="B2082" s="5"/>
      <c r="C2082" s="7"/>
      <c r="D2082" s="7"/>
    </row>
    <row r="2083">
      <c r="A2083" s="6"/>
      <c r="B2083" s="5"/>
      <c r="C2083" s="7"/>
      <c r="D2083" s="7"/>
    </row>
    <row r="2084">
      <c r="A2084" s="6"/>
      <c r="B2084" s="5"/>
      <c r="C2084" s="7"/>
      <c r="D2084" s="7"/>
    </row>
    <row r="2085">
      <c r="A2085" s="6"/>
      <c r="B2085" s="5"/>
      <c r="C2085" s="7"/>
      <c r="D2085" s="7"/>
    </row>
    <row r="2086">
      <c r="A2086" s="6"/>
      <c r="B2086" s="5"/>
      <c r="C2086" s="7"/>
      <c r="D2086" s="7"/>
    </row>
    <row r="2087">
      <c r="A2087" s="6"/>
      <c r="B2087" s="5"/>
      <c r="C2087" s="7"/>
      <c r="D2087" s="7"/>
    </row>
    <row r="2088">
      <c r="A2088" s="6"/>
      <c r="B2088" s="5"/>
      <c r="C2088" s="7"/>
      <c r="D2088" s="7"/>
    </row>
    <row r="2089">
      <c r="A2089" s="6"/>
      <c r="B2089" s="5"/>
      <c r="C2089" s="7"/>
      <c r="D2089" s="7"/>
    </row>
    <row r="2090">
      <c r="A2090" s="6"/>
      <c r="B2090" s="5"/>
      <c r="C2090" s="7"/>
      <c r="D2090" s="7"/>
    </row>
    <row r="2091">
      <c r="A2091" s="6"/>
      <c r="B2091" s="5"/>
      <c r="C2091" s="7"/>
      <c r="D2091" s="7"/>
    </row>
    <row r="2092">
      <c r="A2092" s="6"/>
      <c r="B2092" s="5"/>
      <c r="C2092" s="7"/>
      <c r="D2092" s="7"/>
    </row>
    <row r="2093">
      <c r="A2093" s="6"/>
      <c r="B2093" s="5"/>
      <c r="C2093" s="7"/>
      <c r="D2093" s="7"/>
    </row>
    <row r="2094">
      <c r="A2094" s="6"/>
      <c r="B2094" s="5"/>
      <c r="C2094" s="7"/>
      <c r="D2094" s="7"/>
    </row>
    <row r="2095">
      <c r="A2095" s="6"/>
      <c r="B2095" s="5"/>
      <c r="C2095" s="7"/>
      <c r="D2095" s="7"/>
    </row>
    <row r="2096">
      <c r="A2096" s="6"/>
      <c r="B2096" s="5"/>
      <c r="C2096" s="7"/>
      <c r="D2096" s="7"/>
    </row>
    <row r="2097">
      <c r="A2097" s="6"/>
      <c r="B2097" s="5"/>
      <c r="C2097" s="7"/>
      <c r="D2097" s="7"/>
    </row>
    <row r="2098">
      <c r="A2098" s="6"/>
      <c r="B2098" s="5"/>
      <c r="C2098" s="7"/>
      <c r="D2098" s="7"/>
    </row>
    <row r="2099">
      <c r="A2099" s="6"/>
      <c r="B2099" s="5"/>
      <c r="C2099" s="7"/>
      <c r="D2099" s="7"/>
    </row>
    <row r="2100">
      <c r="A2100" s="6"/>
      <c r="B2100" s="5"/>
      <c r="C2100" s="7"/>
      <c r="D2100" s="7"/>
    </row>
    <row r="2101">
      <c r="A2101" s="6"/>
      <c r="B2101" s="5"/>
      <c r="C2101" s="7"/>
      <c r="D2101" s="7"/>
    </row>
    <row r="2102">
      <c r="A2102" s="6"/>
      <c r="B2102" s="5"/>
      <c r="C2102" s="7"/>
      <c r="D2102" s="7"/>
    </row>
    <row r="2103">
      <c r="A2103" s="6"/>
      <c r="B2103" s="5"/>
      <c r="C2103" s="7"/>
      <c r="D2103" s="7"/>
    </row>
    <row r="2104">
      <c r="A2104" s="6"/>
      <c r="B2104" s="5"/>
      <c r="C2104" s="7"/>
      <c r="D2104" s="7"/>
    </row>
    <row r="2105">
      <c r="A2105" s="6"/>
      <c r="B2105" s="5"/>
      <c r="C2105" s="7"/>
      <c r="D2105" s="7"/>
    </row>
    <row r="2106">
      <c r="A2106" s="6"/>
      <c r="B2106" s="5"/>
      <c r="C2106" s="7"/>
      <c r="D2106" s="7"/>
    </row>
    <row r="2107">
      <c r="A2107" s="6"/>
      <c r="B2107" s="5"/>
      <c r="C2107" s="7"/>
      <c r="D2107" s="7"/>
    </row>
    <row r="2108">
      <c r="A2108" s="6"/>
      <c r="B2108" s="5"/>
      <c r="C2108" s="7"/>
      <c r="D2108" s="7"/>
    </row>
    <row r="2109">
      <c r="A2109" s="6"/>
      <c r="B2109" s="5"/>
      <c r="C2109" s="7"/>
      <c r="D2109" s="7"/>
    </row>
    <row r="2110">
      <c r="A2110" s="6"/>
      <c r="B2110" s="5"/>
      <c r="C2110" s="7"/>
      <c r="D2110" s="7"/>
    </row>
    <row r="2111">
      <c r="A2111" s="6"/>
      <c r="B2111" s="5"/>
      <c r="C2111" s="7"/>
      <c r="D2111" s="7"/>
    </row>
    <row r="2112">
      <c r="A2112" s="6"/>
      <c r="B2112" s="5"/>
      <c r="C2112" s="7"/>
      <c r="D2112" s="7"/>
    </row>
    <row r="2113">
      <c r="A2113" s="6"/>
      <c r="B2113" s="5"/>
      <c r="C2113" s="7"/>
      <c r="D2113" s="7"/>
    </row>
    <row r="2114">
      <c r="A2114" s="6"/>
      <c r="B2114" s="5"/>
      <c r="C2114" s="7"/>
      <c r="D2114" s="7"/>
    </row>
    <row r="2115">
      <c r="A2115" s="6"/>
      <c r="B2115" s="5"/>
      <c r="C2115" s="7"/>
      <c r="D2115" s="7"/>
    </row>
    <row r="2116">
      <c r="A2116" s="6"/>
      <c r="B2116" s="5"/>
      <c r="C2116" s="7"/>
      <c r="D2116" s="7"/>
    </row>
    <row r="2117">
      <c r="A2117" s="6"/>
      <c r="B2117" s="5"/>
      <c r="C2117" s="7"/>
      <c r="D2117" s="7"/>
    </row>
    <row r="2118">
      <c r="A2118" s="6"/>
      <c r="B2118" s="5"/>
      <c r="C2118" s="7"/>
      <c r="D2118" s="7"/>
    </row>
    <row r="2119">
      <c r="A2119" s="6"/>
      <c r="B2119" s="5"/>
      <c r="C2119" s="7"/>
      <c r="D2119" s="7"/>
    </row>
    <row r="2120">
      <c r="A2120" s="6"/>
      <c r="B2120" s="5"/>
      <c r="C2120" s="7"/>
      <c r="D2120" s="7"/>
    </row>
    <row r="2121">
      <c r="A2121" s="6"/>
      <c r="B2121" s="5"/>
      <c r="C2121" s="7"/>
      <c r="D2121" s="7"/>
    </row>
    <row r="2122">
      <c r="A2122" s="6"/>
      <c r="B2122" s="5"/>
      <c r="C2122" s="7"/>
      <c r="D2122" s="7"/>
    </row>
    <row r="2123">
      <c r="A2123" s="6"/>
      <c r="B2123" s="5"/>
      <c r="C2123" s="7"/>
      <c r="D2123" s="7"/>
    </row>
    <row r="2124">
      <c r="A2124" s="6"/>
      <c r="B2124" s="5"/>
      <c r="C2124" s="7"/>
      <c r="D2124" s="7"/>
    </row>
    <row r="2125">
      <c r="A2125" s="6"/>
      <c r="B2125" s="5"/>
      <c r="C2125" s="7"/>
      <c r="D2125" s="7"/>
    </row>
    <row r="2126">
      <c r="A2126" s="6"/>
      <c r="B2126" s="5"/>
      <c r="C2126" s="7"/>
      <c r="D2126" s="7"/>
    </row>
    <row r="2127">
      <c r="A2127" s="6"/>
      <c r="B2127" s="5"/>
      <c r="C2127" s="7"/>
      <c r="D2127" s="7"/>
    </row>
    <row r="2128">
      <c r="A2128" s="6"/>
      <c r="B2128" s="5"/>
      <c r="C2128" s="7"/>
      <c r="D2128" s="7"/>
    </row>
    <row r="2129">
      <c r="A2129" s="6"/>
      <c r="B2129" s="5"/>
      <c r="C2129" s="7"/>
      <c r="D2129" s="7"/>
    </row>
    <row r="2130">
      <c r="A2130" s="6"/>
      <c r="B2130" s="5"/>
      <c r="C2130" s="7"/>
      <c r="D2130" s="7"/>
    </row>
    <row r="2131">
      <c r="A2131" s="6"/>
      <c r="B2131" s="5"/>
      <c r="C2131" s="7"/>
      <c r="D2131" s="7"/>
    </row>
    <row r="2132">
      <c r="A2132" s="6"/>
      <c r="B2132" s="5"/>
      <c r="C2132" s="7"/>
      <c r="D2132" s="7"/>
    </row>
    <row r="2133">
      <c r="A2133" s="6"/>
      <c r="B2133" s="5"/>
      <c r="C2133" s="7"/>
      <c r="D2133" s="7"/>
    </row>
    <row r="2134">
      <c r="A2134" s="6"/>
      <c r="B2134" s="5"/>
      <c r="C2134" s="7"/>
      <c r="D2134" s="7"/>
    </row>
    <row r="2135">
      <c r="A2135" s="6"/>
      <c r="B2135" s="5"/>
      <c r="C2135" s="7"/>
      <c r="D2135" s="7"/>
    </row>
    <row r="2136">
      <c r="A2136" s="6"/>
      <c r="B2136" s="5"/>
      <c r="C2136" s="7"/>
      <c r="D2136" s="7"/>
    </row>
    <row r="2137">
      <c r="A2137" s="6"/>
      <c r="B2137" s="5"/>
      <c r="C2137" s="7"/>
      <c r="D2137" s="7"/>
    </row>
    <row r="2138">
      <c r="A2138" s="6"/>
      <c r="B2138" s="5"/>
      <c r="C2138" s="7"/>
      <c r="D2138" s="7"/>
    </row>
    <row r="2139">
      <c r="A2139" s="6"/>
      <c r="B2139" s="5"/>
      <c r="C2139" s="7"/>
      <c r="D2139" s="7"/>
    </row>
    <row r="2140">
      <c r="A2140" s="6"/>
      <c r="B2140" s="5"/>
      <c r="C2140" s="7"/>
      <c r="D2140" s="7"/>
    </row>
    <row r="2141">
      <c r="A2141" s="6"/>
      <c r="B2141" s="5"/>
      <c r="C2141" s="7"/>
      <c r="D2141" s="7"/>
    </row>
    <row r="2142">
      <c r="A2142" s="6"/>
      <c r="B2142" s="5"/>
      <c r="C2142" s="7"/>
      <c r="D2142" s="7"/>
    </row>
    <row r="2143">
      <c r="A2143" s="6"/>
      <c r="B2143" s="5"/>
      <c r="C2143" s="7"/>
      <c r="D2143" s="7"/>
    </row>
    <row r="2144">
      <c r="A2144" s="6"/>
      <c r="B2144" s="5"/>
      <c r="C2144" s="7"/>
      <c r="D2144" s="7"/>
    </row>
    <row r="2145">
      <c r="A2145" s="6"/>
      <c r="B2145" s="5"/>
      <c r="C2145" s="7"/>
      <c r="D2145" s="7"/>
    </row>
    <row r="2146">
      <c r="A2146" s="6"/>
      <c r="B2146" s="5"/>
      <c r="C2146" s="7"/>
      <c r="D2146" s="7"/>
    </row>
    <row r="2147">
      <c r="A2147" s="6"/>
      <c r="B2147" s="5"/>
      <c r="C2147" s="7"/>
      <c r="D2147" s="7"/>
    </row>
    <row r="2148">
      <c r="A2148" s="6"/>
      <c r="B2148" s="5"/>
      <c r="C2148" s="7"/>
      <c r="D2148" s="7"/>
    </row>
    <row r="2149">
      <c r="A2149" s="6"/>
      <c r="B2149" s="5"/>
      <c r="C2149" s="7"/>
      <c r="D2149" s="7"/>
    </row>
    <row r="2150">
      <c r="A2150" s="6"/>
      <c r="B2150" s="5"/>
      <c r="C2150" s="7"/>
      <c r="D2150" s="7"/>
    </row>
    <row r="2151">
      <c r="A2151" s="6"/>
      <c r="B2151" s="5"/>
      <c r="C2151" s="7"/>
      <c r="D2151" s="7"/>
    </row>
    <row r="2152">
      <c r="A2152" s="6"/>
      <c r="B2152" s="5"/>
      <c r="C2152" s="7"/>
      <c r="D2152" s="7"/>
    </row>
    <row r="2153">
      <c r="A2153" s="6"/>
      <c r="B2153" s="5"/>
      <c r="C2153" s="7"/>
      <c r="D2153" s="7"/>
    </row>
    <row r="2154">
      <c r="A2154" s="6"/>
      <c r="B2154" s="5"/>
      <c r="C2154" s="7"/>
      <c r="D2154" s="7"/>
    </row>
    <row r="2155">
      <c r="A2155" s="6"/>
      <c r="B2155" s="5"/>
      <c r="C2155" s="7"/>
      <c r="D2155" s="7"/>
    </row>
    <row r="2156">
      <c r="A2156" s="6"/>
      <c r="B2156" s="5"/>
      <c r="C2156" s="7"/>
      <c r="D2156" s="7"/>
    </row>
    <row r="2157">
      <c r="A2157" s="6"/>
      <c r="B2157" s="5"/>
      <c r="C2157" s="7"/>
      <c r="D2157" s="7"/>
    </row>
    <row r="2158">
      <c r="A2158" s="6"/>
      <c r="B2158" s="5"/>
      <c r="C2158" s="7"/>
      <c r="D2158" s="7"/>
    </row>
    <row r="2159">
      <c r="A2159" s="6"/>
      <c r="B2159" s="5"/>
      <c r="C2159" s="7"/>
      <c r="D2159" s="7"/>
    </row>
    <row r="2160">
      <c r="A2160" s="6"/>
      <c r="B2160" s="5"/>
      <c r="C2160" s="7"/>
      <c r="D2160" s="7"/>
    </row>
    <row r="2161">
      <c r="A2161" s="6"/>
      <c r="B2161" s="5"/>
      <c r="C2161" s="7"/>
      <c r="D2161" s="7"/>
    </row>
    <row r="2162">
      <c r="A2162" s="6"/>
      <c r="B2162" s="5"/>
      <c r="C2162" s="7"/>
      <c r="D2162" s="7"/>
    </row>
    <row r="2163">
      <c r="A2163" s="6"/>
      <c r="B2163" s="5"/>
      <c r="C2163" s="7"/>
      <c r="D2163" s="7"/>
    </row>
    <row r="2164">
      <c r="A2164" s="6"/>
      <c r="B2164" s="5"/>
      <c r="C2164" s="7"/>
      <c r="D2164" s="7"/>
    </row>
    <row r="2165">
      <c r="A2165" s="6"/>
      <c r="B2165" s="5"/>
      <c r="C2165" s="7"/>
      <c r="D2165" s="7"/>
    </row>
    <row r="2166">
      <c r="A2166" s="6"/>
      <c r="B2166" s="5"/>
      <c r="C2166" s="7"/>
      <c r="D2166" s="7"/>
    </row>
    <row r="2167">
      <c r="A2167" s="6"/>
      <c r="B2167" s="5"/>
      <c r="C2167" s="7"/>
      <c r="D2167" s="7"/>
    </row>
    <row r="2168">
      <c r="A2168" s="6"/>
      <c r="B2168" s="5"/>
      <c r="C2168" s="7"/>
      <c r="D2168" s="7"/>
    </row>
    <row r="2169">
      <c r="A2169" s="6"/>
      <c r="B2169" s="5"/>
      <c r="C2169" s="7"/>
      <c r="D2169" s="7"/>
    </row>
    <row r="2170">
      <c r="A2170" s="6"/>
      <c r="B2170" s="5"/>
      <c r="C2170" s="7"/>
      <c r="D2170" s="7"/>
    </row>
    <row r="2171">
      <c r="A2171" s="6"/>
      <c r="B2171" s="5"/>
      <c r="C2171" s="7"/>
      <c r="D2171" s="7"/>
    </row>
    <row r="2172">
      <c r="A2172" s="6"/>
      <c r="B2172" s="5"/>
      <c r="C2172" s="7"/>
      <c r="D2172" s="7"/>
    </row>
    <row r="2173">
      <c r="A2173" s="6"/>
      <c r="B2173" s="5"/>
      <c r="C2173" s="7"/>
      <c r="D2173" s="7"/>
    </row>
    <row r="2174">
      <c r="A2174" s="6"/>
      <c r="B2174" s="5"/>
      <c r="C2174" s="7"/>
      <c r="D2174" s="7"/>
    </row>
    <row r="2175">
      <c r="A2175" s="6"/>
      <c r="B2175" s="5"/>
      <c r="C2175" s="7"/>
      <c r="D2175" s="7"/>
    </row>
    <row r="2176">
      <c r="A2176" s="6"/>
      <c r="B2176" s="5"/>
      <c r="C2176" s="7"/>
      <c r="D2176" s="7"/>
    </row>
    <row r="2177">
      <c r="A2177" s="6"/>
      <c r="B2177" s="5"/>
      <c r="C2177" s="7"/>
      <c r="D2177" s="7"/>
    </row>
    <row r="2178">
      <c r="A2178" s="6"/>
      <c r="B2178" s="5"/>
      <c r="C2178" s="7"/>
      <c r="D2178" s="7"/>
    </row>
    <row r="2179">
      <c r="A2179" s="6"/>
      <c r="B2179" s="5"/>
      <c r="C2179" s="7"/>
      <c r="D2179" s="7"/>
    </row>
    <row r="2180">
      <c r="A2180" s="6"/>
      <c r="B2180" s="5"/>
      <c r="C2180" s="7"/>
      <c r="D2180" s="7"/>
    </row>
    <row r="2181">
      <c r="A2181" s="6"/>
      <c r="B2181" s="5"/>
      <c r="C2181" s="7"/>
      <c r="D2181" s="7"/>
    </row>
    <row r="2182">
      <c r="A2182" s="6"/>
      <c r="B2182" s="5"/>
      <c r="C2182" s="7"/>
      <c r="D2182" s="7"/>
    </row>
    <row r="2183">
      <c r="A2183" s="6"/>
      <c r="B2183" s="5"/>
      <c r="C2183" s="7"/>
      <c r="D2183" s="7"/>
    </row>
    <row r="2184">
      <c r="A2184" s="6"/>
      <c r="B2184" s="5"/>
      <c r="C2184" s="7"/>
      <c r="D2184" s="7"/>
    </row>
    <row r="2185">
      <c r="A2185" s="6"/>
      <c r="B2185" s="5"/>
      <c r="C2185" s="7"/>
      <c r="D2185" s="7"/>
    </row>
    <row r="2186">
      <c r="A2186" s="6"/>
      <c r="B2186" s="5"/>
      <c r="C2186" s="7"/>
      <c r="D2186" s="7"/>
    </row>
    <row r="2187">
      <c r="A2187" s="6"/>
      <c r="B2187" s="5"/>
      <c r="C2187" s="7"/>
      <c r="D2187" s="7"/>
    </row>
    <row r="2188">
      <c r="A2188" s="6"/>
      <c r="B2188" s="5"/>
      <c r="C2188" s="7"/>
      <c r="D2188" s="7"/>
    </row>
    <row r="2189">
      <c r="A2189" s="6"/>
      <c r="B2189" s="5"/>
      <c r="C2189" s="7"/>
      <c r="D2189" s="7"/>
    </row>
    <row r="2190">
      <c r="A2190" s="6"/>
      <c r="B2190" s="5"/>
      <c r="C2190" s="7"/>
      <c r="D2190" s="7"/>
    </row>
    <row r="2191">
      <c r="A2191" s="6"/>
      <c r="B2191" s="5"/>
      <c r="C2191" s="7"/>
      <c r="D2191" s="7"/>
    </row>
    <row r="2192">
      <c r="A2192" s="6"/>
      <c r="B2192" s="5"/>
      <c r="C2192" s="7"/>
      <c r="D2192" s="7"/>
    </row>
    <row r="2193">
      <c r="A2193" s="6"/>
      <c r="B2193" s="5"/>
      <c r="C2193" s="7"/>
      <c r="D2193" s="7"/>
    </row>
    <row r="2194">
      <c r="A2194" s="6"/>
      <c r="B2194" s="5"/>
      <c r="C2194" s="7"/>
      <c r="D2194" s="7"/>
    </row>
    <row r="2195">
      <c r="A2195" s="6"/>
      <c r="B2195" s="5"/>
      <c r="C2195" s="7"/>
      <c r="D2195" s="7"/>
    </row>
    <row r="2196">
      <c r="A2196" s="6"/>
      <c r="B2196" s="5"/>
      <c r="C2196" s="7"/>
      <c r="D2196" s="7"/>
    </row>
    <row r="2197">
      <c r="A2197" s="6"/>
      <c r="B2197" s="5"/>
      <c r="C2197" s="7"/>
      <c r="D2197" s="7"/>
    </row>
    <row r="2198">
      <c r="A2198" s="6"/>
      <c r="B2198" s="5"/>
      <c r="C2198" s="7"/>
      <c r="D2198" s="7"/>
    </row>
    <row r="2199">
      <c r="A2199" s="6"/>
      <c r="B2199" s="5"/>
      <c r="C2199" s="7"/>
      <c r="D2199" s="7"/>
    </row>
    <row r="2200">
      <c r="A2200" s="6"/>
      <c r="B2200" s="5"/>
      <c r="C2200" s="7"/>
      <c r="D2200" s="7"/>
    </row>
    <row r="2201">
      <c r="A2201" s="6"/>
      <c r="B2201" s="5"/>
      <c r="C2201" s="7"/>
      <c r="D2201" s="7"/>
    </row>
    <row r="2202">
      <c r="A2202" s="6"/>
      <c r="B2202" s="5"/>
      <c r="C2202" s="7"/>
      <c r="D2202" s="7"/>
    </row>
    <row r="2203">
      <c r="A2203" s="6"/>
      <c r="B2203" s="5"/>
      <c r="C2203" s="7"/>
      <c r="D2203" s="7"/>
    </row>
    <row r="2204">
      <c r="A2204" s="6"/>
      <c r="B2204" s="5"/>
      <c r="C2204" s="7"/>
      <c r="D2204" s="7"/>
    </row>
    <row r="2205">
      <c r="A2205" s="6"/>
      <c r="B2205" s="5"/>
      <c r="C2205" s="7"/>
      <c r="D2205" s="7"/>
    </row>
    <row r="2206">
      <c r="A2206" s="6"/>
      <c r="B2206" s="5"/>
      <c r="C2206" s="7"/>
      <c r="D2206" s="7"/>
    </row>
    <row r="2207">
      <c r="A2207" s="6"/>
      <c r="B2207" s="5"/>
      <c r="C2207" s="7"/>
      <c r="D2207" s="7"/>
    </row>
    <row r="2208">
      <c r="A2208" s="6"/>
      <c r="B2208" s="5"/>
      <c r="C2208" s="7"/>
      <c r="D2208" s="7"/>
    </row>
    <row r="2209">
      <c r="A2209" s="6"/>
      <c r="B2209" s="5"/>
      <c r="C2209" s="7"/>
      <c r="D2209" s="7"/>
    </row>
    <row r="2210">
      <c r="A2210" s="6"/>
      <c r="B2210" s="5"/>
      <c r="C2210" s="7"/>
      <c r="D2210" s="7"/>
    </row>
    <row r="2211">
      <c r="A2211" s="6"/>
      <c r="B2211" s="5"/>
      <c r="C2211" s="7"/>
      <c r="D2211" s="7"/>
    </row>
    <row r="2212">
      <c r="A2212" s="6"/>
      <c r="B2212" s="5"/>
      <c r="C2212" s="7"/>
      <c r="D2212" s="7"/>
    </row>
    <row r="2213">
      <c r="A2213" s="6"/>
      <c r="B2213" s="5"/>
      <c r="C2213" s="7"/>
      <c r="D2213" s="7"/>
    </row>
    <row r="2214">
      <c r="A2214" s="6"/>
      <c r="B2214" s="5"/>
      <c r="C2214" s="7"/>
      <c r="D2214" s="7"/>
    </row>
    <row r="2215">
      <c r="A2215" s="6"/>
      <c r="B2215" s="5"/>
      <c r="C2215" s="7"/>
      <c r="D2215" s="7"/>
    </row>
    <row r="2216">
      <c r="A2216" s="6"/>
      <c r="B2216" s="5"/>
      <c r="C2216" s="7"/>
      <c r="D2216" s="7"/>
    </row>
    <row r="2217">
      <c r="A2217" s="6"/>
      <c r="B2217" s="5"/>
      <c r="C2217" s="7"/>
      <c r="D2217" s="7"/>
    </row>
    <row r="2218">
      <c r="A2218" s="6"/>
      <c r="B2218" s="5"/>
      <c r="C2218" s="7"/>
      <c r="D2218" s="7"/>
    </row>
    <row r="2219">
      <c r="A2219" s="6"/>
      <c r="B2219" s="5"/>
      <c r="C2219" s="7"/>
      <c r="D2219" s="7"/>
    </row>
    <row r="2220">
      <c r="A2220" s="6"/>
      <c r="B2220" s="5"/>
      <c r="C2220" s="7"/>
      <c r="D2220" s="7"/>
    </row>
    <row r="2221">
      <c r="A2221" s="6"/>
      <c r="B2221" s="5"/>
      <c r="C2221" s="7"/>
      <c r="D2221" s="7"/>
    </row>
    <row r="2222">
      <c r="A2222" s="6"/>
      <c r="B2222" s="5"/>
      <c r="C2222" s="7"/>
      <c r="D2222" s="7"/>
    </row>
    <row r="2223">
      <c r="A2223" s="6"/>
      <c r="B2223" s="5"/>
      <c r="C2223" s="7"/>
      <c r="D2223" s="7"/>
    </row>
    <row r="2224">
      <c r="A2224" s="6"/>
      <c r="B2224" s="5"/>
      <c r="C2224" s="7"/>
      <c r="D2224" s="7"/>
    </row>
    <row r="2225">
      <c r="A2225" s="6"/>
      <c r="B2225" s="5"/>
      <c r="C2225" s="7"/>
      <c r="D2225" s="7"/>
    </row>
    <row r="2226">
      <c r="A2226" s="6"/>
      <c r="B2226" s="5"/>
      <c r="C2226" s="7"/>
      <c r="D2226" s="7"/>
    </row>
    <row r="2227">
      <c r="A2227" s="6"/>
      <c r="B2227" s="5"/>
      <c r="C2227" s="7"/>
      <c r="D2227" s="7"/>
    </row>
    <row r="2228">
      <c r="A2228" s="6"/>
      <c r="B2228" s="5"/>
      <c r="C2228" s="7"/>
      <c r="D2228" s="7"/>
    </row>
    <row r="2229">
      <c r="A2229" s="6"/>
      <c r="B2229" s="5"/>
      <c r="C2229" s="7"/>
      <c r="D2229" s="7"/>
    </row>
    <row r="2230">
      <c r="A2230" s="6"/>
      <c r="B2230" s="5"/>
      <c r="C2230" s="7"/>
      <c r="D2230" s="7"/>
    </row>
    <row r="2231">
      <c r="A2231" s="6"/>
      <c r="B2231" s="5"/>
      <c r="C2231" s="7"/>
      <c r="D2231" s="7"/>
    </row>
    <row r="2232">
      <c r="A2232" s="6"/>
      <c r="B2232" s="5"/>
      <c r="C2232" s="7"/>
      <c r="D2232" s="7"/>
    </row>
    <row r="2233">
      <c r="A2233" s="6"/>
      <c r="B2233" s="5"/>
      <c r="C2233" s="7"/>
      <c r="D2233" s="7"/>
    </row>
    <row r="2234">
      <c r="A2234" s="6"/>
      <c r="B2234" s="5"/>
      <c r="C2234" s="7"/>
      <c r="D2234" s="7"/>
    </row>
    <row r="2235">
      <c r="A2235" s="6"/>
      <c r="B2235" s="5"/>
      <c r="C2235" s="7"/>
      <c r="D2235" s="7"/>
    </row>
    <row r="2236">
      <c r="A2236" s="6"/>
      <c r="B2236" s="5"/>
      <c r="C2236" s="7"/>
      <c r="D2236" s="7"/>
    </row>
    <row r="2237">
      <c r="A2237" s="6"/>
      <c r="B2237" s="5"/>
      <c r="C2237" s="7"/>
      <c r="D2237" s="7"/>
    </row>
    <row r="2238">
      <c r="A2238" s="6"/>
      <c r="B2238" s="5"/>
      <c r="C2238" s="7"/>
      <c r="D2238" s="7"/>
    </row>
    <row r="2239">
      <c r="A2239" s="6"/>
      <c r="B2239" s="5"/>
      <c r="C2239" s="7"/>
      <c r="D2239" s="7"/>
    </row>
    <row r="2240">
      <c r="A2240" s="6"/>
      <c r="B2240" s="5"/>
      <c r="C2240" s="7"/>
      <c r="D2240" s="7"/>
    </row>
    <row r="2241">
      <c r="A2241" s="6"/>
      <c r="B2241" s="5"/>
      <c r="C2241" s="7"/>
      <c r="D2241" s="7"/>
    </row>
    <row r="2242">
      <c r="A2242" s="6"/>
      <c r="B2242" s="5"/>
      <c r="C2242" s="7"/>
      <c r="D2242" s="7"/>
    </row>
    <row r="2243">
      <c r="A2243" s="6"/>
      <c r="B2243" s="5"/>
      <c r="C2243" s="7"/>
      <c r="D2243" s="7"/>
    </row>
    <row r="2244">
      <c r="A2244" s="6"/>
      <c r="B2244" s="5"/>
      <c r="C2244" s="7"/>
      <c r="D2244" s="7"/>
    </row>
    <row r="2245">
      <c r="A2245" s="6"/>
      <c r="B2245" s="5"/>
      <c r="C2245" s="7"/>
      <c r="D2245" s="7"/>
    </row>
    <row r="2246">
      <c r="A2246" s="6"/>
      <c r="B2246" s="5"/>
      <c r="C2246" s="7"/>
      <c r="D2246" s="7"/>
    </row>
    <row r="2247">
      <c r="A2247" s="6"/>
      <c r="B2247" s="5"/>
      <c r="C2247" s="7"/>
      <c r="D2247" s="7"/>
    </row>
    <row r="2248">
      <c r="A2248" s="6"/>
      <c r="B2248" s="5"/>
      <c r="C2248" s="7"/>
      <c r="D2248" s="7"/>
    </row>
    <row r="2249">
      <c r="A2249" s="6"/>
      <c r="B2249" s="5"/>
      <c r="C2249" s="7"/>
      <c r="D2249" s="7"/>
    </row>
    <row r="2250">
      <c r="A2250" s="6"/>
      <c r="B2250" s="5"/>
      <c r="C2250" s="7"/>
      <c r="D2250" s="7"/>
    </row>
    <row r="2251">
      <c r="A2251" s="6"/>
      <c r="B2251" s="5"/>
      <c r="C2251" s="7"/>
      <c r="D2251" s="7"/>
    </row>
    <row r="2252">
      <c r="A2252" s="6"/>
      <c r="B2252" s="5"/>
      <c r="C2252" s="7"/>
      <c r="D2252" s="7"/>
    </row>
    <row r="2253">
      <c r="A2253" s="6"/>
      <c r="B2253" s="5"/>
      <c r="C2253" s="7"/>
      <c r="D2253" s="7"/>
    </row>
    <row r="2254">
      <c r="A2254" s="6"/>
      <c r="B2254" s="5"/>
      <c r="C2254" s="7"/>
      <c r="D2254" s="7"/>
    </row>
    <row r="2255">
      <c r="A2255" s="6"/>
      <c r="B2255" s="5"/>
      <c r="C2255" s="7"/>
      <c r="D2255" s="7"/>
    </row>
    <row r="2256">
      <c r="A2256" s="6"/>
      <c r="B2256" s="5"/>
      <c r="C2256" s="7"/>
      <c r="D2256" s="7"/>
    </row>
    <row r="2257">
      <c r="A2257" s="6"/>
      <c r="B2257" s="5"/>
      <c r="C2257" s="7"/>
      <c r="D2257" s="7"/>
    </row>
    <row r="2258">
      <c r="A2258" s="6"/>
      <c r="B2258" s="5"/>
      <c r="C2258" s="7"/>
      <c r="D2258" s="7"/>
    </row>
    <row r="2259">
      <c r="A2259" s="6"/>
      <c r="B2259" s="5"/>
      <c r="C2259" s="7"/>
      <c r="D2259" s="7"/>
    </row>
    <row r="2260">
      <c r="A2260" s="6"/>
      <c r="B2260" s="5"/>
      <c r="C2260" s="7"/>
      <c r="D2260" s="7"/>
    </row>
    <row r="2261">
      <c r="A2261" s="6"/>
      <c r="B2261" s="5"/>
      <c r="C2261" s="7"/>
      <c r="D2261" s="7"/>
    </row>
    <row r="2262">
      <c r="A2262" s="6"/>
      <c r="B2262" s="5"/>
      <c r="C2262" s="7"/>
      <c r="D2262" s="7"/>
    </row>
    <row r="2263">
      <c r="A2263" s="6"/>
      <c r="B2263" s="5"/>
      <c r="C2263" s="7"/>
      <c r="D2263" s="7"/>
    </row>
    <row r="2264">
      <c r="A2264" s="6"/>
      <c r="B2264" s="5"/>
      <c r="C2264" s="7"/>
      <c r="D2264" s="7"/>
    </row>
    <row r="2265">
      <c r="A2265" s="6"/>
      <c r="B2265" s="5"/>
      <c r="C2265" s="7"/>
      <c r="D2265" s="7"/>
    </row>
    <row r="2266">
      <c r="A2266" s="6"/>
      <c r="B2266" s="5"/>
      <c r="C2266" s="7"/>
      <c r="D2266" s="7"/>
    </row>
    <row r="2267">
      <c r="A2267" s="6"/>
      <c r="B2267" s="5"/>
      <c r="C2267" s="7"/>
      <c r="D2267" s="7"/>
    </row>
    <row r="2268">
      <c r="A2268" s="6"/>
      <c r="B2268" s="5"/>
      <c r="C2268" s="7"/>
      <c r="D2268" s="7"/>
    </row>
    <row r="2269">
      <c r="A2269" s="6"/>
      <c r="B2269" s="5"/>
      <c r="C2269" s="7"/>
      <c r="D2269" s="7"/>
    </row>
    <row r="2270">
      <c r="A2270" s="6"/>
      <c r="B2270" s="5"/>
      <c r="C2270" s="7"/>
      <c r="D2270" s="7"/>
    </row>
    <row r="2271">
      <c r="A2271" s="6"/>
      <c r="B2271" s="5"/>
      <c r="C2271" s="7"/>
      <c r="D2271" s="7"/>
    </row>
    <row r="2272">
      <c r="A2272" s="6"/>
      <c r="B2272" s="5"/>
      <c r="C2272" s="7"/>
      <c r="D2272" s="7"/>
    </row>
    <row r="2273">
      <c r="A2273" s="6"/>
      <c r="B2273" s="5"/>
      <c r="C2273" s="7"/>
      <c r="D2273" s="7"/>
    </row>
    <row r="2274">
      <c r="A2274" s="6"/>
      <c r="B2274" s="5"/>
      <c r="C2274" s="7"/>
      <c r="D2274" s="7"/>
    </row>
    <row r="2275">
      <c r="A2275" s="6"/>
      <c r="B2275" s="5"/>
      <c r="C2275" s="7"/>
      <c r="D2275" s="7"/>
    </row>
    <row r="2276">
      <c r="A2276" s="6"/>
      <c r="B2276" s="5"/>
      <c r="C2276" s="7"/>
      <c r="D2276" s="7"/>
    </row>
    <row r="2277">
      <c r="A2277" s="6"/>
      <c r="B2277" s="5"/>
      <c r="C2277" s="7"/>
      <c r="D2277" s="7"/>
    </row>
    <row r="2278">
      <c r="A2278" s="6"/>
      <c r="B2278" s="5"/>
      <c r="C2278" s="7"/>
      <c r="D2278" s="7"/>
    </row>
    <row r="2279">
      <c r="A2279" s="6"/>
      <c r="B2279" s="5"/>
      <c r="C2279" s="7"/>
      <c r="D2279" s="7"/>
    </row>
    <row r="2280">
      <c r="A2280" s="6"/>
      <c r="B2280" s="5"/>
      <c r="C2280" s="7"/>
      <c r="D2280" s="7"/>
    </row>
    <row r="2281">
      <c r="A2281" s="6"/>
      <c r="B2281" s="5"/>
      <c r="C2281" s="7"/>
      <c r="D2281" s="7"/>
    </row>
    <row r="2282">
      <c r="A2282" s="6"/>
      <c r="B2282" s="5"/>
      <c r="C2282" s="7"/>
      <c r="D2282" s="7"/>
    </row>
    <row r="2283">
      <c r="A2283" s="6"/>
      <c r="B2283" s="5"/>
      <c r="C2283" s="7"/>
      <c r="D2283" s="7"/>
    </row>
    <row r="2284">
      <c r="A2284" s="6"/>
      <c r="B2284" s="5"/>
      <c r="C2284" s="7"/>
      <c r="D2284" s="7"/>
    </row>
    <row r="2285">
      <c r="A2285" s="6"/>
      <c r="B2285" s="5"/>
      <c r="C2285" s="7"/>
      <c r="D2285" s="7"/>
    </row>
    <row r="2286">
      <c r="A2286" s="6"/>
      <c r="B2286" s="5"/>
      <c r="C2286" s="7"/>
      <c r="D2286" s="7"/>
    </row>
    <row r="2287">
      <c r="A2287" s="6"/>
      <c r="B2287" s="5"/>
      <c r="C2287" s="7"/>
      <c r="D2287" s="7"/>
    </row>
    <row r="2288">
      <c r="A2288" s="6"/>
      <c r="B2288" s="5"/>
      <c r="C2288" s="7"/>
      <c r="D2288" s="7"/>
    </row>
    <row r="2289">
      <c r="A2289" s="6"/>
      <c r="B2289" s="5"/>
      <c r="C2289" s="7"/>
      <c r="D2289" s="7"/>
    </row>
    <row r="2290">
      <c r="A2290" s="6"/>
      <c r="B2290" s="5"/>
      <c r="C2290" s="7"/>
      <c r="D2290" s="7"/>
    </row>
    <row r="2291">
      <c r="A2291" s="6"/>
      <c r="B2291" s="5"/>
      <c r="C2291" s="7"/>
      <c r="D2291" s="7"/>
    </row>
    <row r="2292">
      <c r="A2292" s="6"/>
      <c r="B2292" s="5"/>
      <c r="C2292" s="7"/>
      <c r="D2292" s="7"/>
    </row>
    <row r="2293">
      <c r="A2293" s="6"/>
      <c r="B2293" s="5"/>
      <c r="C2293" s="7"/>
      <c r="D2293" s="7"/>
    </row>
    <row r="2294">
      <c r="A2294" s="6"/>
      <c r="B2294" s="5"/>
      <c r="C2294" s="7"/>
      <c r="D2294" s="7"/>
    </row>
    <row r="2295">
      <c r="A2295" s="6"/>
      <c r="B2295" s="5"/>
      <c r="C2295" s="7"/>
      <c r="D2295" s="7"/>
    </row>
    <row r="2296">
      <c r="A2296" s="6"/>
      <c r="B2296" s="5"/>
      <c r="C2296" s="7"/>
      <c r="D2296" s="7"/>
    </row>
    <row r="2297">
      <c r="A2297" s="6"/>
      <c r="B2297" s="5"/>
      <c r="C2297" s="7"/>
      <c r="D2297" s="7"/>
    </row>
    <row r="2298">
      <c r="A2298" s="6"/>
      <c r="B2298" s="5"/>
      <c r="C2298" s="7"/>
      <c r="D2298" s="7"/>
    </row>
    <row r="2299">
      <c r="A2299" s="6"/>
      <c r="B2299" s="5"/>
      <c r="C2299" s="7"/>
      <c r="D2299" s="7"/>
    </row>
    <row r="2300">
      <c r="A2300" s="6"/>
      <c r="B2300" s="5"/>
      <c r="C2300" s="7"/>
      <c r="D2300" s="7"/>
    </row>
    <row r="2301">
      <c r="A2301" s="6"/>
      <c r="B2301" s="5"/>
      <c r="C2301" s="7"/>
      <c r="D2301" s="7"/>
    </row>
    <row r="2302">
      <c r="A2302" s="6"/>
      <c r="B2302" s="5"/>
      <c r="C2302" s="7"/>
      <c r="D2302" s="7"/>
    </row>
    <row r="2303">
      <c r="A2303" s="6"/>
      <c r="B2303" s="5"/>
      <c r="C2303" s="7"/>
      <c r="D2303" s="7"/>
    </row>
    <row r="2304">
      <c r="A2304" s="6"/>
      <c r="B2304" s="5"/>
      <c r="C2304" s="7"/>
      <c r="D2304" s="7"/>
    </row>
    <row r="2305">
      <c r="A2305" s="6"/>
      <c r="B2305" s="5"/>
      <c r="C2305" s="7"/>
      <c r="D2305" s="7"/>
    </row>
    <row r="2306">
      <c r="A2306" s="6"/>
      <c r="B2306" s="5"/>
      <c r="C2306" s="7"/>
      <c r="D2306" s="7"/>
    </row>
    <row r="2307">
      <c r="A2307" s="6"/>
      <c r="B2307" s="5"/>
      <c r="C2307" s="7"/>
      <c r="D2307" s="7"/>
    </row>
    <row r="2308">
      <c r="A2308" s="6"/>
      <c r="B2308" s="5"/>
      <c r="C2308" s="7"/>
      <c r="D2308" s="7"/>
    </row>
    <row r="2309">
      <c r="A2309" s="6"/>
      <c r="B2309" s="5"/>
      <c r="C2309" s="7"/>
      <c r="D2309" s="7"/>
    </row>
    <row r="2310">
      <c r="A2310" s="6"/>
      <c r="B2310" s="5"/>
      <c r="C2310" s="7"/>
      <c r="D2310" s="7"/>
    </row>
    <row r="2311">
      <c r="A2311" s="6"/>
      <c r="B2311" s="5"/>
      <c r="C2311" s="7"/>
      <c r="D2311" s="7"/>
    </row>
    <row r="2312">
      <c r="A2312" s="6"/>
      <c r="B2312" s="5"/>
      <c r="C2312" s="7"/>
      <c r="D2312" s="7"/>
    </row>
    <row r="2313">
      <c r="A2313" s="6"/>
      <c r="B2313" s="5"/>
      <c r="C2313" s="7"/>
      <c r="D2313" s="7"/>
    </row>
    <row r="2314">
      <c r="A2314" s="6"/>
      <c r="B2314" s="5"/>
      <c r="C2314" s="7"/>
      <c r="D2314" s="7"/>
    </row>
    <row r="2315">
      <c r="A2315" s="6"/>
      <c r="B2315" s="5"/>
      <c r="C2315" s="7"/>
      <c r="D2315" s="7"/>
    </row>
    <row r="2316">
      <c r="A2316" s="6"/>
      <c r="B2316" s="5"/>
      <c r="C2316" s="7"/>
      <c r="D2316" s="7"/>
    </row>
    <row r="2317">
      <c r="A2317" s="6"/>
      <c r="B2317" s="5"/>
      <c r="C2317" s="7"/>
      <c r="D2317" s="7"/>
    </row>
    <row r="2318">
      <c r="A2318" s="6"/>
      <c r="B2318" s="5"/>
      <c r="C2318" s="7"/>
      <c r="D2318" s="7"/>
    </row>
    <row r="2319">
      <c r="A2319" s="6"/>
      <c r="B2319" s="5"/>
      <c r="C2319" s="7"/>
      <c r="D2319" s="7"/>
    </row>
    <row r="2320">
      <c r="A2320" s="6"/>
      <c r="B2320" s="5"/>
      <c r="C2320" s="7"/>
      <c r="D2320" s="7"/>
    </row>
    <row r="2321">
      <c r="A2321" s="6"/>
      <c r="B2321" s="5"/>
      <c r="C2321" s="7"/>
      <c r="D2321" s="7"/>
    </row>
    <row r="2322">
      <c r="A2322" s="6"/>
      <c r="B2322" s="5"/>
      <c r="C2322" s="7"/>
      <c r="D2322" s="7"/>
    </row>
    <row r="2323">
      <c r="A2323" s="6"/>
      <c r="B2323" s="5"/>
      <c r="C2323" s="7"/>
      <c r="D2323" s="7"/>
    </row>
    <row r="2324">
      <c r="A2324" s="6"/>
      <c r="B2324" s="5"/>
      <c r="C2324" s="7"/>
      <c r="D2324" s="7"/>
    </row>
    <row r="2325">
      <c r="A2325" s="6"/>
      <c r="B2325" s="5"/>
      <c r="C2325" s="7"/>
      <c r="D2325" s="7"/>
    </row>
    <row r="2326">
      <c r="A2326" s="6"/>
      <c r="B2326" s="5"/>
      <c r="C2326" s="7"/>
      <c r="D2326" s="7"/>
    </row>
    <row r="2327">
      <c r="A2327" s="6"/>
      <c r="B2327" s="5"/>
      <c r="C2327" s="7"/>
      <c r="D2327" s="7"/>
    </row>
    <row r="2328">
      <c r="A2328" s="6"/>
      <c r="B2328" s="5"/>
      <c r="C2328" s="7"/>
      <c r="D2328" s="7"/>
    </row>
    <row r="2329">
      <c r="A2329" s="6"/>
      <c r="B2329" s="5"/>
      <c r="C2329" s="7"/>
      <c r="D2329" s="7"/>
    </row>
    <row r="2330">
      <c r="A2330" s="6"/>
      <c r="B2330" s="5"/>
      <c r="C2330" s="7"/>
      <c r="D2330" s="7"/>
    </row>
    <row r="2331">
      <c r="A2331" s="6"/>
      <c r="B2331" s="5"/>
      <c r="C2331" s="7"/>
      <c r="D2331" s="7"/>
    </row>
    <row r="2332">
      <c r="A2332" s="6"/>
      <c r="B2332" s="5"/>
      <c r="C2332" s="7"/>
      <c r="D2332" s="7"/>
    </row>
    <row r="2333">
      <c r="A2333" s="6"/>
      <c r="B2333" s="5"/>
      <c r="C2333" s="7"/>
      <c r="D2333" s="7"/>
    </row>
    <row r="2334">
      <c r="A2334" s="6"/>
      <c r="B2334" s="5"/>
      <c r="C2334" s="7"/>
      <c r="D2334" s="7"/>
    </row>
    <row r="2335">
      <c r="A2335" s="6"/>
      <c r="B2335" s="5"/>
      <c r="C2335" s="7"/>
      <c r="D2335" s="7"/>
    </row>
    <row r="2336">
      <c r="A2336" s="6"/>
      <c r="B2336" s="5"/>
      <c r="C2336" s="7"/>
      <c r="D2336" s="7"/>
    </row>
    <row r="2337">
      <c r="A2337" s="6"/>
      <c r="B2337" s="5"/>
      <c r="C2337" s="7"/>
      <c r="D2337" s="7"/>
    </row>
    <row r="2338">
      <c r="A2338" s="6"/>
      <c r="B2338" s="5"/>
      <c r="C2338" s="7"/>
      <c r="D2338" s="7"/>
    </row>
    <row r="2339">
      <c r="A2339" s="6"/>
      <c r="B2339" s="5"/>
      <c r="C2339" s="7"/>
      <c r="D2339" s="7"/>
    </row>
    <row r="2340">
      <c r="A2340" s="6"/>
      <c r="B2340" s="5"/>
      <c r="C2340" s="7"/>
      <c r="D2340" s="7"/>
    </row>
    <row r="2341">
      <c r="A2341" s="6"/>
      <c r="B2341" s="5"/>
      <c r="C2341" s="7"/>
      <c r="D2341" s="7"/>
    </row>
    <row r="2342">
      <c r="A2342" s="6"/>
      <c r="B2342" s="5"/>
      <c r="C2342" s="7"/>
      <c r="D2342" s="7"/>
    </row>
    <row r="2343">
      <c r="A2343" s="6"/>
      <c r="B2343" s="5"/>
      <c r="C2343" s="7"/>
      <c r="D2343" s="7"/>
    </row>
    <row r="2344">
      <c r="A2344" s="6"/>
      <c r="B2344" s="5"/>
      <c r="C2344" s="7"/>
      <c r="D2344" s="7"/>
    </row>
    <row r="2345">
      <c r="A2345" s="6"/>
      <c r="B2345" s="5"/>
      <c r="C2345" s="7"/>
      <c r="D2345" s="7"/>
    </row>
    <row r="2346">
      <c r="A2346" s="6"/>
      <c r="B2346" s="5"/>
      <c r="C2346" s="7"/>
      <c r="D2346" s="7"/>
    </row>
    <row r="2347">
      <c r="A2347" s="6"/>
      <c r="B2347" s="5"/>
      <c r="C2347" s="7"/>
      <c r="D2347" s="7"/>
    </row>
    <row r="2348">
      <c r="A2348" s="6"/>
      <c r="B2348" s="5"/>
      <c r="C2348" s="7"/>
      <c r="D2348" s="7"/>
    </row>
    <row r="2349">
      <c r="A2349" s="6"/>
      <c r="B2349" s="5"/>
      <c r="C2349" s="7"/>
      <c r="D2349" s="7"/>
    </row>
    <row r="2350">
      <c r="A2350" s="6"/>
      <c r="B2350" s="5"/>
      <c r="C2350" s="7"/>
      <c r="D2350" s="7"/>
    </row>
    <row r="2351">
      <c r="A2351" s="6"/>
      <c r="B2351" s="5"/>
      <c r="C2351" s="7"/>
      <c r="D2351" s="7"/>
    </row>
    <row r="2352">
      <c r="A2352" s="6"/>
      <c r="B2352" s="5"/>
      <c r="C2352" s="7"/>
      <c r="D2352" s="7"/>
    </row>
    <row r="2353">
      <c r="A2353" s="6"/>
      <c r="B2353" s="5"/>
      <c r="C2353" s="7"/>
      <c r="D2353" s="7"/>
    </row>
    <row r="2354">
      <c r="A2354" s="6"/>
      <c r="B2354" s="5"/>
      <c r="C2354" s="7"/>
      <c r="D2354" s="7"/>
    </row>
    <row r="2355">
      <c r="A2355" s="6"/>
      <c r="B2355" s="5"/>
      <c r="C2355" s="7"/>
      <c r="D2355" s="7"/>
    </row>
    <row r="2356">
      <c r="A2356" s="6"/>
      <c r="B2356" s="5"/>
      <c r="C2356" s="7"/>
      <c r="D2356" s="7"/>
    </row>
    <row r="2357">
      <c r="A2357" s="6"/>
      <c r="B2357" s="5"/>
      <c r="C2357" s="7"/>
      <c r="D2357" s="7"/>
    </row>
    <row r="2358">
      <c r="A2358" s="6"/>
      <c r="B2358" s="5"/>
      <c r="C2358" s="7"/>
      <c r="D2358" s="7"/>
    </row>
    <row r="2359">
      <c r="A2359" s="6"/>
      <c r="B2359" s="5"/>
      <c r="C2359" s="7"/>
      <c r="D2359" s="7"/>
    </row>
    <row r="2360">
      <c r="A2360" s="6"/>
      <c r="B2360" s="5"/>
      <c r="C2360" s="7"/>
      <c r="D2360" s="7"/>
    </row>
    <row r="2361">
      <c r="A2361" s="6"/>
      <c r="B2361" s="5"/>
      <c r="C2361" s="7"/>
      <c r="D2361" s="7"/>
    </row>
    <row r="2362">
      <c r="A2362" s="6"/>
      <c r="B2362" s="5"/>
      <c r="C2362" s="7"/>
      <c r="D2362" s="7"/>
    </row>
    <row r="2363">
      <c r="A2363" s="6"/>
      <c r="B2363" s="5"/>
      <c r="C2363" s="7"/>
      <c r="D2363" s="7"/>
    </row>
    <row r="2364">
      <c r="A2364" s="6"/>
      <c r="B2364" s="5"/>
      <c r="C2364" s="7"/>
      <c r="D2364" s="7"/>
    </row>
    <row r="2365">
      <c r="A2365" s="6"/>
      <c r="B2365" s="5"/>
      <c r="C2365" s="7"/>
      <c r="D2365" s="7"/>
    </row>
    <row r="2366">
      <c r="A2366" s="6"/>
      <c r="B2366" s="5"/>
      <c r="C2366" s="7"/>
      <c r="D2366" s="7"/>
    </row>
    <row r="2367">
      <c r="A2367" s="6"/>
      <c r="B2367" s="5"/>
      <c r="C2367" s="7"/>
      <c r="D2367" s="7"/>
    </row>
    <row r="2368">
      <c r="A2368" s="6"/>
      <c r="B2368" s="5"/>
      <c r="C2368" s="7"/>
      <c r="D2368" s="7"/>
    </row>
    <row r="2369">
      <c r="A2369" s="6"/>
      <c r="B2369" s="5"/>
      <c r="C2369" s="7"/>
      <c r="D2369" s="7"/>
    </row>
    <row r="2370">
      <c r="A2370" s="6"/>
      <c r="B2370" s="5"/>
      <c r="C2370" s="7"/>
      <c r="D2370" s="7"/>
    </row>
    <row r="2371">
      <c r="A2371" s="6"/>
      <c r="B2371" s="5"/>
      <c r="C2371" s="7"/>
      <c r="D2371" s="7"/>
    </row>
    <row r="2372">
      <c r="A2372" s="6"/>
      <c r="B2372" s="5"/>
      <c r="C2372" s="7"/>
      <c r="D2372" s="7"/>
    </row>
    <row r="2373">
      <c r="A2373" s="6"/>
      <c r="B2373" s="5"/>
      <c r="C2373" s="7"/>
      <c r="D2373" s="7"/>
    </row>
    <row r="2374">
      <c r="A2374" s="6"/>
      <c r="B2374" s="5"/>
      <c r="C2374" s="7"/>
      <c r="D2374" s="7"/>
    </row>
    <row r="2375">
      <c r="A2375" s="6"/>
      <c r="B2375" s="5"/>
      <c r="C2375" s="7"/>
      <c r="D2375" s="7"/>
    </row>
    <row r="2376">
      <c r="A2376" s="6"/>
      <c r="B2376" s="5"/>
      <c r="C2376" s="7"/>
      <c r="D2376" s="7"/>
    </row>
    <row r="2377">
      <c r="A2377" s="6"/>
      <c r="B2377" s="5"/>
      <c r="C2377" s="7"/>
      <c r="D2377" s="7"/>
    </row>
    <row r="2378">
      <c r="A2378" s="6"/>
      <c r="B2378" s="5"/>
      <c r="C2378" s="7"/>
      <c r="D2378" s="7"/>
    </row>
    <row r="2379">
      <c r="A2379" s="6"/>
      <c r="B2379" s="5"/>
      <c r="C2379" s="7"/>
      <c r="D2379" s="7"/>
    </row>
    <row r="2380">
      <c r="A2380" s="6"/>
      <c r="B2380" s="5"/>
      <c r="C2380" s="7"/>
      <c r="D2380" s="7"/>
    </row>
    <row r="2381">
      <c r="A2381" s="6"/>
      <c r="B2381" s="5"/>
      <c r="C2381" s="7"/>
      <c r="D2381" s="7"/>
    </row>
    <row r="2382">
      <c r="A2382" s="6"/>
      <c r="B2382" s="5"/>
      <c r="C2382" s="7"/>
      <c r="D2382" s="7"/>
    </row>
    <row r="2383">
      <c r="A2383" s="6"/>
      <c r="B2383" s="5"/>
      <c r="C2383" s="7"/>
      <c r="D2383" s="7"/>
    </row>
    <row r="2384">
      <c r="A2384" s="6"/>
      <c r="B2384" s="5"/>
      <c r="C2384" s="7"/>
      <c r="D2384" s="7"/>
    </row>
    <row r="2385">
      <c r="A2385" s="6"/>
      <c r="B2385" s="5"/>
      <c r="C2385" s="7"/>
      <c r="D2385" s="7"/>
    </row>
    <row r="2386">
      <c r="A2386" s="6"/>
      <c r="B2386" s="5"/>
      <c r="C2386" s="7"/>
      <c r="D2386" s="7"/>
    </row>
    <row r="2387">
      <c r="A2387" s="6"/>
      <c r="B2387" s="5"/>
      <c r="C2387" s="7"/>
      <c r="D2387" s="7"/>
    </row>
    <row r="2388">
      <c r="A2388" s="6"/>
      <c r="B2388" s="5"/>
      <c r="C2388" s="7"/>
      <c r="D2388" s="7"/>
    </row>
    <row r="2389">
      <c r="A2389" s="6"/>
      <c r="B2389" s="5"/>
      <c r="C2389" s="7"/>
      <c r="D2389" s="7"/>
    </row>
    <row r="2390">
      <c r="A2390" s="6"/>
      <c r="B2390" s="5"/>
      <c r="C2390" s="7"/>
      <c r="D2390" s="7"/>
    </row>
    <row r="2391">
      <c r="A2391" s="6"/>
      <c r="B2391" s="5"/>
      <c r="C2391" s="7"/>
      <c r="D2391" s="7"/>
    </row>
    <row r="2392">
      <c r="A2392" s="6"/>
      <c r="B2392" s="5"/>
      <c r="C2392" s="7"/>
      <c r="D2392" s="7"/>
    </row>
    <row r="2393">
      <c r="A2393" s="6"/>
      <c r="B2393" s="5"/>
      <c r="C2393" s="7"/>
      <c r="D2393" s="7"/>
    </row>
    <row r="2394">
      <c r="A2394" s="6"/>
      <c r="B2394" s="5"/>
      <c r="C2394" s="7"/>
      <c r="D2394" s="7"/>
    </row>
    <row r="2395">
      <c r="A2395" s="6"/>
      <c r="B2395" s="5"/>
      <c r="C2395" s="7"/>
      <c r="D2395" s="7"/>
    </row>
    <row r="2396">
      <c r="A2396" s="6"/>
      <c r="B2396" s="5"/>
      <c r="C2396" s="7"/>
      <c r="D2396" s="7"/>
    </row>
    <row r="2397">
      <c r="A2397" s="6"/>
      <c r="B2397" s="5"/>
      <c r="C2397" s="7"/>
      <c r="D2397" s="7"/>
    </row>
    <row r="2398">
      <c r="A2398" s="6"/>
      <c r="B2398" s="5"/>
      <c r="C2398" s="7"/>
      <c r="D2398" s="7"/>
    </row>
    <row r="2399">
      <c r="A2399" s="6"/>
      <c r="B2399" s="5"/>
      <c r="C2399" s="7"/>
      <c r="D2399" s="7"/>
    </row>
    <row r="2400">
      <c r="A2400" s="6"/>
      <c r="B2400" s="5"/>
      <c r="C2400" s="7"/>
      <c r="D2400" s="7"/>
    </row>
  </sheetData>
  <autoFilter ref="$A$1:$D$1400">
    <filterColumn colId="2">
      <filters>
        <filter val="58390"/>
        <filter val="62890"/>
        <filter val="87390"/>
        <filter val="22990"/>
        <filter val="56890"/>
        <filter val="70390"/>
        <filter val="4290"/>
        <filter val="35390"/>
        <filter val="156390"/>
        <filter val="110390"/>
        <filter val="85890"/>
        <filter val="64390"/>
        <filter val="41390"/>
        <filter val="154890"/>
        <filter val="38890"/>
        <filter val="3890"/>
        <filter val="1590"/>
        <filter val="165890"/>
        <filter val="51890"/>
        <filter val="159890"/>
        <filter val="115390"/>
        <filter val="174390"/>
        <filter val="151390"/>
        <filter val="4990"/>
        <filter val="309390"/>
        <filter val="124890"/>
        <filter val="145390"/>
        <filter val="6490"/>
        <filter val="74890"/>
        <filter val="68890"/>
        <filter val="3790"/>
        <filter val="21890"/>
        <filter val="9890"/>
        <filter val="1490"/>
        <filter val="71390"/>
        <filter val="34390"/>
        <filter val="82390"/>
        <filter val="132890"/>
        <filter val="80890"/>
        <filter val="134390"/>
        <filter val="40390"/>
        <filter val="83390"/>
        <filter val="195390"/>
        <filter val="54390"/>
        <filter val="77390"/>
        <filter val="128390"/>
        <filter val="39390"/>
        <filter val="6390"/>
        <filter val="126890"/>
        <filter val="16390"/>
        <filter val="187890"/>
        <filter val="166390"/>
        <filter val="135890"/>
        <filter val="229890"/>
        <filter val="45390"/>
        <filter val="60390"/>
        <filter val="100390"/>
        <filter val="11390"/>
        <filter val="5990"/>
        <filter val="88390"/>
        <filter val="15990"/>
        <filter val="92890"/>
        <filter val="1390"/>
        <filter val="75890"/>
        <filter val="50000"/>
        <filter val="64890"/>
        <filter val="451890"/>
        <filter val="10390"/>
        <filter val="176890"/>
        <filter val="14990"/>
        <filter val="58890"/>
        <filter val="2490"/>
        <filter val="93890"/>
        <filter val="31890"/>
        <filter val="5890"/>
        <filter val="198890"/>
        <filter val="42890"/>
        <filter val="55390"/>
        <filter val="144390"/>
        <filter val="1290"/>
        <filter val="161390"/>
        <filter val="53890"/>
        <filter val="484890"/>
        <filter val="170890"/>
        <filter val="44390"/>
        <filter val="233390"/>
        <filter val="124390"/>
        <filter val="210390"/>
        <filter val="6990"/>
        <filter val="8490"/>
        <filter val="3000"/>
        <filter val="168890"/>
        <filter val="990"/>
        <filter val="116890"/>
        <filter val="99890"/>
        <filter val="24890"/>
        <filter val="468390"/>
        <filter val="1190"/>
        <filter val="84390"/>
        <filter val="13890"/>
        <filter val="1990"/>
        <filter val="78390"/>
        <filter val="90390"/>
        <filter val="129390"/>
        <filter val="71890"/>
        <filter val="15390"/>
        <filter val="32390"/>
        <filter val="3490"/>
        <filter val="76890"/>
        <filter val="73390"/>
        <filter val="188390"/>
        <filter val="82890"/>
        <filter val="67390"/>
        <filter val="2290"/>
        <filter val="6890"/>
        <filter val="41890"/>
        <filter val="12890"/>
        <filter val="18990"/>
        <filter val="214890"/>
        <filter val="79390"/>
        <filter val="35890"/>
        <filter val="14390"/>
        <filter val="216390"/>
        <filter val="890"/>
        <filter val="77890"/>
        <filter val="54890"/>
        <filter val="83890"/>
        <filter val="110890"/>
        <filter val="154390"/>
        <filter val="60890"/>
        <filter val="7990"/>
        <filter val="104890"/>
        <filter val="148390"/>
        <filter val="1090"/>
        <filter val="13990"/>
        <filter val="106390"/>
        <filter val="1890"/>
        <filter val="51390"/>
        <filter val="29890"/>
        <filter val="182390"/>
        <filter val="30990"/>
        <filter val="159390"/>
        <filter val="46890"/>
        <filter val="6790"/>
        <filter val="12990"/>
        <filter val="2990"/>
        <filter val="72890"/>
        <filter val="293890"/>
        <filter val="790"/>
        <filter val="4490"/>
        <filter val="97390"/>
        <filter val="74390"/>
        <filter val="28890"/>
        <filter val="192390"/>
        <filter val="68390"/>
        <filter val="66890"/>
        <filter val="40890"/>
        <filter val="152390"/>
        <filter val="209890"/>
        <filter val="1790"/>
        <filter val="123890"/>
        <filter val="9390"/>
        <filter val="117890"/>
        <filter val="63390"/>
        <filter val="155890"/>
        <filter val="39890"/>
        <filter val="16890"/>
        <filter val="8990"/>
        <filter val="105890"/>
        <filter val="18390"/>
        <filter val="52390"/>
        <filter val="28990"/>
        <filter val="47390"/>
        <filter val="158390"/>
        <filter val="50890"/>
        <filter val="22890"/>
        <filter val="133890"/>
        <filter val="45890"/>
        <filter val="81390"/>
        <filter val="90890"/>
        <filter val="86390"/>
        <filter val="3990"/>
        <filter val="169390"/>
        <filter val="30390"/>
        <filter val="1690"/>
        <filter val="92390"/>
        <filter val="73890"/>
        <filter val="75390"/>
        <filter val="69390"/>
        <filter val="67890"/>
        <filter val="84890"/>
        <filter val="130390"/>
      </filters>
    </filterColumn>
  </autoFilter>
  <hyperlinks>
    <hyperlink r:id="rId1" ref="B77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0"/>
  </cols>
  <sheetData>
    <row r="1">
      <c r="A1" s="2" t="s">
        <v>0</v>
      </c>
      <c r="B1" s="2" t="s">
        <v>5</v>
      </c>
      <c r="C1" s="2" t="s">
        <v>6</v>
      </c>
      <c r="D1" s="2" t="s">
        <v>9</v>
      </c>
      <c r="E1" s="2" t="s">
        <v>12</v>
      </c>
    </row>
    <row r="2">
      <c r="A2" s="2">
        <v>8.478996403E9</v>
      </c>
      <c r="B2" s="2" t="s">
        <v>16</v>
      </c>
      <c r="C2" s="2" t="s">
        <v>18</v>
      </c>
      <c r="D2" s="4">
        <v>95990.0</v>
      </c>
    </row>
    <row r="3">
      <c r="A3" s="2">
        <v>8.425731761E9</v>
      </c>
      <c r="B3" s="2" t="s">
        <v>26</v>
      </c>
      <c r="C3" s="2" t="s">
        <v>18</v>
      </c>
      <c r="D3" s="4">
        <v>54990.0</v>
      </c>
    </row>
    <row r="4">
      <c r="A4" s="2">
        <v>8.421542531E9</v>
      </c>
      <c r="B4" s="2" t="s">
        <v>28</v>
      </c>
      <c r="C4" s="2" t="s">
        <v>29</v>
      </c>
      <c r="D4" s="4">
        <v>18990.0</v>
      </c>
    </row>
    <row r="5">
      <c r="A5" s="2">
        <v>8.406991566E9</v>
      </c>
      <c r="B5" s="5" t="s">
        <v>34</v>
      </c>
      <c r="C5" s="2" t="s">
        <v>29</v>
      </c>
      <c r="D5" s="4">
        <v>144990.0</v>
      </c>
      <c r="E5" s="8">
        <f>IFERROR(VLOOKUP(B5,'Лист1'!$A:$L,12,FALSE),"")</f>
        <v>50000</v>
      </c>
    </row>
    <row r="6">
      <c r="A6" s="2">
        <v>8.367651571E9</v>
      </c>
      <c r="B6" s="2" t="s">
        <v>60</v>
      </c>
      <c r="C6" s="2" t="s">
        <v>18</v>
      </c>
      <c r="D6" s="4">
        <v>48990.0</v>
      </c>
    </row>
    <row r="7">
      <c r="A7" s="2">
        <v>8.341657429E9</v>
      </c>
      <c r="B7" s="2" t="s">
        <v>61</v>
      </c>
      <c r="C7" s="2" t="s">
        <v>18</v>
      </c>
      <c r="D7" s="4">
        <v>22990.0</v>
      </c>
    </row>
    <row r="8">
      <c r="A8" s="2">
        <v>8.341582568E9</v>
      </c>
      <c r="B8" s="2" t="s">
        <v>62</v>
      </c>
      <c r="C8" s="2" t="s">
        <v>29</v>
      </c>
      <c r="D8" s="4">
        <v>12990.0</v>
      </c>
    </row>
    <row r="9">
      <c r="A9" s="2">
        <v>8.341456025E9</v>
      </c>
      <c r="B9" s="2" t="s">
        <v>63</v>
      </c>
      <c r="C9" s="2" t="s">
        <v>18</v>
      </c>
      <c r="D9" s="4">
        <v>121990.0</v>
      </c>
    </row>
    <row r="10">
      <c r="A10" s="2">
        <v>8.341035435E9</v>
      </c>
      <c r="B10" s="5" t="s">
        <v>64</v>
      </c>
      <c r="C10" s="2" t="s">
        <v>29</v>
      </c>
      <c r="D10" s="4">
        <v>184990.0</v>
      </c>
      <c r="E10" s="8">
        <f>IFERROR(VLOOKUP(B10,'Лист1'!$A:$L,12,FALSE),"")</f>
        <v>50000</v>
      </c>
    </row>
    <row r="11">
      <c r="A11" s="2">
        <v>8.340991761E9</v>
      </c>
      <c r="B11" s="2" t="s">
        <v>65</v>
      </c>
      <c r="C11" s="2" t="s">
        <v>18</v>
      </c>
      <c r="D11" s="4">
        <v>14990.0</v>
      </c>
    </row>
    <row r="12">
      <c r="A12" s="2">
        <v>8.326570265E9</v>
      </c>
      <c r="B12" s="5" t="s">
        <v>66</v>
      </c>
      <c r="C12" s="2" t="s">
        <v>29</v>
      </c>
      <c r="D12" s="4">
        <v>174990.0</v>
      </c>
      <c r="E12" s="8">
        <f>IFERROR(VLOOKUP(B12,'Лист1'!$A:$L,12,FALSE),"")</f>
        <v>50000</v>
      </c>
    </row>
    <row r="13">
      <c r="A13" s="2">
        <v>8.323946523E9</v>
      </c>
      <c r="B13" s="5" t="s">
        <v>69</v>
      </c>
      <c r="C13" s="2" t="s">
        <v>29</v>
      </c>
      <c r="D13" s="4">
        <v>192990.0</v>
      </c>
      <c r="E13" s="8">
        <f>IFERROR(VLOOKUP(B13,'Лист1'!$A:$L,12,FALSE),"")</f>
        <v>50000</v>
      </c>
    </row>
    <row r="14">
      <c r="A14" s="2">
        <v>8.314848502E9</v>
      </c>
      <c r="B14" s="5" t="s">
        <v>74</v>
      </c>
      <c r="C14" s="2" t="s">
        <v>29</v>
      </c>
      <c r="D14" s="4">
        <v>174990.0</v>
      </c>
      <c r="E14" s="8">
        <f>IFERROR(VLOOKUP(B14,'Лист1'!$A:$L,12,FALSE),"")</f>
        <v>50000</v>
      </c>
    </row>
    <row r="15">
      <c r="A15" s="2">
        <v>8.314317793E9</v>
      </c>
      <c r="B15" s="2" t="s">
        <v>83</v>
      </c>
      <c r="C15" s="2" t="s">
        <v>18</v>
      </c>
      <c r="D15" s="4">
        <v>13990.0</v>
      </c>
    </row>
    <row r="16">
      <c r="A16" s="2">
        <v>8.304615743E9</v>
      </c>
      <c r="B16" s="2" t="s">
        <v>85</v>
      </c>
      <c r="C16" s="2" t="s">
        <v>18</v>
      </c>
      <c r="D16" s="4">
        <v>8990.0</v>
      </c>
    </row>
    <row r="17">
      <c r="A17" s="2">
        <v>8.274734574E9</v>
      </c>
      <c r="B17" s="2" t="s">
        <v>87</v>
      </c>
      <c r="C17" s="2" t="s">
        <v>18</v>
      </c>
      <c r="D17" s="4">
        <v>34990.0</v>
      </c>
    </row>
    <row r="18">
      <c r="A18" s="2">
        <v>8.264857647E9</v>
      </c>
      <c r="B18" s="2" t="s">
        <v>89</v>
      </c>
      <c r="C18" s="2" t="s">
        <v>18</v>
      </c>
      <c r="D18" s="4">
        <v>33990.0</v>
      </c>
    </row>
    <row r="19">
      <c r="A19" s="2">
        <v>8.251624306E9</v>
      </c>
      <c r="B19" s="5" t="s">
        <v>91</v>
      </c>
      <c r="C19" s="2" t="s">
        <v>29</v>
      </c>
      <c r="D19" s="4">
        <v>169990.0</v>
      </c>
      <c r="E19" s="8">
        <f>IFERROR(VLOOKUP(B19,'Лист1'!$A:$L,12,FALSE),"")</f>
        <v>50000</v>
      </c>
    </row>
    <row r="20">
      <c r="A20" s="2">
        <v>8.187750769E9</v>
      </c>
      <c r="B20" s="2" t="s">
        <v>99</v>
      </c>
      <c r="C20" s="2" t="s">
        <v>29</v>
      </c>
      <c r="D20" s="4">
        <v>8490.0</v>
      </c>
    </row>
    <row r="21">
      <c r="A21" s="2">
        <v>8.186978365E9</v>
      </c>
      <c r="B21" s="2" t="s">
        <v>100</v>
      </c>
      <c r="C21" s="2" t="s">
        <v>29</v>
      </c>
      <c r="D21" s="4">
        <v>30990.0</v>
      </c>
    </row>
    <row r="22">
      <c r="A22" s="2">
        <v>8.123848818E9</v>
      </c>
      <c r="B22" s="2" t="s">
        <v>101</v>
      </c>
      <c r="C22" s="2" t="s">
        <v>29</v>
      </c>
      <c r="D22" s="4">
        <v>6000.0</v>
      </c>
    </row>
    <row r="23">
      <c r="A23" s="2">
        <v>8.123845669E9</v>
      </c>
      <c r="B23" s="2" t="s">
        <v>102</v>
      </c>
      <c r="C23" s="2" t="s">
        <v>29</v>
      </c>
      <c r="D23" s="4">
        <v>34990.0</v>
      </c>
    </row>
    <row r="24">
      <c r="A24" s="2">
        <v>8.12378188E9</v>
      </c>
      <c r="B24" s="2" t="s">
        <v>103</v>
      </c>
      <c r="C24" s="2" t="s">
        <v>29</v>
      </c>
      <c r="D24" s="4">
        <v>4000.0</v>
      </c>
    </row>
    <row r="25">
      <c r="A25" s="2">
        <v>8.123781466E9</v>
      </c>
      <c r="B25" s="2" t="s">
        <v>104</v>
      </c>
      <c r="C25" s="2" t="s">
        <v>29</v>
      </c>
      <c r="D25" s="4">
        <v>1200.0</v>
      </c>
    </row>
    <row r="26">
      <c r="A26" s="2">
        <v>8.123754401E9</v>
      </c>
      <c r="B26" s="2" t="s">
        <v>106</v>
      </c>
      <c r="C26" s="2" t="s">
        <v>29</v>
      </c>
      <c r="D26" s="4">
        <v>163990.0</v>
      </c>
      <c r="E26" s="2" t="s">
        <v>107</v>
      </c>
    </row>
    <row r="27">
      <c r="A27" s="2">
        <v>8.123745418E9</v>
      </c>
      <c r="B27" s="2" t="s">
        <v>108</v>
      </c>
      <c r="C27" s="2" t="s">
        <v>29</v>
      </c>
      <c r="D27" s="4">
        <v>2700.0</v>
      </c>
    </row>
    <row r="28">
      <c r="A28" s="2">
        <v>8.123719697E9</v>
      </c>
      <c r="B28" s="5" t="s">
        <v>109</v>
      </c>
      <c r="C28" s="2" t="s">
        <v>29</v>
      </c>
      <c r="D28" s="4">
        <v>64990.0</v>
      </c>
      <c r="E28" s="8">
        <f>IFERROR(VLOOKUP(B28,'Лист1'!$A:$L,12,FALSE),"")</f>
        <v>64890</v>
      </c>
    </row>
    <row r="29">
      <c r="A29" s="2">
        <v>8.123709338E9</v>
      </c>
      <c r="B29" s="2" t="s">
        <v>116</v>
      </c>
      <c r="C29" s="2" t="s">
        <v>29</v>
      </c>
      <c r="D29" s="4">
        <v>2500.0</v>
      </c>
    </row>
    <row r="30">
      <c r="A30" s="2">
        <v>8.123690447E9</v>
      </c>
      <c r="B30" s="2" t="s">
        <v>119</v>
      </c>
      <c r="C30" s="2" t="s">
        <v>29</v>
      </c>
      <c r="D30" s="4">
        <v>3300.0</v>
      </c>
    </row>
    <row r="31">
      <c r="A31" s="2">
        <v>8.123675194E9</v>
      </c>
      <c r="B31" s="2" t="s">
        <v>122</v>
      </c>
      <c r="C31" s="2" t="s">
        <v>29</v>
      </c>
      <c r="D31" s="4">
        <v>4000.0</v>
      </c>
    </row>
    <row r="32">
      <c r="A32" s="2">
        <v>8.123672082E9</v>
      </c>
      <c r="B32" s="5" t="s">
        <v>123</v>
      </c>
      <c r="C32" s="2" t="s">
        <v>29</v>
      </c>
      <c r="D32" s="4">
        <v>71990.0</v>
      </c>
      <c r="E32" s="8">
        <f>IFERROR(VLOOKUP(B32,'Лист1'!$A:$L,12,FALSE),"")</f>
        <v>71890</v>
      </c>
    </row>
    <row r="33">
      <c r="A33" s="2">
        <v>8.123670325E9</v>
      </c>
      <c r="B33" s="5" t="s">
        <v>133</v>
      </c>
      <c r="C33" s="2" t="s">
        <v>29</v>
      </c>
      <c r="D33" s="4">
        <v>73990.0</v>
      </c>
      <c r="E33" s="8">
        <f>IFERROR(VLOOKUP(B33,'Лист1'!$A:$L,12,FALSE),"")</f>
        <v>71890</v>
      </c>
    </row>
    <row r="34">
      <c r="A34" s="2">
        <v>8.123643364E9</v>
      </c>
      <c r="B34" s="2" t="s">
        <v>135</v>
      </c>
      <c r="C34" s="2" t="s">
        <v>29</v>
      </c>
      <c r="D34" s="4">
        <v>54990.0</v>
      </c>
      <c r="E34" s="8">
        <f>IFERROR(VLOOKUP(B34,'Лист1'!$A:$L,12,FALSE),"")</f>
        <v>57890</v>
      </c>
    </row>
    <row r="35">
      <c r="A35" s="2">
        <v>8.123584829E9</v>
      </c>
      <c r="B35" s="2" t="s">
        <v>140</v>
      </c>
      <c r="C35" s="2" t="s">
        <v>29</v>
      </c>
      <c r="D35" s="4">
        <v>169990.0</v>
      </c>
      <c r="E35" s="2" t="s">
        <v>107</v>
      </c>
    </row>
    <row r="36">
      <c r="A36" s="2">
        <v>8.123578602E9</v>
      </c>
      <c r="B36" s="5" t="s">
        <v>141</v>
      </c>
      <c r="C36" s="2" t="s">
        <v>29</v>
      </c>
      <c r="D36" s="4">
        <v>93990.0</v>
      </c>
      <c r="E36" s="8">
        <f>IFERROR(VLOOKUP(B36,'Лист1'!$A:$L,12,FALSE),"")</f>
        <v>97390</v>
      </c>
    </row>
    <row r="37">
      <c r="A37" s="2">
        <v>8.123561642E9</v>
      </c>
      <c r="B37" s="5" t="s">
        <v>143</v>
      </c>
      <c r="C37" s="2" t="s">
        <v>29</v>
      </c>
      <c r="D37" s="4">
        <v>25990.0</v>
      </c>
      <c r="E37" s="8">
        <f>IFERROR(VLOOKUP(B37,'Лист1'!$A:$L,12,FALSE),"")</f>
        <v>22890</v>
      </c>
    </row>
    <row r="38">
      <c r="A38" s="2">
        <v>8.123554725E9</v>
      </c>
      <c r="B38" s="2" t="s">
        <v>145</v>
      </c>
      <c r="C38" s="2" t="s">
        <v>29</v>
      </c>
      <c r="D38" s="4">
        <v>2990.0</v>
      </c>
    </row>
    <row r="39">
      <c r="A39" s="2">
        <v>8.12354625E9</v>
      </c>
      <c r="B39" s="5" t="s">
        <v>146</v>
      </c>
      <c r="C39" s="2" t="s">
        <v>29</v>
      </c>
      <c r="D39" s="4">
        <v>25990.0</v>
      </c>
      <c r="E39" s="8">
        <f>IFERROR(VLOOKUP(B39,'Лист1'!$A:$L,12,FALSE),"")</f>
        <v>24890</v>
      </c>
    </row>
    <row r="40">
      <c r="A40" s="2">
        <v>8.123543834E9</v>
      </c>
      <c r="B40" s="2" t="s">
        <v>149</v>
      </c>
      <c r="C40" s="2" t="s">
        <v>29</v>
      </c>
      <c r="D40" s="4">
        <v>3000.0</v>
      </c>
    </row>
    <row r="41">
      <c r="A41" s="2">
        <v>8.123529685E9</v>
      </c>
      <c r="B41" s="2" t="s">
        <v>150</v>
      </c>
      <c r="C41" s="2" t="s">
        <v>29</v>
      </c>
      <c r="D41" s="4">
        <v>2000.0</v>
      </c>
    </row>
    <row r="42">
      <c r="A42" s="2">
        <v>8.123508095E9</v>
      </c>
      <c r="B42" s="2" t="s">
        <v>152</v>
      </c>
      <c r="C42" s="2" t="s">
        <v>29</v>
      </c>
      <c r="D42" s="4">
        <v>4000.0</v>
      </c>
    </row>
    <row r="43">
      <c r="A43" s="2">
        <v>8.123495762E9</v>
      </c>
      <c r="B43" s="2" t="s">
        <v>153</v>
      </c>
      <c r="C43" s="2" t="s">
        <v>29</v>
      </c>
      <c r="D43" s="4">
        <v>2000.0</v>
      </c>
    </row>
    <row r="44">
      <c r="A44" s="2">
        <v>8.123477376E9</v>
      </c>
      <c r="B44" s="2" t="s">
        <v>155</v>
      </c>
      <c r="C44" s="2" t="s">
        <v>29</v>
      </c>
      <c r="D44" s="4">
        <v>5200.0</v>
      </c>
    </row>
    <row r="45">
      <c r="A45" s="2">
        <v>8.123472926E9</v>
      </c>
      <c r="B45" s="2" t="s">
        <v>157</v>
      </c>
      <c r="C45" s="2" t="s">
        <v>29</v>
      </c>
      <c r="D45" s="4">
        <v>51990.0</v>
      </c>
      <c r="E45" s="8">
        <f>IFERROR(VLOOKUP(B45,'Лист1'!$A:$L,12,FALSE),"")</f>
        <v>59390</v>
      </c>
    </row>
    <row r="46">
      <c r="A46" s="2">
        <v>8.123415447E9</v>
      </c>
      <c r="B46" s="2" t="s">
        <v>159</v>
      </c>
      <c r="C46" s="2" t="s">
        <v>29</v>
      </c>
      <c r="D46" s="4">
        <v>2500.0</v>
      </c>
    </row>
    <row r="47">
      <c r="A47" s="2">
        <v>8.123410072E9</v>
      </c>
      <c r="B47" s="2" t="s">
        <v>162</v>
      </c>
      <c r="C47" s="2" t="s">
        <v>29</v>
      </c>
      <c r="D47" s="4">
        <v>25990.0</v>
      </c>
    </row>
    <row r="48">
      <c r="A48" s="2">
        <v>8.123389853E9</v>
      </c>
      <c r="B48" s="2" t="s">
        <v>163</v>
      </c>
      <c r="C48" s="2" t="s">
        <v>29</v>
      </c>
      <c r="D48" s="4">
        <v>2000.0</v>
      </c>
    </row>
    <row r="49">
      <c r="A49" s="2">
        <v>8.123374274E9</v>
      </c>
      <c r="B49" s="5" t="s">
        <v>164</v>
      </c>
      <c r="C49" s="2" t="s">
        <v>29</v>
      </c>
      <c r="D49" s="4">
        <v>78990.0</v>
      </c>
      <c r="E49" s="8">
        <f>IFERROR(VLOOKUP(B49,'Лист1'!$A:$L,12,FALSE),"")</f>
        <v>78390</v>
      </c>
    </row>
    <row r="50">
      <c r="A50" s="2">
        <v>8.123362741E9</v>
      </c>
      <c r="B50" s="2" t="s">
        <v>166</v>
      </c>
      <c r="C50" s="2" t="s">
        <v>29</v>
      </c>
      <c r="D50" s="4">
        <v>2800.0</v>
      </c>
    </row>
    <row r="51">
      <c r="A51" s="2">
        <v>8.123357937E9</v>
      </c>
      <c r="B51" s="2" t="s">
        <v>167</v>
      </c>
      <c r="C51" s="2" t="s">
        <v>29</v>
      </c>
      <c r="D51" s="4">
        <v>1500.0</v>
      </c>
    </row>
    <row r="52">
      <c r="A52" s="2">
        <v>8.123354683E9</v>
      </c>
      <c r="B52" s="5" t="s">
        <v>168</v>
      </c>
      <c r="C52" s="2" t="s">
        <v>29</v>
      </c>
      <c r="D52" s="4">
        <v>22490.0</v>
      </c>
      <c r="E52" s="8">
        <f>IFERROR(VLOOKUP(B52,'Лист1'!$A:$L,12,FALSE),"")</f>
        <v>21890</v>
      </c>
    </row>
    <row r="53">
      <c r="A53" s="2">
        <v>8.123348096E9</v>
      </c>
      <c r="B53" s="2" t="s">
        <v>172</v>
      </c>
      <c r="C53" s="2" t="s">
        <v>29</v>
      </c>
      <c r="D53" s="4">
        <v>64990.0</v>
      </c>
      <c r="E53" s="8">
        <f>IFERROR(VLOOKUP(B53,'Лист1'!$A:$L,12,FALSE),"")</f>
        <v>61390</v>
      </c>
    </row>
    <row r="54">
      <c r="A54" s="2">
        <v>8.123324878E9</v>
      </c>
      <c r="B54" s="2" t="s">
        <v>175</v>
      </c>
      <c r="C54" s="2" t="s">
        <v>29</v>
      </c>
      <c r="D54" s="4">
        <v>1990.0</v>
      </c>
    </row>
    <row r="55">
      <c r="A55" s="2">
        <v>8.123317171E9</v>
      </c>
      <c r="B55" s="2" t="s">
        <v>176</v>
      </c>
      <c r="C55" s="2" t="s">
        <v>29</v>
      </c>
      <c r="D55" s="4">
        <v>49990.0</v>
      </c>
      <c r="E55" s="8">
        <f>IFERROR(VLOOKUP(B55,'Лист1'!$A:$L,12,FALSE),"")</f>
        <v>46890</v>
      </c>
    </row>
    <row r="56">
      <c r="A56" s="2">
        <v>8.123306556E9</v>
      </c>
      <c r="B56" s="2" t="s">
        <v>179</v>
      </c>
      <c r="C56" s="2" t="s">
        <v>29</v>
      </c>
      <c r="D56" s="4">
        <v>2990.0</v>
      </c>
    </row>
    <row r="57">
      <c r="A57" s="2">
        <v>8.123283266E9</v>
      </c>
      <c r="B57" s="5" t="s">
        <v>141</v>
      </c>
      <c r="C57" s="2" t="s">
        <v>29</v>
      </c>
      <c r="D57" s="4">
        <v>93990.0</v>
      </c>
      <c r="E57" s="8">
        <f>IFERROR(VLOOKUP(B57,'Лист1'!$A:$L,12,FALSE),"")</f>
        <v>97390</v>
      </c>
    </row>
    <row r="58">
      <c r="A58" s="2">
        <v>8.123265211E9</v>
      </c>
      <c r="B58" s="2" t="s">
        <v>181</v>
      </c>
      <c r="C58" s="2" t="s">
        <v>29</v>
      </c>
      <c r="D58" s="4">
        <v>59990.0</v>
      </c>
      <c r="E58" s="8">
        <f>IFERROR(VLOOKUP(B58,'Лист1'!$A:$L,12,FALSE),"")</f>
        <v>60890</v>
      </c>
    </row>
    <row r="59">
      <c r="A59" s="2">
        <v>8.123263135E9</v>
      </c>
      <c r="B59" s="2" t="s">
        <v>183</v>
      </c>
      <c r="C59" s="2" t="s">
        <v>29</v>
      </c>
      <c r="D59" s="4">
        <v>2000.0</v>
      </c>
    </row>
    <row r="60">
      <c r="A60" s="2">
        <v>8.123262817E9</v>
      </c>
      <c r="B60" s="2" t="s">
        <v>184</v>
      </c>
      <c r="C60" s="2" t="s">
        <v>29</v>
      </c>
      <c r="D60" s="4">
        <v>2500.0</v>
      </c>
    </row>
    <row r="61">
      <c r="A61" s="2">
        <v>8.123253176E9</v>
      </c>
      <c r="B61" s="2" t="s">
        <v>185</v>
      </c>
      <c r="C61" s="2" t="s">
        <v>29</v>
      </c>
      <c r="D61" s="4">
        <v>142990.0</v>
      </c>
      <c r="E61" s="2" t="s">
        <v>107</v>
      </c>
    </row>
    <row r="62">
      <c r="A62" s="2">
        <v>8.123235103E9</v>
      </c>
      <c r="B62" s="2" t="s">
        <v>186</v>
      </c>
      <c r="C62" s="2" t="s">
        <v>29</v>
      </c>
      <c r="D62" s="4">
        <v>3300.0</v>
      </c>
    </row>
    <row r="63">
      <c r="A63" s="2">
        <v>8.123216609E9</v>
      </c>
      <c r="B63" s="2" t="s">
        <v>187</v>
      </c>
      <c r="C63" s="2" t="s">
        <v>29</v>
      </c>
      <c r="D63" s="4">
        <v>1500.0</v>
      </c>
    </row>
    <row r="64">
      <c r="A64" s="2">
        <v>8.1231068E9</v>
      </c>
      <c r="B64" s="2" t="s">
        <v>189</v>
      </c>
      <c r="C64" s="2" t="s">
        <v>29</v>
      </c>
      <c r="D64" s="4">
        <v>154990.0</v>
      </c>
      <c r="E64" s="2" t="s">
        <v>107</v>
      </c>
    </row>
    <row r="65">
      <c r="A65" s="2">
        <v>8.123101095E9</v>
      </c>
      <c r="B65" s="2" t="s">
        <v>190</v>
      </c>
      <c r="C65" s="2" t="s">
        <v>29</v>
      </c>
      <c r="D65" s="4">
        <v>1300.0</v>
      </c>
    </row>
    <row r="66">
      <c r="A66" s="2">
        <v>8.123031127E9</v>
      </c>
      <c r="B66" s="2" t="s">
        <v>191</v>
      </c>
      <c r="C66" s="2" t="s">
        <v>29</v>
      </c>
      <c r="D66" s="4">
        <v>191990.0</v>
      </c>
      <c r="E66" s="2" t="s">
        <v>107</v>
      </c>
    </row>
    <row r="67">
      <c r="A67" s="2">
        <v>8.123011601E9</v>
      </c>
      <c r="B67" s="2" t="s">
        <v>192</v>
      </c>
      <c r="C67" s="2" t="s">
        <v>29</v>
      </c>
      <c r="D67" s="4">
        <v>1500.0</v>
      </c>
    </row>
    <row r="68">
      <c r="A68" s="2">
        <v>8.123000855E9</v>
      </c>
      <c r="B68" s="2" t="s">
        <v>193</v>
      </c>
      <c r="C68" s="2" t="s">
        <v>29</v>
      </c>
      <c r="D68" s="4">
        <v>139990.0</v>
      </c>
      <c r="E68" s="2" t="s">
        <v>107</v>
      </c>
    </row>
    <row r="69">
      <c r="A69" s="2">
        <v>8.122964796E9</v>
      </c>
      <c r="B69" s="2" t="s">
        <v>197</v>
      </c>
      <c r="C69" s="2" t="s">
        <v>29</v>
      </c>
      <c r="D69" s="4">
        <v>2490.0</v>
      </c>
    </row>
    <row r="70">
      <c r="A70" s="2">
        <v>8.122944874E9</v>
      </c>
      <c r="B70" s="2" t="s">
        <v>199</v>
      </c>
      <c r="C70" s="2" t="s">
        <v>29</v>
      </c>
      <c r="D70" s="4">
        <v>3500.0</v>
      </c>
    </row>
    <row r="71">
      <c r="A71" s="2">
        <v>8.122935644E9</v>
      </c>
      <c r="B71" s="5" t="s">
        <v>200</v>
      </c>
      <c r="C71" s="2" t="s">
        <v>29</v>
      </c>
      <c r="D71" s="4">
        <v>83990.0</v>
      </c>
      <c r="E71" s="8">
        <f>IFERROR(VLOOKUP(B71,'Лист1'!$A:$L,12,FALSE),"")</f>
        <v>84390</v>
      </c>
    </row>
    <row r="72">
      <c r="A72" s="2">
        <v>8.122906754E9</v>
      </c>
      <c r="B72" s="2" t="s">
        <v>202</v>
      </c>
      <c r="C72" s="2" t="s">
        <v>29</v>
      </c>
    </row>
    <row r="73">
      <c r="A73" s="2">
        <v>8.091795056E9</v>
      </c>
      <c r="B73" s="2" t="s">
        <v>203</v>
      </c>
      <c r="C73" s="2" t="s">
        <v>18</v>
      </c>
      <c r="D73" s="4">
        <v>15000.0</v>
      </c>
    </row>
    <row r="74">
      <c r="A74" s="2">
        <v>8.091445087E9</v>
      </c>
      <c r="B74" s="2" t="s">
        <v>204</v>
      </c>
      <c r="C74" s="2" t="s">
        <v>29</v>
      </c>
    </row>
    <row r="75">
      <c r="A75" s="2">
        <v>8.091136813E9</v>
      </c>
      <c r="B75" s="2" t="s">
        <v>205</v>
      </c>
      <c r="C75" s="2" t="s">
        <v>29</v>
      </c>
      <c r="D75" s="4">
        <v>24990.0</v>
      </c>
    </row>
    <row r="76">
      <c r="A76" s="2">
        <v>8.059660764E9</v>
      </c>
      <c r="B76" s="5" t="s">
        <v>206</v>
      </c>
      <c r="C76" s="2" t="s">
        <v>29</v>
      </c>
      <c r="D76" s="4">
        <v>77990.0</v>
      </c>
      <c r="E76" s="8">
        <f>IFERROR(VLOOKUP(B76,'Лист1'!$A:$L,12,FALSE),"")</f>
        <v>74390</v>
      </c>
    </row>
    <row r="77">
      <c r="A77" s="2">
        <v>8.059541297E9</v>
      </c>
      <c r="B77" s="2" t="s">
        <v>211</v>
      </c>
      <c r="C77" s="2" t="s">
        <v>29</v>
      </c>
      <c r="D77" s="4">
        <v>39990.0</v>
      </c>
      <c r="E77" s="8">
        <f>IFERROR(VLOOKUP(B77,'Лист1'!$A:$L,12,FALSE),"")</f>
        <v>39890</v>
      </c>
    </row>
    <row r="78">
      <c r="A78" s="2">
        <v>8.059337503E9</v>
      </c>
      <c r="B78" s="5" t="s">
        <v>220</v>
      </c>
      <c r="C78" s="2" t="s">
        <v>29</v>
      </c>
      <c r="D78" s="4">
        <v>18990.0</v>
      </c>
      <c r="E78" s="8">
        <f>IFERROR(VLOOKUP(B78,'Лист1'!$A:$L,12,FALSE),"")</f>
        <v>18390</v>
      </c>
    </row>
    <row r="79">
      <c r="A79" s="2">
        <v>8.027837504E9</v>
      </c>
      <c r="B79" s="7" t="s">
        <v>228</v>
      </c>
      <c r="C79" s="2" t="s">
        <v>29</v>
      </c>
      <c r="D79" s="4">
        <v>98990.0</v>
      </c>
      <c r="E79" s="8">
        <f>IFERROR(VLOOKUP(B79,'Лист1'!$A:$L,12,FALSE),"")</f>
        <v>50000</v>
      </c>
    </row>
    <row r="80">
      <c r="A80" s="2">
        <v>8.027777505E9</v>
      </c>
      <c r="B80" s="7" t="s">
        <v>237</v>
      </c>
      <c r="C80" s="2" t="s">
        <v>29</v>
      </c>
      <c r="D80" s="4">
        <v>98990.0</v>
      </c>
      <c r="E80" s="8">
        <f>IFERROR(VLOOKUP(B80,'Лист1'!$A:$L,12,FALSE),"")</f>
        <v>50000</v>
      </c>
    </row>
    <row r="81">
      <c r="A81" s="2">
        <v>8.027762656E9</v>
      </c>
      <c r="B81" s="7" t="s">
        <v>244</v>
      </c>
      <c r="C81" s="2" t="s">
        <v>29</v>
      </c>
      <c r="D81" s="4">
        <v>79990.0</v>
      </c>
      <c r="E81" s="8">
        <f>IFERROR(VLOOKUP(B81,'Лист1'!$A:$L,12,FALSE),"")</f>
        <v>50000</v>
      </c>
    </row>
    <row r="82">
      <c r="A82" s="2">
        <v>8.027455071E9</v>
      </c>
      <c r="B82" s="7" t="s">
        <v>253</v>
      </c>
      <c r="C82" s="2" t="s">
        <v>29</v>
      </c>
      <c r="D82" s="4">
        <v>99990.0</v>
      </c>
      <c r="E82" s="8">
        <f>IFERROR(VLOOKUP(B82,'Лист1'!$A:$L,12,FALSE),"")</f>
        <v>50000</v>
      </c>
    </row>
    <row r="83">
      <c r="A83" s="2">
        <v>8.027402787E9</v>
      </c>
      <c r="B83" s="7" t="s">
        <v>258</v>
      </c>
      <c r="C83" s="2" t="s">
        <v>29</v>
      </c>
      <c r="D83" s="4">
        <v>79990.0</v>
      </c>
      <c r="E83" s="8">
        <f>IFERROR(VLOOKUP(B83,'Лист1'!$A:$L,12,FALSE),"")</f>
        <v>50000</v>
      </c>
    </row>
    <row r="84">
      <c r="A84" s="2">
        <v>8.02728058E9</v>
      </c>
      <c r="B84" s="7" t="s">
        <v>259</v>
      </c>
      <c r="C84" s="2" t="s">
        <v>29</v>
      </c>
      <c r="D84" s="4">
        <v>78990.0</v>
      </c>
      <c r="E84" s="8">
        <f>IFERROR(VLOOKUP(B84,'Лист1'!$A:$L,12,FALSE),"")</f>
        <v>50000</v>
      </c>
    </row>
    <row r="85">
      <c r="A85" s="2">
        <v>8.02714862E9</v>
      </c>
      <c r="B85" s="7" t="s">
        <v>263</v>
      </c>
      <c r="C85" s="2" t="s">
        <v>29</v>
      </c>
      <c r="D85" s="4">
        <v>99990.0</v>
      </c>
      <c r="E85" s="8">
        <f>IFERROR(VLOOKUP(B85,'Лист1'!$A:$L,12,FALSE),"")</f>
        <v>50000</v>
      </c>
    </row>
    <row r="86">
      <c r="A86" s="2">
        <v>8.027147448E9</v>
      </c>
      <c r="B86" s="7" t="s">
        <v>266</v>
      </c>
      <c r="C86" s="2" t="s">
        <v>29</v>
      </c>
      <c r="D86" s="4">
        <v>79990.0</v>
      </c>
      <c r="E86" s="8">
        <f>IFERROR(VLOOKUP(B86,'Лист1'!$A:$L,12,FALSE),"")</f>
        <v>50000</v>
      </c>
    </row>
    <row r="87">
      <c r="A87" s="2">
        <v>8.027114002E9</v>
      </c>
      <c r="B87" s="7" t="s">
        <v>268</v>
      </c>
      <c r="C87" s="2" t="s">
        <v>29</v>
      </c>
      <c r="D87" s="4">
        <v>78990.0</v>
      </c>
      <c r="E87" s="8">
        <f>IFERROR(VLOOKUP(B87,'Лист1'!$A:$L,12,FALSE),"")</f>
        <v>50000</v>
      </c>
    </row>
    <row r="88">
      <c r="A88" s="2">
        <v>8.027012128E9</v>
      </c>
      <c r="B88" s="7" t="s">
        <v>271</v>
      </c>
      <c r="C88" s="2" t="s">
        <v>29</v>
      </c>
      <c r="D88" s="4">
        <v>79999.0</v>
      </c>
      <c r="E88" s="8">
        <f>IFERROR(VLOOKUP(B88,'Лист1'!$A:$L,12,FALSE),"")</f>
        <v>50000</v>
      </c>
    </row>
    <row r="89">
      <c r="A89" s="2">
        <v>8.026961862E9</v>
      </c>
      <c r="B89" s="7" t="s">
        <v>272</v>
      </c>
      <c r="C89" s="2" t="s">
        <v>29</v>
      </c>
      <c r="D89" s="4">
        <v>78990.0</v>
      </c>
      <c r="E89" s="8">
        <f>IFERROR(VLOOKUP(B89,'Лист1'!$A:$L,12,FALSE),"")</f>
        <v>50000</v>
      </c>
    </row>
    <row r="90">
      <c r="A90" s="2">
        <v>8.026937784E9</v>
      </c>
      <c r="B90" s="7" t="s">
        <v>276</v>
      </c>
      <c r="C90" s="2" t="s">
        <v>29</v>
      </c>
      <c r="D90" s="4">
        <v>78990.0</v>
      </c>
      <c r="E90" s="8">
        <f>IFERROR(VLOOKUP(B90,'Лист1'!$A:$L,12,FALSE),"")</f>
        <v>50000</v>
      </c>
    </row>
    <row r="91">
      <c r="A91" s="2">
        <v>8.026914853E9</v>
      </c>
      <c r="B91" s="7" t="s">
        <v>277</v>
      </c>
      <c r="C91" s="2" t="s">
        <v>29</v>
      </c>
      <c r="D91" s="4">
        <v>98990.0</v>
      </c>
      <c r="E91" s="8">
        <f>IFERROR(VLOOKUP(B91,'Лист1'!$A:$L,12,FALSE),"")</f>
        <v>50000</v>
      </c>
    </row>
    <row r="92">
      <c r="A92" s="2">
        <v>7.963593817E9</v>
      </c>
      <c r="B92" s="2" t="s">
        <v>282</v>
      </c>
      <c r="C92" s="2" t="s">
        <v>29</v>
      </c>
      <c r="D92" s="4">
        <v>99990.0</v>
      </c>
      <c r="E92" s="8" t="str">
        <f>IFERROR(VLOOKUP(B92,'Лист1'!$A:$L,12,FALSE),"")</f>
        <v/>
      </c>
    </row>
    <row r="93">
      <c r="A93" s="2">
        <v>7.771925877E9</v>
      </c>
      <c r="B93" s="5" t="s">
        <v>285</v>
      </c>
      <c r="C93" s="2" t="s">
        <v>29</v>
      </c>
      <c r="D93" s="4">
        <v>174990.0</v>
      </c>
      <c r="E93" s="8">
        <f>IFERROR(VLOOKUP(B93,'Лист1'!$A:$L,12,FALSE),"")</f>
        <v>50000</v>
      </c>
    </row>
    <row r="94">
      <c r="A94" s="2">
        <v>7.771922202E9</v>
      </c>
      <c r="B94" s="7" t="s">
        <v>288</v>
      </c>
      <c r="C94" s="2" t="s">
        <v>29</v>
      </c>
      <c r="D94" s="4">
        <v>104990.0</v>
      </c>
      <c r="E94" s="8">
        <f>IFERROR(VLOOKUP(B94,'Лист1'!$A:$L,12,FALSE),"")</f>
        <v>50000</v>
      </c>
    </row>
    <row r="95">
      <c r="A95" s="2">
        <v>7.771843918E9</v>
      </c>
      <c r="B95" s="7" t="s">
        <v>291</v>
      </c>
      <c r="C95" s="2" t="s">
        <v>29</v>
      </c>
      <c r="D95" s="4">
        <v>127990.0</v>
      </c>
      <c r="E95" s="8">
        <f>IFERROR(VLOOKUP(B95,'Лист1'!$A:$L,12,FALSE),"")</f>
        <v>50000</v>
      </c>
    </row>
    <row r="96">
      <c r="A96" s="2">
        <v>7.771830602E9</v>
      </c>
      <c r="B96" s="7" t="s">
        <v>295</v>
      </c>
      <c r="C96" s="2" t="s">
        <v>29</v>
      </c>
      <c r="D96" s="4">
        <v>139990.0</v>
      </c>
      <c r="E96" s="8">
        <f>IFERROR(VLOOKUP(B96,'Лист1'!$A:$L,12,FALSE),"")</f>
        <v>50000</v>
      </c>
    </row>
    <row r="97">
      <c r="A97" s="2">
        <v>7.771771996E9</v>
      </c>
      <c r="B97" s="7" t="s">
        <v>298</v>
      </c>
      <c r="C97" s="2" t="s">
        <v>29</v>
      </c>
      <c r="D97" s="4">
        <v>124990.0</v>
      </c>
      <c r="E97" s="8">
        <f>IFERROR(VLOOKUP(B97,'Лист1'!$A:$L,12,FALSE),"")</f>
        <v>50000</v>
      </c>
    </row>
    <row r="98">
      <c r="A98" s="2">
        <v>7.771730595E9</v>
      </c>
      <c r="B98" s="7" t="s">
        <v>291</v>
      </c>
      <c r="C98" s="2" t="s">
        <v>29</v>
      </c>
      <c r="D98" s="4">
        <v>133990.0</v>
      </c>
      <c r="E98" s="8">
        <f>IFERROR(VLOOKUP(B98,'Лист1'!$A:$L,12,FALSE),"")</f>
        <v>50000</v>
      </c>
    </row>
    <row r="99">
      <c r="A99" s="2">
        <v>7.771715534E9</v>
      </c>
      <c r="B99" s="5" t="s">
        <v>308</v>
      </c>
      <c r="C99" s="2" t="s">
        <v>29</v>
      </c>
      <c r="D99" s="4">
        <v>147990.0</v>
      </c>
      <c r="E99" s="8">
        <f>IFERROR(VLOOKUP(B99,'Лист1'!$A:$L,12,FALSE),"")</f>
        <v>50000</v>
      </c>
    </row>
    <row r="100">
      <c r="A100" s="2">
        <v>7.771697116E9</v>
      </c>
      <c r="B100" s="7" t="s">
        <v>312</v>
      </c>
      <c r="C100" s="2" t="s">
        <v>29</v>
      </c>
      <c r="D100" s="4">
        <v>123990.0</v>
      </c>
      <c r="E100" s="8">
        <f>IFERROR(VLOOKUP(B100,'Лист1'!$A:$L,12,FALSE),"")</f>
        <v>50000</v>
      </c>
    </row>
    <row r="101">
      <c r="A101" s="2">
        <v>7.77167006E9</v>
      </c>
      <c r="B101" s="5" t="s">
        <v>315</v>
      </c>
      <c r="C101" s="2" t="s">
        <v>29</v>
      </c>
      <c r="D101" s="4">
        <v>160990.0</v>
      </c>
      <c r="E101" s="8">
        <f>IFERROR(VLOOKUP(B101,'Лист1'!$A:$L,12,FALSE),"")</f>
        <v>50000</v>
      </c>
    </row>
    <row r="102">
      <c r="A102" s="2">
        <v>7.77165773E9</v>
      </c>
      <c r="B102" s="7" t="s">
        <v>317</v>
      </c>
      <c r="C102" s="2" t="s">
        <v>29</v>
      </c>
      <c r="D102" s="4">
        <v>139990.0</v>
      </c>
      <c r="E102" s="8">
        <f>IFERROR(VLOOKUP(B102,'Лист1'!$A:$L,12,FALSE),"")</f>
        <v>50000</v>
      </c>
    </row>
    <row r="103">
      <c r="A103" s="2">
        <v>7.771647622E9</v>
      </c>
      <c r="B103" s="5" t="s">
        <v>319</v>
      </c>
      <c r="C103" s="2" t="s">
        <v>29</v>
      </c>
      <c r="D103" s="4">
        <v>118990.0</v>
      </c>
      <c r="E103" s="8">
        <f>IFERROR(VLOOKUP(B103,'Лист1'!$A:$L,12,FALSE),"")</f>
        <v>50000</v>
      </c>
    </row>
    <row r="104">
      <c r="A104" s="2">
        <v>7.771629762E9</v>
      </c>
      <c r="B104" s="5" t="s">
        <v>322</v>
      </c>
      <c r="C104" s="2" t="s">
        <v>29</v>
      </c>
      <c r="D104" s="4">
        <v>161990.0</v>
      </c>
      <c r="E104" s="8">
        <f>IFERROR(VLOOKUP(B104,'Лист1'!$A:$L,12,FALSE),"")</f>
        <v>50000</v>
      </c>
    </row>
    <row r="105">
      <c r="A105" s="2">
        <v>7.771577013E9</v>
      </c>
      <c r="B105" s="5" t="s">
        <v>324</v>
      </c>
      <c r="C105" s="2" t="s">
        <v>29</v>
      </c>
      <c r="D105" s="4">
        <v>159990.0</v>
      </c>
      <c r="E105" s="8">
        <f>IFERROR(VLOOKUP(B105,'Лист1'!$A:$L,12,FALSE),"")</f>
        <v>50000</v>
      </c>
    </row>
    <row r="106">
      <c r="A106" s="2">
        <v>7.771550506E9</v>
      </c>
      <c r="B106" s="7" t="s">
        <v>328</v>
      </c>
      <c r="C106" s="2" t="s">
        <v>29</v>
      </c>
      <c r="D106" s="4">
        <v>114990.0</v>
      </c>
      <c r="E106" s="8">
        <f>IFERROR(VLOOKUP(B106,'Лист1'!$A:$L,12,FALSE),"")</f>
        <v>50000</v>
      </c>
    </row>
    <row r="107">
      <c r="A107" s="2">
        <v>7.771494973E9</v>
      </c>
      <c r="B107" s="7" t="s">
        <v>329</v>
      </c>
      <c r="C107" s="2" t="s">
        <v>29</v>
      </c>
      <c r="D107" s="4">
        <v>106990.0</v>
      </c>
      <c r="E107" s="8">
        <f>IFERROR(VLOOKUP(B107,'Лист1'!$A:$L,12,FALSE),"")</f>
        <v>50000</v>
      </c>
    </row>
    <row r="108">
      <c r="A108" s="2">
        <v>7.771464503E9</v>
      </c>
      <c r="B108" s="7" t="s">
        <v>333</v>
      </c>
      <c r="C108" s="2" t="s">
        <v>29</v>
      </c>
      <c r="D108" s="4">
        <v>139990.0</v>
      </c>
      <c r="E108" s="8">
        <f>IFERROR(VLOOKUP(B108,'Лист1'!$A:$L,12,FALSE),"")</f>
        <v>50000</v>
      </c>
    </row>
    <row r="109">
      <c r="A109" s="2">
        <v>7.771423853E9</v>
      </c>
      <c r="B109" s="7" t="s">
        <v>335</v>
      </c>
      <c r="C109" s="2" t="s">
        <v>29</v>
      </c>
      <c r="D109" s="4">
        <v>127990.0</v>
      </c>
      <c r="E109" s="8">
        <f>IFERROR(VLOOKUP(B109,'Лист1'!$A:$L,12,FALSE),"")</f>
        <v>50000</v>
      </c>
    </row>
    <row r="110">
      <c r="A110" s="2">
        <v>7.771402807E9</v>
      </c>
      <c r="B110" s="7" t="s">
        <v>338</v>
      </c>
      <c r="C110" s="2" t="s">
        <v>29</v>
      </c>
      <c r="D110" s="4">
        <v>98990.0</v>
      </c>
      <c r="E110" s="8">
        <f>IFERROR(VLOOKUP(B110,'Лист1'!$A:$L,12,FALSE),"")</f>
        <v>50000</v>
      </c>
    </row>
    <row r="111">
      <c r="A111" s="2">
        <v>7.771394996E9</v>
      </c>
      <c r="B111" s="7" t="s">
        <v>339</v>
      </c>
      <c r="C111" s="2" t="s">
        <v>29</v>
      </c>
      <c r="D111" s="4">
        <v>107990.0</v>
      </c>
      <c r="E111" s="8">
        <f>IFERROR(VLOOKUP(B111,'Лист1'!$A:$L,12,FALSE),"")</f>
        <v>50000</v>
      </c>
    </row>
    <row r="112">
      <c r="A112" s="2">
        <v>7.771329947E9</v>
      </c>
      <c r="B112" s="7" t="s">
        <v>343</v>
      </c>
      <c r="C112" s="2" t="s">
        <v>29</v>
      </c>
      <c r="D112" s="4">
        <v>139990.0</v>
      </c>
      <c r="E112" s="8">
        <f>IFERROR(VLOOKUP(B112,'Лист1'!$A:$L,12,FALSE),"")</f>
        <v>50000</v>
      </c>
    </row>
    <row r="113">
      <c r="A113" s="2">
        <v>7.771328783E9</v>
      </c>
      <c r="B113" s="7" t="s">
        <v>346</v>
      </c>
      <c r="C113" s="2" t="s">
        <v>29</v>
      </c>
      <c r="D113" s="4">
        <v>124990.0</v>
      </c>
      <c r="E113" s="8">
        <f>IFERROR(VLOOKUP(B113,'Лист1'!$A:$L,12,FALSE),"")</f>
        <v>50000</v>
      </c>
    </row>
    <row r="114">
      <c r="A114" s="2">
        <v>7.771296633E9</v>
      </c>
      <c r="B114" s="7" t="s">
        <v>347</v>
      </c>
      <c r="C114" s="2" t="s">
        <v>29</v>
      </c>
      <c r="D114" s="4">
        <v>117990.0</v>
      </c>
      <c r="E114" s="8">
        <f>IFERROR(VLOOKUP(B114,'Лист1'!$A:$L,12,FALSE),"")</f>
        <v>50000</v>
      </c>
    </row>
    <row r="115">
      <c r="A115" s="2">
        <v>7.771288496E9</v>
      </c>
      <c r="B115" s="7" t="s">
        <v>351</v>
      </c>
      <c r="C115" s="2" t="s">
        <v>29</v>
      </c>
      <c r="D115" s="4">
        <v>99990.0</v>
      </c>
      <c r="E115" s="8">
        <f>IFERROR(VLOOKUP(B115,'Лист1'!$A:$L,12,FALSE),"")</f>
        <v>50000</v>
      </c>
    </row>
    <row r="116">
      <c r="A116" s="2">
        <v>7.771278417E9</v>
      </c>
      <c r="B116" s="5" t="s">
        <v>354</v>
      </c>
      <c r="C116" s="2" t="s">
        <v>29</v>
      </c>
      <c r="D116" s="4">
        <v>179990.0</v>
      </c>
      <c r="E116" s="8">
        <f>IFERROR(VLOOKUP(B116,'Лист1'!$A:$L,12,FALSE),"")</f>
        <v>50000</v>
      </c>
    </row>
    <row r="117">
      <c r="A117" s="2">
        <v>7.771271499E9</v>
      </c>
      <c r="B117" s="7" t="s">
        <v>355</v>
      </c>
      <c r="C117" s="2" t="s">
        <v>29</v>
      </c>
      <c r="D117" s="4">
        <v>122990.0</v>
      </c>
      <c r="E117" s="8">
        <f>IFERROR(VLOOKUP(B117,'Лист1'!$A:$L,12,FALSE),"")</f>
        <v>50000</v>
      </c>
    </row>
    <row r="118">
      <c r="A118" s="2">
        <v>7.771229458E9</v>
      </c>
      <c r="B118" s="7" t="s">
        <v>358</v>
      </c>
      <c r="C118" s="2" t="s">
        <v>29</v>
      </c>
      <c r="D118" s="4">
        <v>131990.0</v>
      </c>
      <c r="E118" s="8">
        <f>IFERROR(VLOOKUP(B118,'Лист1'!$A:$L,12,FALSE),"")</f>
        <v>50000</v>
      </c>
    </row>
    <row r="119">
      <c r="A119" s="2">
        <v>7.771187802E9</v>
      </c>
      <c r="B119" s="5" t="s">
        <v>360</v>
      </c>
      <c r="C119" s="2" t="s">
        <v>29</v>
      </c>
      <c r="D119" s="4">
        <v>164990.0</v>
      </c>
      <c r="E119" s="8">
        <f>IFERROR(VLOOKUP(B119,'Лист1'!$A:$L,12,FALSE),"")</f>
        <v>50000</v>
      </c>
    </row>
    <row r="120">
      <c r="A120" s="2">
        <v>7.771143077E9</v>
      </c>
      <c r="B120" s="7" t="s">
        <v>364</v>
      </c>
      <c r="C120" s="2" t="s">
        <v>29</v>
      </c>
      <c r="D120" s="4">
        <v>124990.0</v>
      </c>
      <c r="E120" s="8">
        <f>IFERROR(VLOOKUP(B120,'Лист1'!$A:$L,12,FALSE),"")</f>
        <v>50000</v>
      </c>
    </row>
    <row r="121">
      <c r="A121" s="2">
        <v>7.771132104E9</v>
      </c>
      <c r="B121" s="7" t="s">
        <v>366</v>
      </c>
      <c r="C121" s="2" t="s">
        <v>29</v>
      </c>
      <c r="D121" s="4">
        <v>106990.0</v>
      </c>
      <c r="E121" s="8">
        <f>IFERROR(VLOOKUP(B121,'Лист1'!$A:$L,12,FALSE),"")</f>
        <v>50000</v>
      </c>
    </row>
    <row r="122">
      <c r="A122" s="2">
        <v>7.77112386E9</v>
      </c>
      <c r="B122" s="5" t="s">
        <v>375</v>
      </c>
      <c r="C122" s="2" t="s">
        <v>29</v>
      </c>
      <c r="D122" s="4">
        <v>179990.0</v>
      </c>
      <c r="E122" s="8">
        <f>IFERROR(VLOOKUP(B122,'Лист1'!$A:$L,12,FALSE),"")</f>
        <v>50000</v>
      </c>
    </row>
    <row r="123">
      <c r="A123" s="2">
        <v>7.771121672E9</v>
      </c>
      <c r="B123" s="5" t="s">
        <v>377</v>
      </c>
      <c r="C123" s="2" t="s">
        <v>29</v>
      </c>
      <c r="D123" s="4">
        <v>149990.0</v>
      </c>
      <c r="E123" s="8">
        <f>IFERROR(VLOOKUP(B123,'Лист1'!$A:$L,12,FALSE),"")</f>
        <v>50000</v>
      </c>
    </row>
    <row r="124">
      <c r="A124" s="2">
        <v>7.771111676E9</v>
      </c>
      <c r="B124" s="7" t="s">
        <v>381</v>
      </c>
      <c r="C124" s="2" t="s">
        <v>29</v>
      </c>
      <c r="D124" s="4">
        <v>114990.0</v>
      </c>
      <c r="E124" s="8">
        <f>IFERROR(VLOOKUP(B124,'Лист1'!$A:$L,12,FALSE),"")</f>
        <v>50000</v>
      </c>
    </row>
    <row r="125">
      <c r="A125" s="2">
        <v>7.77108998E9</v>
      </c>
      <c r="B125" s="5" t="s">
        <v>383</v>
      </c>
      <c r="C125" s="2" t="s">
        <v>29</v>
      </c>
      <c r="D125" s="4">
        <v>139990.0</v>
      </c>
      <c r="E125" s="8">
        <f>IFERROR(VLOOKUP(B125,'Лист1'!$A:$L,12,FALSE),"")</f>
        <v>50000</v>
      </c>
    </row>
    <row r="126">
      <c r="A126" s="2">
        <v>7.771071982E9</v>
      </c>
      <c r="B126" s="7" t="s">
        <v>385</v>
      </c>
      <c r="C126" s="2" t="s">
        <v>29</v>
      </c>
      <c r="D126" s="4">
        <v>144990.0</v>
      </c>
      <c r="E126" s="8">
        <f>IFERROR(VLOOKUP(B126,'Лист1'!$A:$L,12,FALSE),"")</f>
        <v>50000</v>
      </c>
    </row>
    <row r="127">
      <c r="A127" s="2">
        <v>7.771051766E9</v>
      </c>
      <c r="B127" s="7" t="s">
        <v>388</v>
      </c>
      <c r="C127" s="2" t="s">
        <v>29</v>
      </c>
      <c r="D127" s="4">
        <v>121990.0</v>
      </c>
      <c r="E127" s="8">
        <f>IFERROR(VLOOKUP(B127,'Лист1'!$A:$L,12,FALSE),"")</f>
        <v>50000</v>
      </c>
    </row>
    <row r="128">
      <c r="A128" s="2">
        <v>7.771024163E9</v>
      </c>
      <c r="B128" s="7" t="s">
        <v>390</v>
      </c>
      <c r="C128" s="2" t="s">
        <v>29</v>
      </c>
      <c r="D128" s="4">
        <v>104990.0</v>
      </c>
      <c r="E128" s="8">
        <f>IFERROR(VLOOKUP(B128,'Лист1'!$A:$L,12,FALSE),"")</f>
        <v>50000</v>
      </c>
    </row>
    <row r="129">
      <c r="A129" s="2">
        <v>7.770949062E9</v>
      </c>
      <c r="B129" s="5" t="s">
        <v>393</v>
      </c>
      <c r="C129" s="2" t="s">
        <v>29</v>
      </c>
      <c r="D129" s="4">
        <v>150990.0</v>
      </c>
      <c r="E129" s="8">
        <f>IFERROR(VLOOKUP(B129,'Лист1'!$A:$L,12,FALSE),"")</f>
        <v>50000</v>
      </c>
    </row>
    <row r="130">
      <c r="A130" s="2">
        <v>7.675235516E9</v>
      </c>
      <c r="B130" s="2" t="s">
        <v>397</v>
      </c>
      <c r="C130" s="2" t="s">
        <v>29</v>
      </c>
      <c r="D130" s="4">
        <v>6000.0</v>
      </c>
    </row>
    <row r="131">
      <c r="A131" s="2">
        <v>7.643676594E9</v>
      </c>
      <c r="B131" s="7" t="s">
        <v>319</v>
      </c>
      <c r="C131" s="2" t="s">
        <v>29</v>
      </c>
      <c r="D131" s="4">
        <v>97990.0</v>
      </c>
      <c r="E131" s="8">
        <f>IFERROR(VLOOKUP(B131,'Лист1'!$A:$L,12,FALSE),"")</f>
        <v>50000</v>
      </c>
    </row>
    <row r="132">
      <c r="A132" s="2">
        <v>7.64362066E9</v>
      </c>
      <c r="B132" s="5" t="s">
        <v>412</v>
      </c>
      <c r="C132" s="2" t="s">
        <v>29</v>
      </c>
      <c r="D132" s="4">
        <v>40990.0</v>
      </c>
      <c r="E132" s="8">
        <f>IFERROR(VLOOKUP(B132,'Лист1'!$A:$L,12,FALSE),"")</f>
        <v>40390</v>
      </c>
    </row>
    <row r="133">
      <c r="A133" s="2">
        <v>7.643405995E9</v>
      </c>
      <c r="B133" s="7" t="s">
        <v>415</v>
      </c>
      <c r="C133" s="2" t="s">
        <v>29</v>
      </c>
      <c r="D133" s="4">
        <v>117990.0</v>
      </c>
      <c r="E133" s="8">
        <f>IFERROR(VLOOKUP(B133,'Лист1'!$A:$L,12,FALSE),"")</f>
        <v>50000</v>
      </c>
    </row>
    <row r="134">
      <c r="A134" s="2">
        <v>7.643354276E9</v>
      </c>
      <c r="B134" s="7" t="s">
        <v>419</v>
      </c>
      <c r="C134" s="2" t="s">
        <v>29</v>
      </c>
      <c r="D134" s="4">
        <v>107990.0</v>
      </c>
      <c r="E134" s="8">
        <f>IFERROR(VLOOKUP(B134,'Лист1'!$A:$L,12,FALSE),"")</f>
        <v>50000</v>
      </c>
    </row>
    <row r="135">
      <c r="A135" s="2">
        <v>7.515950935E9</v>
      </c>
      <c r="B135" s="5" t="s">
        <v>160</v>
      </c>
      <c r="C135" s="2" t="s">
        <v>29</v>
      </c>
      <c r="D135" s="4">
        <v>69990.0</v>
      </c>
      <c r="E135" s="8">
        <f>IFERROR(VLOOKUP(B135,'Лист1'!$A:$L,12,FALSE),"")</f>
        <v>50000</v>
      </c>
    </row>
    <row r="136">
      <c r="A136" s="2">
        <v>7.483207367E9</v>
      </c>
      <c r="B136" s="2" t="s">
        <v>426</v>
      </c>
      <c r="C136" s="2" t="s">
        <v>29</v>
      </c>
      <c r="D136" s="4">
        <v>7990.0</v>
      </c>
    </row>
    <row r="137">
      <c r="A137" s="2">
        <v>4.668443596E9</v>
      </c>
      <c r="B137" s="5" t="s">
        <v>428</v>
      </c>
      <c r="C137" s="2" t="s">
        <v>29</v>
      </c>
      <c r="D137" s="4">
        <v>59990.0</v>
      </c>
      <c r="E137" s="8">
        <f>IFERROR(VLOOKUP(B137,'Лист1'!$A:$L,12,FALSE),"")</f>
        <v>60390</v>
      </c>
    </row>
    <row r="138">
      <c r="A138" s="2">
        <v>4.668401947E9</v>
      </c>
      <c r="B138" s="2" t="s">
        <v>441</v>
      </c>
      <c r="C138" s="2" t="s">
        <v>29</v>
      </c>
      <c r="D138" s="4">
        <v>3490.0</v>
      </c>
    </row>
    <row r="139">
      <c r="A139" s="2">
        <v>4.668305186E9</v>
      </c>
      <c r="B139" s="2" t="s">
        <v>445</v>
      </c>
      <c r="C139" s="2" t="s">
        <v>29</v>
      </c>
      <c r="D139" s="4">
        <v>77990.0</v>
      </c>
      <c r="E139" s="8">
        <f>IFERROR(VLOOKUP(B139,'Лист1'!$A:$L,12,FALSE),"")</f>
        <v>74390</v>
      </c>
    </row>
    <row r="140">
      <c r="A140" s="2">
        <v>4.668146245E9</v>
      </c>
      <c r="B140" s="2" t="s">
        <v>456</v>
      </c>
      <c r="C140" s="2" t="s">
        <v>29</v>
      </c>
      <c r="D140" s="4">
        <v>54990.0</v>
      </c>
      <c r="E140" s="8">
        <f>IFERROR(VLOOKUP(B140,'Лист1'!$A:$L,12,FALSE),"")</f>
        <v>56890</v>
      </c>
    </row>
    <row r="141">
      <c r="A141" s="2">
        <v>4.66783001E9</v>
      </c>
      <c r="B141" s="2" t="s">
        <v>460</v>
      </c>
      <c r="C141" s="2" t="s">
        <v>29</v>
      </c>
      <c r="D141" s="4">
        <v>70990.0</v>
      </c>
    </row>
    <row r="142">
      <c r="A142" s="2">
        <v>4.66780867E9</v>
      </c>
      <c r="B142" s="2" t="s">
        <v>461</v>
      </c>
      <c r="C142" s="2" t="s">
        <v>29</v>
      </c>
      <c r="D142" s="4">
        <v>34990.0</v>
      </c>
      <c r="E142" s="8">
        <f>IFERROR(VLOOKUP(B142,'Лист1'!$A:$L,12,FALSE),"")</f>
        <v>30890</v>
      </c>
    </row>
    <row r="143">
      <c r="A143" s="2">
        <v>4.667737454E9</v>
      </c>
      <c r="B143" s="2" t="s">
        <v>211</v>
      </c>
      <c r="C143" s="2" t="s">
        <v>29</v>
      </c>
      <c r="D143" s="4">
        <v>39990.0</v>
      </c>
      <c r="E143" s="8">
        <f>IFERROR(VLOOKUP(B143,'Лист1'!$A:$L,12,FALSE),"")</f>
        <v>39890</v>
      </c>
    </row>
    <row r="144">
      <c r="A144" s="2">
        <v>4.6676179E9</v>
      </c>
      <c r="B144" s="5" t="s">
        <v>465</v>
      </c>
      <c r="C144" s="2" t="s">
        <v>29</v>
      </c>
      <c r="D144" s="4">
        <v>8990.0</v>
      </c>
      <c r="E144" s="8">
        <f>IFERROR(VLOOKUP(B144,'Лист1'!$A:$L,12,FALSE),"")</f>
        <v>9390</v>
      </c>
    </row>
    <row r="145">
      <c r="A145" s="2">
        <v>4.667569471E9</v>
      </c>
      <c r="B145" s="2" t="s">
        <v>467</v>
      </c>
      <c r="C145" s="2" t="s">
        <v>29</v>
      </c>
      <c r="D145" s="4">
        <v>28990.0</v>
      </c>
    </row>
    <row r="146">
      <c r="A146" s="2">
        <v>4.66755695E9</v>
      </c>
      <c r="B146" s="5" t="s">
        <v>126</v>
      </c>
      <c r="C146" s="2" t="s">
        <v>29</v>
      </c>
      <c r="D146" s="4">
        <v>59990.0</v>
      </c>
      <c r="E146" s="8">
        <f>IFERROR(VLOOKUP(B146,'Лист1'!$A:$L,12,FALSE),"")</f>
        <v>50000</v>
      </c>
    </row>
    <row r="147">
      <c r="A147" s="2">
        <v>4.636217493E9</v>
      </c>
      <c r="B147" s="2" t="s">
        <v>470</v>
      </c>
      <c r="C147" s="2" t="s">
        <v>29</v>
      </c>
      <c r="D147" s="4">
        <v>68990.0</v>
      </c>
      <c r="E147" s="8">
        <f>IFERROR(VLOOKUP(B147,'Лист1'!$A:$L,12,FALSE),"")</f>
        <v>71390</v>
      </c>
    </row>
    <row r="148">
      <c r="A148" s="2">
        <v>4.571814356E9</v>
      </c>
      <c r="B148" s="11" t="s">
        <v>177</v>
      </c>
      <c r="C148" s="2" t="s">
        <v>29</v>
      </c>
      <c r="D148" s="4">
        <v>69990.0</v>
      </c>
      <c r="E148" s="8">
        <f>IFERROR(VLOOKUP(B148,'Лист1'!$A:$L,12,FALSE),"")</f>
        <v>50000</v>
      </c>
    </row>
    <row r="149">
      <c r="A149" s="2">
        <v>4.571687172E9</v>
      </c>
      <c r="B149" s="5" t="s">
        <v>410</v>
      </c>
      <c r="C149" s="2" t="s">
        <v>29</v>
      </c>
      <c r="D149" s="4">
        <v>102990.0</v>
      </c>
      <c r="E149" s="8">
        <f>IFERROR(VLOOKUP(B149,'Лист1'!$A:$L,12,FALSE),"")</f>
        <v>50000</v>
      </c>
    </row>
    <row r="150">
      <c r="A150" s="2">
        <v>4.508301006E9</v>
      </c>
      <c r="B150" s="5" t="s">
        <v>476</v>
      </c>
      <c r="C150" s="2" t="s">
        <v>29</v>
      </c>
      <c r="D150" s="4">
        <v>9490.0</v>
      </c>
    </row>
    <row r="151">
      <c r="A151" s="2">
        <v>4.507864055E9</v>
      </c>
      <c r="B151" s="5" t="s">
        <v>477</v>
      </c>
      <c r="C151" s="2" t="s">
        <v>29</v>
      </c>
      <c r="D151" s="4">
        <v>39990.0</v>
      </c>
      <c r="E151" s="8">
        <f>IFERROR(VLOOKUP(B151,'Лист1'!$A:$L,12,FALSE),"")</f>
        <v>35390</v>
      </c>
    </row>
    <row r="152">
      <c r="A152" s="2">
        <v>4.476224973E9</v>
      </c>
      <c r="B152" s="2" t="s">
        <v>478</v>
      </c>
      <c r="C152" s="2" t="s">
        <v>29</v>
      </c>
      <c r="D152" s="4">
        <v>5590.0</v>
      </c>
    </row>
    <row r="153">
      <c r="A153" s="2">
        <v>4.380305443E9</v>
      </c>
      <c r="B153" s="5" t="s">
        <v>479</v>
      </c>
      <c r="C153" s="2" t="s">
        <v>29</v>
      </c>
      <c r="D153" s="4">
        <v>10990.0</v>
      </c>
      <c r="E153" s="8">
        <f>IFERROR(VLOOKUP(B153,'Лист1'!$A:$L,12,FALSE),"")</f>
        <v>11390</v>
      </c>
    </row>
    <row r="154">
      <c r="A154" s="2">
        <v>4.379808439E9</v>
      </c>
      <c r="B154" s="5" t="s">
        <v>482</v>
      </c>
      <c r="C154" s="2" t="s">
        <v>29</v>
      </c>
      <c r="D154" s="4">
        <v>15490.0</v>
      </c>
      <c r="E154" s="8">
        <f>IFERROR(VLOOKUP(B154,'Лист1'!$A:$L,12,FALSE),"")</f>
        <v>13890</v>
      </c>
    </row>
    <row r="155">
      <c r="A155" s="2">
        <v>4.284013046E9</v>
      </c>
      <c r="B155" s="5" t="s">
        <v>416</v>
      </c>
      <c r="C155" s="2" t="s">
        <v>29</v>
      </c>
      <c r="D155" s="4">
        <v>102990.0</v>
      </c>
      <c r="E155" s="8">
        <f>IFERROR(VLOOKUP(B155,'Лист1'!$A:$L,12,FALSE),"")</f>
        <v>50000</v>
      </c>
    </row>
    <row r="156">
      <c r="A156" s="2">
        <v>4.283730496E9</v>
      </c>
      <c r="B156" s="5" t="s">
        <v>485</v>
      </c>
      <c r="C156" s="2" t="s">
        <v>29</v>
      </c>
      <c r="D156" s="4">
        <v>11490.0</v>
      </c>
      <c r="E156" s="8">
        <f>IFERROR(VLOOKUP(B156,'Лист1'!$A:$L,12,FALSE),"")</f>
        <v>12890</v>
      </c>
    </row>
    <row r="157">
      <c r="A157" s="2">
        <v>4.06049601E9</v>
      </c>
      <c r="B157" s="5" t="s">
        <v>488</v>
      </c>
      <c r="C157" s="2" t="s">
        <v>29</v>
      </c>
      <c r="D157" s="4">
        <v>9490.0</v>
      </c>
      <c r="E157" s="8">
        <f>IFERROR(VLOOKUP(B157,'Лист1'!$A:$L,12,FALSE),"")</f>
        <v>9390</v>
      </c>
    </row>
    <row r="158">
      <c r="A158" s="2">
        <v>3.868186674E9</v>
      </c>
      <c r="B158" s="5" t="s">
        <v>491</v>
      </c>
      <c r="C158" s="2" t="s">
        <v>29</v>
      </c>
      <c r="D158" s="4">
        <v>39990.0</v>
      </c>
      <c r="E158" s="8">
        <f>IFERROR(VLOOKUP(B158,'Лист1'!$A:$L,12,FALSE),"")</f>
        <v>50890</v>
      </c>
    </row>
    <row r="159">
      <c r="A159" s="2">
        <v>3.83600442E9</v>
      </c>
      <c r="B159" s="5" t="s">
        <v>492</v>
      </c>
      <c r="C159" s="2" t="s">
        <v>29</v>
      </c>
      <c r="D159" s="4">
        <v>14990.0</v>
      </c>
      <c r="E159" s="8">
        <f>IFERROR(VLOOKUP(B159,'Лист1'!$A:$L,12,FALSE),"")</f>
        <v>16890</v>
      </c>
    </row>
    <row r="160">
      <c r="A160" s="2">
        <v>3.740435679E9</v>
      </c>
      <c r="B160" s="5" t="s">
        <v>494</v>
      </c>
      <c r="C160" s="2" t="s">
        <v>29</v>
      </c>
      <c r="D160" s="4">
        <v>7990.0</v>
      </c>
      <c r="E160" s="8">
        <f>IFERROR(VLOOKUP(B160,'Лист1'!$A:$L,12,FALSE),"")</f>
        <v>9890</v>
      </c>
    </row>
    <row r="161">
      <c r="A161" s="2">
        <v>3.708136394E9</v>
      </c>
      <c r="B161" s="11" t="s">
        <v>147</v>
      </c>
      <c r="C161" s="2" t="s">
        <v>29</v>
      </c>
      <c r="D161" s="4">
        <v>69990.0</v>
      </c>
      <c r="E161" s="8">
        <f>IFERROR(VLOOKUP(B161,'Лист1'!$A:$L,12,FALSE),"")</f>
        <v>50000</v>
      </c>
    </row>
    <row r="162">
      <c r="A162" s="2">
        <v>3.611761069E9</v>
      </c>
      <c r="B162" s="5" t="s">
        <v>498</v>
      </c>
      <c r="C162" s="2" t="s">
        <v>29</v>
      </c>
      <c r="D162" s="4">
        <v>15490.0</v>
      </c>
      <c r="E162" s="8">
        <f>IFERROR(VLOOKUP(B162,'Лист1'!$A:$L,12,FALSE),"")</f>
        <v>16390</v>
      </c>
    </row>
    <row r="163">
      <c r="A163" s="2">
        <v>3.580611358E9</v>
      </c>
      <c r="B163" s="5" t="s">
        <v>501</v>
      </c>
      <c r="C163" s="2" t="s">
        <v>29</v>
      </c>
      <c r="D163" s="4">
        <v>77990.0</v>
      </c>
      <c r="E163" s="8">
        <f>IFERROR(VLOOKUP(B163,'Лист1'!$A:$L,12,FALSE),"")</f>
        <v>71390</v>
      </c>
    </row>
    <row r="164">
      <c r="A164" s="2">
        <v>3.579908608E9</v>
      </c>
      <c r="B164" s="5" t="s">
        <v>504</v>
      </c>
      <c r="C164" s="2" t="s">
        <v>29</v>
      </c>
      <c r="D164" s="4">
        <v>6990.0</v>
      </c>
    </row>
    <row r="165">
      <c r="A165" s="2">
        <v>3.51611504E9</v>
      </c>
      <c r="B165" s="5" t="s">
        <v>505</v>
      </c>
      <c r="C165" s="2" t="s">
        <v>29</v>
      </c>
      <c r="D165" s="4">
        <v>15990.0</v>
      </c>
      <c r="E165" s="8">
        <f>IFERROR(VLOOKUP(B165,'Лист1'!$A:$L,12,FALSE),"")</f>
        <v>31890</v>
      </c>
    </row>
    <row r="166">
      <c r="A166" s="2">
        <v>3.484396203E9</v>
      </c>
      <c r="B166" s="2" t="s">
        <v>507</v>
      </c>
      <c r="C166" s="2" t="s">
        <v>29</v>
      </c>
      <c r="D166" s="4">
        <v>38990.0</v>
      </c>
    </row>
  </sheetData>
  <autoFilter ref="$A$1:$E$16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3" max="3" width="18.75"/>
    <col customWidth="1" min="6" max="6" width="18.0"/>
  </cols>
  <sheetData>
    <row r="1">
      <c r="A1" s="2" t="s">
        <v>3</v>
      </c>
      <c r="B1" s="2" t="s">
        <v>8</v>
      </c>
      <c r="C1" s="2" t="s">
        <v>11</v>
      </c>
      <c r="D1" s="2" t="s">
        <v>13</v>
      </c>
      <c r="E1" s="2" t="s">
        <v>13</v>
      </c>
      <c r="F1" s="2" t="s">
        <v>13</v>
      </c>
      <c r="G1" s="2" t="s">
        <v>17</v>
      </c>
      <c r="H1" s="2" t="s">
        <v>20</v>
      </c>
    </row>
    <row r="2">
      <c r="A2" s="2" t="s">
        <v>23</v>
      </c>
      <c r="B2" s="2"/>
      <c r="C2" s="2" t="s">
        <v>25</v>
      </c>
      <c r="D2" s="8" t="str">
        <f t="shared" ref="D2:D41" si="1">IF(B2&lt;&gt;"",B2,IF(A2=A1,D1,""))</f>
        <v/>
      </c>
      <c r="E2" s="8" t="str">
        <f t="shared" ref="E2:E53" si="2">IF(ISNUMBER(SEARCH("air",C2)),"*",IF(D2="","*",IF(ISNUMBER(SEARCH("без",D2)),"*eSIM","* SIM")))</f>
        <v>*</v>
      </c>
      <c r="F2" s="8" t="str">
        <f>IFERROR(__xludf.DUMMYFUNCTION("IF(ISNUMBER(SEARCH(""air"",C2)),""*air*""&amp;REGEXEXTRACT(C2,""\d+"")&amp;""*"",""*""&amp;C2&amp;""*"")"),"*iPhone 13 128*")</f>
        <v>*iPhone 13 128*</v>
      </c>
      <c r="G2" s="8">
        <f>IFERROR(MINIFS('Лист1'!$L:$L,'Лист1'!$A:$A,F2,'Лист1'!$A:$A,E2,'Лист1'!$L:$L,"&lt;&gt;"),"")</f>
        <v>50000</v>
      </c>
      <c r="H2" s="2" t="s">
        <v>70</v>
      </c>
    </row>
    <row r="3">
      <c r="A3" s="2" t="s">
        <v>23</v>
      </c>
      <c r="B3" s="2"/>
      <c r="C3" s="2" t="s">
        <v>71</v>
      </c>
      <c r="D3" s="8" t="str">
        <f t="shared" si="1"/>
        <v/>
      </c>
      <c r="E3" s="8" t="str">
        <f t="shared" si="2"/>
        <v>*</v>
      </c>
      <c r="F3" s="8" t="str">
        <f>IFERROR(__xludf.DUMMYFUNCTION("IF(ISNUMBER(SEARCH(""air"",C3)),""*air*""&amp;REGEXEXTRACT(C3,""\d+"")&amp;""*"",""*""&amp;C3&amp;""*"")"),"*iPhone 14 128*")</f>
        <v>*iPhone 14 128*</v>
      </c>
      <c r="G3" s="8">
        <f>IFERROR(MINIFS('Лист1'!$L:$L,'Лист1'!$A:$A,F3,'Лист1'!$A:$A,E3,'Лист1'!$L:$L,"&lt;&gt;"),"")</f>
        <v>50000</v>
      </c>
      <c r="H3" s="2" t="s">
        <v>70</v>
      </c>
    </row>
    <row r="4">
      <c r="A4" s="2" t="s">
        <v>23</v>
      </c>
      <c r="B4" s="2"/>
      <c r="C4" s="2" t="s">
        <v>94</v>
      </c>
      <c r="D4" s="8" t="str">
        <f t="shared" si="1"/>
        <v/>
      </c>
      <c r="E4" s="8" t="str">
        <f t="shared" si="2"/>
        <v>*</v>
      </c>
      <c r="F4" s="8" t="str">
        <f>IFERROR(__xludf.DUMMYFUNCTION("IF(ISNUMBER(SEARCH(""air"",C4)),""*air*""&amp;REGEXEXTRACT(C4,""\d+"")&amp;""*"",""*""&amp;C4&amp;""*"")"),"*iPhone 15 128*")</f>
        <v>*iPhone 15 128*</v>
      </c>
      <c r="G4" s="8">
        <f>IFERROR(MINIFS('Лист1'!$L:$L,'Лист1'!$A:$A,F4,'Лист1'!$A:$A,E4,'Лист1'!$L:$L,"&lt;&gt;"),"")</f>
        <v>50000</v>
      </c>
      <c r="H4" s="2" t="s">
        <v>70</v>
      </c>
    </row>
    <row r="5">
      <c r="A5" s="2" t="s">
        <v>23</v>
      </c>
      <c r="B5" s="2"/>
      <c r="C5" s="2" t="s">
        <v>125</v>
      </c>
      <c r="D5" s="8" t="str">
        <f t="shared" si="1"/>
        <v/>
      </c>
      <c r="E5" s="8" t="str">
        <f t="shared" si="2"/>
        <v>*</v>
      </c>
      <c r="F5" s="8" t="str">
        <f>IFERROR(__xludf.DUMMYFUNCTION("IF(ISNUMBER(SEARCH(""air"",C5)),""*air*""&amp;REGEXEXTRACT(C5,""\d+"")&amp;""*"",""*""&amp;C5&amp;""*"")"),"*iPhone 15 256*")</f>
        <v>*iPhone 15 256*</v>
      </c>
      <c r="G5" s="8">
        <f>IFERROR(MINIFS('Лист1'!$L:$L,'Лист1'!$A:$A,F5,'Лист1'!$A:$A,E5,'Лист1'!$L:$L,"&lt;&gt;"),"")</f>
        <v>50000</v>
      </c>
      <c r="H5" s="2" t="s">
        <v>70</v>
      </c>
    </row>
    <row r="6">
      <c r="A6" s="2" t="s">
        <v>23</v>
      </c>
      <c r="B6" s="2"/>
      <c r="C6" s="2" t="s">
        <v>137</v>
      </c>
      <c r="D6" s="8" t="str">
        <f t="shared" si="1"/>
        <v/>
      </c>
      <c r="E6" s="8" t="str">
        <f t="shared" si="2"/>
        <v>*</v>
      </c>
      <c r="F6" s="8" t="str">
        <f>IFERROR(__xludf.DUMMYFUNCTION("IF(ISNUMBER(SEARCH(""air"",C6)),""*air*""&amp;REGEXEXTRACT(C6,""\d+"")&amp;""*"",""*""&amp;C6&amp;""*"")"),"*iPhone 15 plus 128*")</f>
        <v>*iPhone 15 plus 128*</v>
      </c>
      <c r="G6" s="8">
        <f>IFERROR(MINIFS('Лист1'!$L:$L,'Лист1'!$A:$A,F6,'Лист1'!$A:$A,E6,'Лист1'!$L:$L,"&lt;&gt;"),"")</f>
        <v>0</v>
      </c>
      <c r="H6" s="2" t="s">
        <v>70</v>
      </c>
    </row>
    <row r="7">
      <c r="A7" s="2" t="s">
        <v>23</v>
      </c>
      <c r="B7" s="2"/>
      <c r="C7" s="2" t="s">
        <v>144</v>
      </c>
      <c r="D7" s="8" t="str">
        <f t="shared" si="1"/>
        <v/>
      </c>
      <c r="E7" s="8" t="str">
        <f t="shared" si="2"/>
        <v>*</v>
      </c>
      <c r="F7" s="8" t="str">
        <f>IFERROR(__xludf.DUMMYFUNCTION("IF(ISNUMBER(SEARCH(""air"",C7)),""*air*""&amp;REGEXEXTRACT(C7,""\d+"")&amp;""*"",""*""&amp;C7&amp;""*"")"),"*iPhone 15 plus 256*")</f>
        <v>*iPhone 15 plus 256*</v>
      </c>
      <c r="G7" s="8">
        <f>IFERROR(MINIFS('Лист1'!$L:$L,'Лист1'!$A:$A,F7,'Лист1'!$A:$A,E7,'Лист1'!$L:$L,"&lt;&gt;"),"")</f>
        <v>0</v>
      </c>
      <c r="H7" s="2" t="s">
        <v>70</v>
      </c>
    </row>
    <row r="8">
      <c r="A8" s="2" t="s">
        <v>154</v>
      </c>
      <c r="B8" s="2"/>
      <c r="C8" s="2" t="s">
        <v>156</v>
      </c>
      <c r="D8" s="8" t="str">
        <f t="shared" si="1"/>
        <v/>
      </c>
      <c r="E8" s="8" t="str">
        <f t="shared" si="2"/>
        <v>*</v>
      </c>
      <c r="F8" s="8" t="str">
        <f>IFERROR(__xludf.DUMMYFUNCTION("IF(ISNUMBER(SEARCH(""air"",C8)),""*air*""&amp;REGEXEXTRACT(C8,""\d+"")&amp;""*"",""*""&amp;C8&amp;""*"")"),"*iPhone 16e 128*")</f>
        <v>*iPhone 16e 128*</v>
      </c>
      <c r="G8" s="8">
        <f>IFERROR(MINIFS('Лист1'!$L:$L,'Лист1'!$A:$A,F8,'Лист1'!$A:$A,E8,'Лист1'!$L:$L,"&lt;&gt;"),"")</f>
        <v>50000</v>
      </c>
      <c r="H8" s="2" t="s">
        <v>70</v>
      </c>
    </row>
    <row r="9">
      <c r="A9" s="2" t="s">
        <v>154</v>
      </c>
      <c r="B9" s="2"/>
      <c r="C9" s="2" t="s">
        <v>170</v>
      </c>
      <c r="D9" s="8" t="str">
        <f t="shared" si="1"/>
        <v/>
      </c>
      <c r="E9" s="8" t="str">
        <f t="shared" si="2"/>
        <v>*</v>
      </c>
      <c r="F9" s="8" t="str">
        <f>IFERROR(__xludf.DUMMYFUNCTION("IF(ISNUMBER(SEARCH(""air"",C9)),""*air*""&amp;REGEXEXTRACT(C9,""\d+"")&amp;""*"",""*""&amp;C9&amp;""*"")"),"*iPhone 16e 256*")</f>
        <v>*iPhone 16e 256*</v>
      </c>
      <c r="G9" s="8">
        <f>IFERROR(MINIFS('Лист1'!$L:$L,'Лист1'!$A:$A,F9,'Лист1'!$A:$A,E9,'Лист1'!$L:$L,"&lt;&gt;"),"")</f>
        <v>50000</v>
      </c>
      <c r="H9" s="2" t="s">
        <v>70</v>
      </c>
    </row>
    <row r="10">
      <c r="A10" s="2" t="s">
        <v>154</v>
      </c>
      <c r="B10" s="2"/>
      <c r="C10" s="2" t="s">
        <v>180</v>
      </c>
      <c r="D10" s="8" t="str">
        <f t="shared" si="1"/>
        <v/>
      </c>
      <c r="E10" s="8" t="str">
        <f t="shared" si="2"/>
        <v>*</v>
      </c>
      <c r="F10" s="8" t="str">
        <f>IFERROR(__xludf.DUMMYFUNCTION("IF(ISNUMBER(SEARCH(""air"",C10)),""*air*""&amp;REGEXEXTRACT(C10,""\d+"")&amp;""*"",""*""&amp;C10&amp;""*"")"),"*iPhone 16 128*")</f>
        <v>*iPhone 16 128*</v>
      </c>
      <c r="G10" s="8">
        <f>IFERROR(MINIFS('Лист1'!$L:$L,'Лист1'!$A:$A,F10,'Лист1'!$A:$A,E10,'Лист1'!$L:$L,"&lt;&gt;"),"")</f>
        <v>50000</v>
      </c>
      <c r="H10" s="2" t="s">
        <v>70</v>
      </c>
    </row>
    <row r="11">
      <c r="A11" s="2" t="s">
        <v>154</v>
      </c>
      <c r="B11" s="2"/>
      <c r="C11" s="2" t="s">
        <v>196</v>
      </c>
      <c r="D11" s="8" t="str">
        <f t="shared" si="1"/>
        <v/>
      </c>
      <c r="E11" s="8" t="str">
        <f t="shared" si="2"/>
        <v>*</v>
      </c>
      <c r="F11" s="8" t="str">
        <f>IFERROR(__xludf.DUMMYFUNCTION("IF(ISNUMBER(SEARCH(""air"",C11)),""*air*""&amp;REGEXEXTRACT(C11,""\d+"")&amp;""*"",""*""&amp;C11&amp;""*"")"),"*iPhone 16 256*")</f>
        <v>*iPhone 16 256*</v>
      </c>
      <c r="G11" s="8">
        <f>IFERROR(MINIFS('Лист1'!$L:$L,'Лист1'!$A:$A,F11,'Лист1'!$A:$A,E11,'Лист1'!$L:$L,"&lt;&gt;"),"")</f>
        <v>50000</v>
      </c>
      <c r="H11" s="2" t="s">
        <v>70</v>
      </c>
    </row>
    <row r="12">
      <c r="A12" s="2" t="s">
        <v>154</v>
      </c>
      <c r="B12" s="2"/>
      <c r="C12" s="2" t="s">
        <v>208</v>
      </c>
      <c r="D12" s="8" t="str">
        <f t="shared" si="1"/>
        <v/>
      </c>
      <c r="E12" s="8" t="str">
        <f t="shared" si="2"/>
        <v>*</v>
      </c>
      <c r="F12" s="8" t="str">
        <f>IFERROR(__xludf.DUMMYFUNCTION("IF(ISNUMBER(SEARCH(""air"",C12)),""*air*""&amp;REGEXEXTRACT(C12,""\d+"")&amp;""*"",""*""&amp;C12&amp;""*"")"),"*iPhone 16 Plus 128*")</f>
        <v>*iPhone 16 Plus 128*</v>
      </c>
      <c r="G12" s="8">
        <f>IFERROR(MINIFS('Лист1'!$L:$L,'Лист1'!$A:$A,F12,'Лист1'!$A:$A,E12,'Лист1'!$L:$L,"&lt;&gt;"),"")</f>
        <v>50000</v>
      </c>
      <c r="H12" s="2" t="s">
        <v>70</v>
      </c>
    </row>
    <row r="13">
      <c r="A13" s="2" t="s">
        <v>154</v>
      </c>
      <c r="B13" s="2"/>
      <c r="C13" s="2" t="s">
        <v>219</v>
      </c>
      <c r="D13" s="8" t="str">
        <f t="shared" si="1"/>
        <v/>
      </c>
      <c r="E13" s="8" t="str">
        <f t="shared" si="2"/>
        <v>*</v>
      </c>
      <c r="F13" s="8" t="str">
        <f>IFERROR(__xludf.DUMMYFUNCTION("IF(ISNUMBER(SEARCH(""air"",C13)),""*air*""&amp;REGEXEXTRACT(C13,""\d+"")&amp;""*"",""*""&amp;C13&amp;""*"")"),"*iPhone 16 Plus 256*")</f>
        <v>*iPhone 16 Plus 256*</v>
      </c>
      <c r="G13" s="8">
        <f>IFERROR(MINIFS('Лист1'!$L:$L,'Лист1'!$A:$A,F13,'Лист1'!$A:$A,E13,'Лист1'!$L:$L,"&lt;&gt;"),"")</f>
        <v>50000</v>
      </c>
      <c r="H13" s="2" t="s">
        <v>70</v>
      </c>
    </row>
    <row r="14">
      <c r="A14" s="2" t="s">
        <v>154</v>
      </c>
      <c r="B14" s="2"/>
      <c r="C14" s="2" t="s">
        <v>231</v>
      </c>
      <c r="D14" s="8" t="str">
        <f t="shared" si="1"/>
        <v/>
      </c>
      <c r="E14" s="8" t="str">
        <f t="shared" si="2"/>
        <v>*</v>
      </c>
      <c r="F14" s="8" t="str">
        <f>IFERROR(__xludf.DUMMYFUNCTION("IF(ISNUMBER(SEARCH(""air"",C14)),""*air*""&amp;REGEXEXTRACT(C14,""\d+"")&amp;""*"",""*""&amp;C14&amp;""*"")"),"*iPhone 16 Pro 128*")</f>
        <v>*iPhone 16 Pro 128*</v>
      </c>
      <c r="G14" s="8">
        <f>IFERROR(MINIFS('Лист1'!$L:$L,'Лист1'!$A:$A,F14,'Лист1'!$A:$A,E14,'Лист1'!$L:$L,"&lt;&gt;"),"")</f>
        <v>50000</v>
      </c>
      <c r="H14" s="2" t="s">
        <v>70</v>
      </c>
    </row>
    <row r="15">
      <c r="A15" s="2" t="s">
        <v>154</v>
      </c>
      <c r="B15" s="2"/>
      <c r="C15" s="2" t="s">
        <v>246</v>
      </c>
      <c r="D15" s="8" t="str">
        <f t="shared" si="1"/>
        <v/>
      </c>
      <c r="E15" s="8" t="str">
        <f t="shared" si="2"/>
        <v>*</v>
      </c>
      <c r="F15" s="8" t="str">
        <f>IFERROR(__xludf.DUMMYFUNCTION("IF(ISNUMBER(SEARCH(""air"",C15)),""*air*""&amp;REGEXEXTRACT(C15,""\d+"")&amp;""*"",""*""&amp;C15&amp;""*"")"),"*iPhone 16 Pro Max 256*")</f>
        <v>*iPhone 16 Pro Max 256*</v>
      </c>
      <c r="G15" s="8">
        <f>IFERROR(MINIFS('Лист1'!$L:$L,'Лист1'!$A:$A,F15,'Лист1'!$A:$A,E15,'Лист1'!$L:$L,"&lt;&gt;"),"")</f>
        <v>50000</v>
      </c>
      <c r="H15" s="2" t="s">
        <v>70</v>
      </c>
    </row>
    <row r="16">
      <c r="A16" s="2" t="s">
        <v>255</v>
      </c>
      <c r="B16" s="2" t="s">
        <v>256</v>
      </c>
      <c r="C16" s="2" t="s">
        <v>257</v>
      </c>
      <c r="D16" s="8" t="str">
        <f t="shared" si="1"/>
        <v>Версия с физической сим-картой:</v>
      </c>
      <c r="E16" s="8" t="str">
        <f t="shared" si="2"/>
        <v>* SIM</v>
      </c>
      <c r="F16" s="8" t="str">
        <f>IFERROR(__xludf.DUMMYFUNCTION("IF(ISNUMBER(SEARCH(""air"",C16)),""*air*""&amp;REGEXEXTRACT(C16,""\d+"")&amp;""*"",""*""&amp;C16&amp;""*"")"),"*iPhone 17E 256*")</f>
        <v>*iPhone 17E 256*</v>
      </c>
      <c r="G16" s="8">
        <f>IFERROR(MINIFS('Лист1'!$L:$L,'Лист1'!$A:$A,F16,'Лист1'!$A:$A,E16,'Лист1'!$L:$L,"&lt;&gt;"),"")</f>
        <v>50000</v>
      </c>
      <c r="H16" s="2" t="s">
        <v>70</v>
      </c>
    </row>
    <row r="17">
      <c r="A17" s="2" t="s">
        <v>255</v>
      </c>
      <c r="B17" s="2" t="s">
        <v>256</v>
      </c>
      <c r="C17" s="2" t="s">
        <v>261</v>
      </c>
      <c r="D17" s="8" t="str">
        <f t="shared" si="1"/>
        <v>Версия с физической сим-картой:</v>
      </c>
      <c r="E17" s="8" t="str">
        <f t="shared" si="2"/>
        <v>* SIM</v>
      </c>
      <c r="F17" s="8" t="str">
        <f>IFERROR(__xludf.DUMMYFUNCTION("IF(ISNUMBER(SEARCH(""air"",C17)),""*air*""&amp;REGEXEXTRACT(C17,""\d+"")&amp;""*"",""*""&amp;C17&amp;""*"")"),"*iPhone 17 256*")</f>
        <v>*iPhone 17 256*</v>
      </c>
      <c r="G17" s="8">
        <f>IFERROR(MINIFS('Лист1'!$L:$L,'Лист1'!$A:$A,F17,'Лист1'!$A:$A,E17,'Лист1'!$L:$L,"&lt;&gt;"),"")</f>
        <v>50000</v>
      </c>
      <c r="H17" s="2" t="s">
        <v>70</v>
      </c>
    </row>
    <row r="18">
      <c r="A18" s="2" t="s">
        <v>255</v>
      </c>
      <c r="B18" s="2" t="s">
        <v>256</v>
      </c>
      <c r="C18" s="2" t="s">
        <v>264</v>
      </c>
      <c r="D18" s="8" t="str">
        <f t="shared" si="1"/>
        <v>Версия с физической сим-картой:</v>
      </c>
      <c r="E18" s="8" t="str">
        <f t="shared" si="2"/>
        <v>* SIM</v>
      </c>
      <c r="F18" s="8" t="str">
        <f>IFERROR(__xludf.DUMMYFUNCTION("IF(ISNUMBER(SEARCH(""air"",C18)),""*air*""&amp;REGEXEXTRACT(C18,""\d+"")&amp;""*"",""*""&amp;C18&amp;""*"")"),"*iPhone 17 512*")</f>
        <v>*iPhone 17 512*</v>
      </c>
      <c r="G18" s="8">
        <f>IFERROR(MINIFS('Лист1'!$L:$L,'Лист1'!$A:$A,F18,'Лист1'!$A:$A,E18,'Лист1'!$L:$L,"&lt;&gt;"),"")</f>
        <v>50000</v>
      </c>
      <c r="H18" s="2" t="s">
        <v>70</v>
      </c>
    </row>
    <row r="19">
      <c r="A19" s="2" t="s">
        <v>255</v>
      </c>
      <c r="B19" s="2" t="s">
        <v>256</v>
      </c>
      <c r="C19" s="2" t="s">
        <v>270</v>
      </c>
      <c r="D19" s="8" t="str">
        <f t="shared" si="1"/>
        <v>Версия с физической сим-картой:</v>
      </c>
      <c r="E19" s="8" t="str">
        <f t="shared" si="2"/>
        <v>* SIM</v>
      </c>
      <c r="F19" s="8" t="str">
        <f>IFERROR(__xludf.DUMMYFUNCTION("IF(ISNUMBER(SEARCH(""air"",C19)),""*air*""&amp;REGEXEXTRACT(C19,""\d+"")&amp;""*"",""*""&amp;C19&amp;""*"")"),"*iPhone 17 Pro 256*")</f>
        <v>*iPhone 17 Pro 256*</v>
      </c>
      <c r="G19" s="8">
        <f>IFERROR(MINIFS('Лист1'!$L:$L,'Лист1'!$A:$A,F19,'Лист1'!$A:$A,E19,'Лист1'!$L:$L,"&lt;&gt;"),"")</f>
        <v>50000</v>
      </c>
      <c r="H19" s="2" t="s">
        <v>70</v>
      </c>
    </row>
    <row r="20">
      <c r="A20" s="2" t="s">
        <v>255</v>
      </c>
      <c r="B20" s="2" t="s">
        <v>256</v>
      </c>
      <c r="C20" s="2" t="s">
        <v>274</v>
      </c>
      <c r="D20" s="8" t="str">
        <f t="shared" si="1"/>
        <v>Версия с физической сим-картой:</v>
      </c>
      <c r="E20" s="8" t="str">
        <f t="shared" si="2"/>
        <v>* SIM</v>
      </c>
      <c r="F20" s="8" t="str">
        <f>IFERROR(__xludf.DUMMYFUNCTION("IF(ISNUMBER(SEARCH(""air"",C20)),""*air*""&amp;REGEXEXTRACT(C20,""\d+"")&amp;""*"",""*""&amp;C20&amp;""*"")"),"*iPhone 17 Pro 512*")</f>
        <v>*iPhone 17 Pro 512*</v>
      </c>
      <c r="G20" s="8">
        <f>IFERROR(MINIFS('Лист1'!$L:$L,'Лист1'!$A:$A,F20,'Лист1'!$A:$A,E20,'Лист1'!$L:$L,"&lt;&gt;"),"")</f>
        <v>50000</v>
      </c>
      <c r="H20" s="2" t="s">
        <v>70</v>
      </c>
    </row>
    <row r="21">
      <c r="A21" s="2" t="s">
        <v>255</v>
      </c>
      <c r="B21" s="2" t="s">
        <v>256</v>
      </c>
      <c r="C21" s="2" t="s">
        <v>281</v>
      </c>
      <c r="D21" s="8" t="str">
        <f t="shared" si="1"/>
        <v>Версия с физической сим-картой:</v>
      </c>
      <c r="E21" s="8" t="str">
        <f t="shared" si="2"/>
        <v>* SIM</v>
      </c>
      <c r="F21" s="8" t="str">
        <f>IFERROR(__xludf.DUMMYFUNCTION("IF(ISNUMBER(SEARCH(""air"",C21)),""*air*""&amp;REGEXEXTRACT(C21,""\d+"")&amp;""*"",""*""&amp;C21&amp;""*"")"),"*iPhone 17 Pro 1024*")</f>
        <v>*iPhone 17 Pro 1024*</v>
      </c>
      <c r="G21" s="8">
        <f>IFERROR(MINIFS('Лист1'!$L:$L,'Лист1'!$A:$A,F21,'Лист1'!$A:$A,E21,'Лист1'!$L:$L,"&lt;&gt;"),"")</f>
        <v>50000</v>
      </c>
      <c r="H21" s="2" t="s">
        <v>70</v>
      </c>
    </row>
    <row r="22">
      <c r="A22" s="2" t="s">
        <v>255</v>
      </c>
      <c r="B22" s="2" t="s">
        <v>256</v>
      </c>
      <c r="C22" s="2" t="s">
        <v>286</v>
      </c>
      <c r="D22" s="8" t="str">
        <f t="shared" si="1"/>
        <v>Версия с физической сим-картой:</v>
      </c>
      <c r="E22" s="8" t="str">
        <f t="shared" si="2"/>
        <v>* SIM</v>
      </c>
      <c r="F22" s="8" t="str">
        <f>IFERROR(__xludf.DUMMYFUNCTION("IF(ISNUMBER(SEARCH(""air"",C22)),""*air*""&amp;REGEXEXTRACT(C22,""\d+"")&amp;""*"",""*""&amp;C22&amp;""*"")"),"*iPhone 17 Pro Max 256*")</f>
        <v>*iPhone 17 Pro Max 256*</v>
      </c>
      <c r="G22" s="8">
        <f>IFERROR(MINIFS('Лист1'!$L:$L,'Лист1'!$A:$A,F22,'Лист1'!$A:$A,E22,'Лист1'!$L:$L,"&lt;&gt;"),"")</f>
        <v>50000</v>
      </c>
      <c r="H22" s="2" t="s">
        <v>70</v>
      </c>
    </row>
    <row r="23">
      <c r="A23" s="2" t="s">
        <v>255</v>
      </c>
      <c r="B23" s="2" t="s">
        <v>256</v>
      </c>
      <c r="C23" s="2" t="s">
        <v>296</v>
      </c>
      <c r="D23" s="8" t="str">
        <f t="shared" si="1"/>
        <v>Версия с физической сим-картой:</v>
      </c>
      <c r="E23" s="8" t="str">
        <f t="shared" si="2"/>
        <v>* SIM</v>
      </c>
      <c r="F23" s="8" t="str">
        <f>IFERROR(__xludf.DUMMYFUNCTION("IF(ISNUMBER(SEARCH(""air"",C23)),""*air*""&amp;REGEXEXTRACT(C23,""\d+"")&amp;""*"",""*""&amp;C23&amp;""*"")"),"*iPhone 17 Pro Max 512*")</f>
        <v>*iPhone 17 Pro Max 512*</v>
      </c>
      <c r="G23" s="8">
        <f>IFERROR(MINIFS('Лист1'!$L:$L,'Лист1'!$A:$A,F23,'Лист1'!$A:$A,E23,'Лист1'!$L:$L,"&lt;&gt;"),"")</f>
        <v>50000</v>
      </c>
      <c r="H23" s="2" t="s">
        <v>70</v>
      </c>
    </row>
    <row r="24">
      <c r="A24" s="2" t="s">
        <v>255</v>
      </c>
      <c r="B24" s="2" t="s">
        <v>256</v>
      </c>
      <c r="C24" s="2" t="s">
        <v>301</v>
      </c>
      <c r="D24" s="8" t="str">
        <f t="shared" si="1"/>
        <v>Версия с физической сим-картой:</v>
      </c>
      <c r="E24" s="8" t="str">
        <f t="shared" si="2"/>
        <v>* SIM</v>
      </c>
      <c r="F24" s="8" t="str">
        <f>IFERROR(__xludf.DUMMYFUNCTION("IF(ISNUMBER(SEARCH(""air"",C24)),""*air*""&amp;REGEXEXTRACT(C24,""\d+"")&amp;""*"",""*""&amp;C24&amp;""*"")"),"*iPhone 17 Pro Max 1024*")</f>
        <v>*iPhone 17 Pro Max 1024*</v>
      </c>
      <c r="G24" s="8">
        <f>IFERROR(MINIFS('Лист1'!$L:$L,'Лист1'!$A:$A,F24,'Лист1'!$A:$A,E24,'Лист1'!$L:$L,"&lt;&gt;"),"")</f>
        <v>50000</v>
      </c>
      <c r="H24" s="2" t="s">
        <v>70</v>
      </c>
    </row>
    <row r="25">
      <c r="A25" s="2" t="s">
        <v>255</v>
      </c>
      <c r="B25" s="2" t="s">
        <v>256</v>
      </c>
      <c r="C25" s="2" t="s">
        <v>304</v>
      </c>
      <c r="D25" s="8" t="str">
        <f t="shared" si="1"/>
        <v>Версия с физической сим-картой:</v>
      </c>
      <c r="E25" s="8" t="str">
        <f t="shared" si="2"/>
        <v>* SIM</v>
      </c>
      <c r="F25" s="8" t="str">
        <f>IFERROR(__xludf.DUMMYFUNCTION("IF(ISNUMBER(SEARCH(""air"",C25)),""*air*""&amp;REGEXEXTRACT(C25,""\d+"")&amp;""*"",""*""&amp;C25&amp;""*"")"),"*iPhone 17 Pro Max 2048*")</f>
        <v>*iPhone 17 Pro Max 2048*</v>
      </c>
      <c r="G25" s="8">
        <f>IFERROR(MINIFS('Лист1'!$L:$L,'Лист1'!$A:$A,F25,'Лист1'!$A:$A,E25,'Лист1'!$L:$L,"&lt;&gt;"),"")</f>
        <v>50000</v>
      </c>
      <c r="H25" s="2" t="s">
        <v>70</v>
      </c>
    </row>
    <row r="26">
      <c r="A26" s="2" t="s">
        <v>255</v>
      </c>
      <c r="B26" s="2" t="s">
        <v>313</v>
      </c>
      <c r="C26" s="2" t="s">
        <v>261</v>
      </c>
      <c r="D26" s="8" t="str">
        <f t="shared" si="1"/>
        <v>Версия без физической сим-карты:</v>
      </c>
      <c r="E26" s="8" t="str">
        <f t="shared" si="2"/>
        <v>*eSIM</v>
      </c>
      <c r="F26" s="8" t="str">
        <f>IFERROR(__xludf.DUMMYFUNCTION("IF(ISNUMBER(SEARCH(""air"",C26)),""*air*""&amp;REGEXEXTRACT(C26,""\d+"")&amp;""*"",""*""&amp;C26&amp;""*"")"),"*iPhone 17 256*")</f>
        <v>*iPhone 17 256*</v>
      </c>
      <c r="G26" s="8">
        <f>IFERROR(MINIFS('Лист1'!$L:$L,'Лист1'!$A:$A,F26,'Лист1'!$A:$A,E26,'Лист1'!$L:$L,"&lt;&gt;"),"")</f>
        <v>50000</v>
      </c>
      <c r="H26" s="2" t="s">
        <v>70</v>
      </c>
    </row>
    <row r="27">
      <c r="A27" s="2" t="s">
        <v>255</v>
      </c>
      <c r="B27" s="2" t="s">
        <v>313</v>
      </c>
      <c r="C27" s="2" t="s">
        <v>264</v>
      </c>
      <c r="D27" s="8" t="str">
        <f t="shared" si="1"/>
        <v>Версия без физической сим-карты:</v>
      </c>
      <c r="E27" s="8" t="str">
        <f t="shared" si="2"/>
        <v>*eSIM</v>
      </c>
      <c r="F27" s="8" t="str">
        <f>IFERROR(__xludf.DUMMYFUNCTION("IF(ISNUMBER(SEARCH(""air"",C27)),""*air*""&amp;REGEXEXTRACT(C27,""\d+"")&amp;""*"",""*""&amp;C27&amp;""*"")"),"*iPhone 17 512*")</f>
        <v>*iPhone 17 512*</v>
      </c>
      <c r="G27" s="8">
        <f>IFERROR(MINIFS('Лист1'!$L:$L,'Лист1'!$A:$A,F27,'Лист1'!$A:$A,E27,'Лист1'!$L:$L,"&lt;&gt;"),"")</f>
        <v>50000</v>
      </c>
      <c r="H27" s="2" t="s">
        <v>70</v>
      </c>
    </row>
    <row r="28">
      <c r="A28" s="2" t="s">
        <v>255</v>
      </c>
      <c r="B28" s="2" t="s">
        <v>313</v>
      </c>
      <c r="C28" s="2" t="s">
        <v>321</v>
      </c>
      <c r="D28" s="8" t="str">
        <f t="shared" si="1"/>
        <v>Версия без физической сим-карты:</v>
      </c>
      <c r="E28" s="8" t="str">
        <f t="shared" si="2"/>
        <v>*</v>
      </c>
      <c r="F28" s="8" t="str">
        <f>IFERROR(__xludf.DUMMYFUNCTION("IF(ISNUMBER(SEARCH(""air"",C28)),""*air*""&amp;REGEXEXTRACT(C28,""\d+"")&amp;""*"",""*""&amp;C28&amp;""*"")"),"*air*256*")</f>
        <v>*air*256*</v>
      </c>
      <c r="G28" s="8">
        <f>IFERROR(MINIFS('Лист1'!$L:$L,'Лист1'!$A:$A,F28,'Лист1'!$A:$A,E28,'Лист1'!$L:$L,"&lt;&gt;"),"")</f>
        <v>50000</v>
      </c>
      <c r="H28" s="2" t="s">
        <v>70</v>
      </c>
    </row>
    <row r="29">
      <c r="A29" s="2" t="s">
        <v>255</v>
      </c>
      <c r="B29" s="2" t="s">
        <v>313</v>
      </c>
      <c r="C29" s="2" t="s">
        <v>325</v>
      </c>
      <c r="D29" s="8" t="str">
        <f t="shared" si="1"/>
        <v>Версия без физической сим-карты:</v>
      </c>
      <c r="E29" s="8" t="str">
        <f t="shared" si="2"/>
        <v>*</v>
      </c>
      <c r="F29" s="8" t="str">
        <f>IFERROR(__xludf.DUMMYFUNCTION("IF(ISNUMBER(SEARCH(""air"",C29)),""*air*""&amp;REGEXEXTRACT(C29,""\d+"")&amp;""*"",""*""&amp;C29&amp;""*"")"),"*air*512*")</f>
        <v>*air*512*</v>
      </c>
      <c r="G29" s="8">
        <f>IFERROR(MINIFS('Лист1'!$L:$L,'Лист1'!$A:$A,F29,'Лист1'!$A:$A,E29,'Лист1'!$L:$L,"&lt;&gt;"),"")</f>
        <v>50000</v>
      </c>
      <c r="H29" s="2" t="s">
        <v>70</v>
      </c>
    </row>
    <row r="30">
      <c r="A30" s="2" t="s">
        <v>255</v>
      </c>
      <c r="B30" s="2" t="s">
        <v>313</v>
      </c>
      <c r="C30" s="2" t="s">
        <v>330</v>
      </c>
      <c r="D30" s="8" t="str">
        <f t="shared" si="1"/>
        <v>Версия без физической сим-карты:</v>
      </c>
      <c r="E30" s="8" t="str">
        <f t="shared" si="2"/>
        <v>*</v>
      </c>
      <c r="F30" s="8" t="str">
        <f>IFERROR(__xludf.DUMMYFUNCTION("IF(ISNUMBER(SEARCH(""air"",C30)),""*air*""&amp;REGEXEXTRACT(C30,""\d+"")&amp;""*"",""*""&amp;C30&amp;""*"")"),"*air*1024*")</f>
        <v>*air*1024*</v>
      </c>
      <c r="G30" s="8">
        <f>IFERROR(MINIFS('Лист1'!$L:$L,'Лист1'!$A:$A,F30,'Лист1'!$A:$A,E30,'Лист1'!$L:$L,"&lt;&gt;"),"")</f>
        <v>92390</v>
      </c>
      <c r="H30" s="2" t="s">
        <v>70</v>
      </c>
    </row>
    <row r="31">
      <c r="A31" s="2" t="s">
        <v>255</v>
      </c>
      <c r="B31" s="2" t="s">
        <v>313</v>
      </c>
      <c r="C31" s="2" t="s">
        <v>270</v>
      </c>
      <c r="D31" s="8" t="str">
        <f t="shared" si="1"/>
        <v>Версия без физической сим-карты:</v>
      </c>
      <c r="E31" s="8" t="str">
        <f t="shared" si="2"/>
        <v>*eSIM</v>
      </c>
      <c r="F31" s="8" t="str">
        <f>IFERROR(__xludf.DUMMYFUNCTION("IF(ISNUMBER(SEARCH(""air"",C31)),""*air*""&amp;REGEXEXTRACT(C31,""\d+"")&amp;""*"",""*""&amp;C31&amp;""*"")"),"*iPhone 17 Pro 256*")</f>
        <v>*iPhone 17 Pro 256*</v>
      </c>
      <c r="G31" s="8">
        <f>IFERROR(MINIFS('Лист1'!$L:$L,'Лист1'!$A:$A,F31,'Лист1'!$A:$A,E31,'Лист1'!$L:$L,"&lt;&gt;"),"")</f>
        <v>50000</v>
      </c>
      <c r="H31" s="2" t="s">
        <v>70</v>
      </c>
    </row>
    <row r="32">
      <c r="A32" s="2" t="s">
        <v>255</v>
      </c>
      <c r="B32" s="2" t="s">
        <v>313</v>
      </c>
      <c r="C32" s="2" t="s">
        <v>274</v>
      </c>
      <c r="D32" s="8" t="str">
        <f t="shared" si="1"/>
        <v>Версия без физической сим-карты:</v>
      </c>
      <c r="E32" s="8" t="str">
        <f t="shared" si="2"/>
        <v>*eSIM</v>
      </c>
      <c r="F32" s="8" t="str">
        <f>IFERROR(__xludf.DUMMYFUNCTION("IF(ISNUMBER(SEARCH(""air"",C32)),""*air*""&amp;REGEXEXTRACT(C32,""\d+"")&amp;""*"",""*""&amp;C32&amp;""*"")"),"*iPhone 17 Pro 512*")</f>
        <v>*iPhone 17 Pro 512*</v>
      </c>
      <c r="G32" s="8">
        <f>IFERROR(MINIFS('Лист1'!$L:$L,'Лист1'!$A:$A,F32,'Лист1'!$A:$A,E32,'Лист1'!$L:$L,"&lt;&gt;"),"")</f>
        <v>50000</v>
      </c>
      <c r="H32" s="2" t="s">
        <v>70</v>
      </c>
    </row>
    <row r="33">
      <c r="A33" s="2" t="s">
        <v>255</v>
      </c>
      <c r="B33" s="2" t="s">
        <v>313</v>
      </c>
      <c r="C33" s="2" t="s">
        <v>281</v>
      </c>
      <c r="D33" s="8" t="str">
        <f t="shared" si="1"/>
        <v>Версия без физической сим-карты:</v>
      </c>
      <c r="E33" s="8" t="str">
        <f t="shared" si="2"/>
        <v>*eSIM</v>
      </c>
      <c r="F33" s="8" t="str">
        <f>IFERROR(__xludf.DUMMYFUNCTION("IF(ISNUMBER(SEARCH(""air"",C33)),""*air*""&amp;REGEXEXTRACT(C33,""\d+"")&amp;""*"",""*""&amp;C33&amp;""*"")"),"*iPhone 17 Pro 1024*")</f>
        <v>*iPhone 17 Pro 1024*</v>
      </c>
      <c r="G33" s="8">
        <f>IFERROR(MINIFS('Лист1'!$L:$L,'Лист1'!$A:$A,F33,'Лист1'!$A:$A,E33,'Лист1'!$L:$L,"&lt;&gt;"),"")</f>
        <v>50000</v>
      </c>
      <c r="H33" s="2" t="s">
        <v>70</v>
      </c>
    </row>
    <row r="34">
      <c r="A34" s="2" t="s">
        <v>255</v>
      </c>
      <c r="B34" s="2" t="s">
        <v>313</v>
      </c>
      <c r="C34" s="2" t="s">
        <v>286</v>
      </c>
      <c r="D34" s="8" t="str">
        <f t="shared" si="1"/>
        <v>Версия без физической сим-карты:</v>
      </c>
      <c r="E34" s="8" t="str">
        <f t="shared" si="2"/>
        <v>*eSIM</v>
      </c>
      <c r="F34" s="8" t="str">
        <f>IFERROR(__xludf.DUMMYFUNCTION("IF(ISNUMBER(SEARCH(""air"",C34)),""*air*""&amp;REGEXEXTRACT(C34,""\d+"")&amp;""*"",""*""&amp;C34&amp;""*"")"),"*iPhone 17 Pro Max 256*")</f>
        <v>*iPhone 17 Pro Max 256*</v>
      </c>
      <c r="G34" s="8">
        <f>IFERROR(MINIFS('Лист1'!$L:$L,'Лист1'!$A:$A,F34,'Лист1'!$A:$A,E34,'Лист1'!$L:$L,"&lt;&gt;"),"")</f>
        <v>50000</v>
      </c>
      <c r="H34" s="2" t="s">
        <v>70</v>
      </c>
    </row>
    <row r="35">
      <c r="A35" s="2" t="s">
        <v>255</v>
      </c>
      <c r="B35" s="2" t="s">
        <v>313</v>
      </c>
      <c r="C35" s="2" t="s">
        <v>296</v>
      </c>
      <c r="D35" s="8" t="str">
        <f t="shared" si="1"/>
        <v>Версия без физической сим-карты:</v>
      </c>
      <c r="E35" s="8" t="str">
        <f t="shared" si="2"/>
        <v>*eSIM</v>
      </c>
      <c r="F35" s="8" t="str">
        <f>IFERROR(__xludf.DUMMYFUNCTION("IF(ISNUMBER(SEARCH(""air"",C35)),""*air*""&amp;REGEXEXTRACT(C35,""\d+"")&amp;""*"",""*""&amp;C35&amp;""*"")"),"*iPhone 17 Pro Max 512*")</f>
        <v>*iPhone 17 Pro Max 512*</v>
      </c>
      <c r="G35" s="8">
        <f>IFERROR(MINIFS('Лист1'!$L:$L,'Лист1'!$A:$A,F35,'Лист1'!$A:$A,E35,'Лист1'!$L:$L,"&lt;&gt;"),"")</f>
        <v>50000</v>
      </c>
      <c r="H35" s="2" t="s">
        <v>70</v>
      </c>
    </row>
    <row r="36">
      <c r="A36" s="2" t="s">
        <v>255</v>
      </c>
      <c r="B36" s="2" t="s">
        <v>313</v>
      </c>
      <c r="C36" s="2" t="s">
        <v>301</v>
      </c>
      <c r="D36" s="8" t="str">
        <f t="shared" si="1"/>
        <v>Версия без физической сим-карты:</v>
      </c>
      <c r="E36" s="8" t="str">
        <f t="shared" si="2"/>
        <v>*eSIM</v>
      </c>
      <c r="F36" s="8" t="str">
        <f>IFERROR(__xludf.DUMMYFUNCTION("IF(ISNUMBER(SEARCH(""air"",C36)),""*air*""&amp;REGEXEXTRACT(C36,""\d+"")&amp;""*"",""*""&amp;C36&amp;""*"")"),"*iPhone 17 Pro Max 1024*")</f>
        <v>*iPhone 17 Pro Max 1024*</v>
      </c>
      <c r="G36" s="8">
        <f>IFERROR(MINIFS('Лист1'!$L:$L,'Лист1'!$A:$A,F36,'Лист1'!$A:$A,E36,'Лист1'!$L:$L,"&lt;&gt;"),"")</f>
        <v>50000</v>
      </c>
      <c r="H36" s="2" t="s">
        <v>70</v>
      </c>
    </row>
    <row r="37">
      <c r="A37" s="2" t="s">
        <v>255</v>
      </c>
      <c r="B37" s="2" t="s">
        <v>313</v>
      </c>
      <c r="C37" s="2" t="s">
        <v>304</v>
      </c>
      <c r="D37" s="8" t="str">
        <f t="shared" si="1"/>
        <v>Версия без физической сим-карты:</v>
      </c>
      <c r="E37" s="8" t="str">
        <f t="shared" si="2"/>
        <v>*eSIM</v>
      </c>
      <c r="F37" s="8" t="str">
        <f>IFERROR(__xludf.DUMMYFUNCTION("IF(ISNUMBER(SEARCH(""air"",C37)),""*air*""&amp;REGEXEXTRACT(C37,""\d+"")&amp;""*"",""*""&amp;C37&amp;""*"")"),"*iPhone 17 Pro Max 2048*")</f>
        <v>*iPhone 17 Pro Max 2048*</v>
      </c>
      <c r="G37" s="8">
        <f>IFERROR(MINIFS('Лист1'!$L:$L,'Лист1'!$A:$A,F37,'Лист1'!$A:$A,E37,'Лист1'!$L:$L,"&lt;&gt;"),"")</f>
        <v>50000</v>
      </c>
      <c r="H37" s="2" t="s">
        <v>70</v>
      </c>
    </row>
    <row r="38">
      <c r="A38" s="2" t="s">
        <v>367</v>
      </c>
      <c r="B38" s="2" t="s">
        <v>313</v>
      </c>
      <c r="C38" s="5" t="s">
        <v>371</v>
      </c>
      <c r="D38" s="8" t="str">
        <f t="shared" si="1"/>
        <v>Версия без физической сим-карты:</v>
      </c>
      <c r="E38" s="8" t="str">
        <f t="shared" si="2"/>
        <v>*eSIM</v>
      </c>
      <c r="F38" s="8" t="str">
        <f>IFERROR(__xludf.DUMMYFUNCTION("IF(ISNUMBER(SEARCH(""air"",C38)),""*air*""&amp;REGEXEXTRACT(C38,""\d+"")&amp;""*"",""*""&amp;C38&amp;""*"")"),"*iPhone 18 Pro 256 *")</f>
        <v>*iPhone 18 Pro 256 *</v>
      </c>
      <c r="G38" s="8">
        <f>IFERROR(MINIFS('Лист1'!$L:$L,'Лист1'!$A:$A,F38,'Лист1'!$A:$A,E38,'Лист1'!$L:$L,"&lt;&gt;"),"")</f>
        <v>50000</v>
      </c>
      <c r="H38" s="2" t="s">
        <v>70</v>
      </c>
    </row>
    <row r="39">
      <c r="A39" s="2" t="s">
        <v>367</v>
      </c>
      <c r="B39" s="2" t="s">
        <v>313</v>
      </c>
      <c r="C39" s="5" t="s">
        <v>380</v>
      </c>
      <c r="D39" s="8" t="str">
        <f t="shared" si="1"/>
        <v>Версия без физической сим-карты:</v>
      </c>
      <c r="E39" s="8" t="str">
        <f t="shared" si="2"/>
        <v>*eSIM</v>
      </c>
      <c r="F39" s="8" t="str">
        <f>IFERROR(__xludf.DUMMYFUNCTION("IF(ISNUMBER(SEARCH(""air"",C39)),""*air*""&amp;REGEXEXTRACT(C39,""\d+"")&amp;""*"",""*""&amp;C39&amp;""*"")"),"*iPhone 18 Pro 512*")</f>
        <v>*iPhone 18 Pro 512*</v>
      </c>
      <c r="G39" s="8">
        <f>IFERROR(MINIFS('Лист1'!$L:$L,'Лист1'!$A:$A,F39,'Лист1'!$A:$A,E39,'Лист1'!$L:$L,"&lt;&gt;"),"")</f>
        <v>50000</v>
      </c>
      <c r="H39" s="2" t="s">
        <v>70</v>
      </c>
    </row>
    <row r="40">
      <c r="A40" s="2" t="s">
        <v>367</v>
      </c>
      <c r="B40" s="2" t="s">
        <v>313</v>
      </c>
      <c r="C40" s="5" t="s">
        <v>395</v>
      </c>
      <c r="D40" s="8" t="str">
        <f t="shared" si="1"/>
        <v>Версия без физической сим-карты:</v>
      </c>
      <c r="E40" s="8" t="str">
        <f t="shared" si="2"/>
        <v>*eSIM</v>
      </c>
      <c r="F40" s="8" t="str">
        <f>IFERROR(__xludf.DUMMYFUNCTION("IF(ISNUMBER(SEARCH(""air"",C40)),""*air*""&amp;REGEXEXTRACT(C40,""\d+"")&amp;""*"",""*""&amp;C40&amp;""*"")"),"*iPhone 18 Pro 1024*")</f>
        <v>*iPhone 18 Pro 1024*</v>
      </c>
      <c r="G40" s="8">
        <f>IFERROR(MINIFS('Лист1'!$L:$L,'Лист1'!$A:$A,F40,'Лист1'!$A:$A,E40,'Лист1'!$L:$L,"&lt;&gt;"),"")</f>
        <v>50000</v>
      </c>
      <c r="H40" s="2" t="s">
        <v>70</v>
      </c>
    </row>
    <row r="41">
      <c r="A41" s="2" t="s">
        <v>367</v>
      </c>
      <c r="B41" s="2" t="s">
        <v>313</v>
      </c>
      <c r="C41" s="5" t="s">
        <v>411</v>
      </c>
      <c r="D41" s="8" t="str">
        <f t="shared" si="1"/>
        <v>Версия без физической сим-карты:</v>
      </c>
      <c r="E41" s="8" t="str">
        <f t="shared" si="2"/>
        <v>*eSIM</v>
      </c>
      <c r="F41" s="8" t="str">
        <f>IFERROR(__xludf.DUMMYFUNCTION("IF(ISNUMBER(SEARCH(""air"",C41)),""*air*""&amp;REGEXEXTRACT(C41,""\d+"")&amp;""*"",""*""&amp;C41&amp;""*"")"),"*iPhone 18 Pro 2048*")</f>
        <v>*iPhone 18 Pro 2048*</v>
      </c>
      <c r="G41" s="8">
        <f>IFERROR(MINIFS('Лист1'!$L:$L,'Лист1'!$A:$A,F41,'Лист1'!$A:$A,E41,'Лист1'!$L:$L,"&lt;&gt;"),"")</f>
        <v>50000</v>
      </c>
      <c r="H41" s="2" t="s">
        <v>70</v>
      </c>
    </row>
    <row r="42">
      <c r="A42" s="2" t="s">
        <v>367</v>
      </c>
      <c r="B42" s="2" t="s">
        <v>256</v>
      </c>
      <c r="C42" s="5" t="s">
        <v>371</v>
      </c>
      <c r="D42" s="8" t="str">
        <f>IF(B42&lt;&gt;"",B42,IF(A42=#REF!,#REF!,""))</f>
        <v>Версия с физической сим-картой:</v>
      </c>
      <c r="E42" s="8" t="str">
        <f t="shared" si="2"/>
        <v>* SIM</v>
      </c>
      <c r="F42" s="8" t="str">
        <f>IFERROR(__xludf.DUMMYFUNCTION("IF(ISNUMBER(SEARCH(""air"",C42)),""*air*""&amp;REGEXEXTRACT(C42,""\d+"")&amp;""*"",""*""&amp;C42&amp;""*"")"),"*iPhone 18 Pro 256 *")</f>
        <v>*iPhone 18 Pro 256 *</v>
      </c>
      <c r="G42" s="8">
        <f>IFERROR(MINIFS('Лист1'!$L:$L,'Лист1'!$A:$A,F42,'Лист1'!$A:$A,E42,'Лист1'!$L:$L,"&lt;&gt;"),"")</f>
        <v>50000</v>
      </c>
      <c r="H42" s="2" t="s">
        <v>70</v>
      </c>
    </row>
    <row r="43">
      <c r="A43" s="2" t="s">
        <v>367</v>
      </c>
      <c r="B43" s="2" t="s">
        <v>256</v>
      </c>
      <c r="C43" s="5" t="s">
        <v>380</v>
      </c>
      <c r="D43" s="8" t="str">
        <f t="shared" ref="D43:D45" si="3">IF(B43&lt;&gt;"",B43,IF(A43=A42,D42,""))</f>
        <v>Версия с физической сим-картой:</v>
      </c>
      <c r="E43" s="8" t="str">
        <f t="shared" si="2"/>
        <v>* SIM</v>
      </c>
      <c r="F43" s="8" t="str">
        <f>IFERROR(__xludf.DUMMYFUNCTION("IF(ISNUMBER(SEARCH(""air"",C43)),""*air*""&amp;REGEXEXTRACT(C43,""\d+"")&amp;""*"",""*""&amp;C43&amp;""*"")"),"*iPhone 18 Pro 512*")</f>
        <v>*iPhone 18 Pro 512*</v>
      </c>
      <c r="G43" s="8">
        <f>IFERROR(MINIFS('Лист1'!$L:$L,'Лист1'!$A:$A,F43,'Лист1'!$A:$A,E43,'Лист1'!$L:$L,"&lt;&gt;"),"")</f>
        <v>50000</v>
      </c>
      <c r="H43" s="2" t="s">
        <v>70</v>
      </c>
    </row>
    <row r="44">
      <c r="A44" s="2" t="s">
        <v>367</v>
      </c>
      <c r="B44" s="2" t="s">
        <v>256</v>
      </c>
      <c r="C44" s="5" t="s">
        <v>395</v>
      </c>
      <c r="D44" s="8" t="str">
        <f t="shared" si="3"/>
        <v>Версия с физической сим-картой:</v>
      </c>
      <c r="E44" s="8" t="str">
        <f t="shared" si="2"/>
        <v>* SIM</v>
      </c>
      <c r="F44" s="8" t="str">
        <f>IFERROR(__xludf.DUMMYFUNCTION("IF(ISNUMBER(SEARCH(""air"",C44)),""*air*""&amp;REGEXEXTRACT(C44,""\d+"")&amp;""*"",""*""&amp;C44&amp;""*"")"),"*iPhone 18 Pro 1024*")</f>
        <v>*iPhone 18 Pro 1024*</v>
      </c>
      <c r="G44" s="8">
        <f>IFERROR(MINIFS('Лист1'!$L:$L,'Лист1'!$A:$A,F44,'Лист1'!$A:$A,E44,'Лист1'!$L:$L,"&lt;&gt;"),"")</f>
        <v>50000</v>
      </c>
      <c r="H44" s="2" t="s">
        <v>70</v>
      </c>
    </row>
    <row r="45">
      <c r="A45" s="2" t="s">
        <v>367</v>
      </c>
      <c r="B45" s="2" t="s">
        <v>256</v>
      </c>
      <c r="C45" s="5" t="s">
        <v>411</v>
      </c>
      <c r="D45" s="8" t="str">
        <f t="shared" si="3"/>
        <v>Версия с физической сим-картой:</v>
      </c>
      <c r="E45" s="8" t="str">
        <f t="shared" si="2"/>
        <v>* SIM</v>
      </c>
      <c r="F45" s="8" t="str">
        <f>IFERROR(__xludf.DUMMYFUNCTION("IF(ISNUMBER(SEARCH(""air"",C45)),""*air*""&amp;REGEXEXTRACT(C45,""\d+"")&amp;""*"",""*""&amp;C45&amp;""*"")"),"*iPhone 18 Pro 2048*")</f>
        <v>*iPhone 18 Pro 2048*</v>
      </c>
      <c r="G45" s="8">
        <f>IFERROR(MINIFS('Лист1'!$L:$L,'Лист1'!$A:$A,F45,'Лист1'!$A:$A,E45,'Лист1'!$L:$L,"&lt;&gt;"),"")</f>
        <v>50000</v>
      </c>
      <c r="H45" s="2" t="s">
        <v>70</v>
      </c>
    </row>
    <row r="46">
      <c r="A46" s="2" t="s">
        <v>367</v>
      </c>
      <c r="B46" s="2" t="s">
        <v>313</v>
      </c>
      <c r="C46" s="5" t="s">
        <v>466</v>
      </c>
      <c r="D46" s="8" t="str">
        <f>IF(B46&lt;&gt;"",B46,IF(A46=#REF!,#REF!,""))</f>
        <v>Версия без физической сим-карты:</v>
      </c>
      <c r="E46" s="8" t="str">
        <f t="shared" si="2"/>
        <v>*eSIM</v>
      </c>
      <c r="F46" s="8" t="str">
        <f>IFERROR(__xludf.DUMMYFUNCTION("IF(ISNUMBER(SEARCH(""air"",C46)),""*air*""&amp;REGEXEXTRACT(C46,""\d+"")&amp;""*"",""*""&amp;C46&amp;""*"")"),"*iPhone 18 Pro Max 256 *")</f>
        <v>*iPhone 18 Pro Max 256 *</v>
      </c>
      <c r="G46" s="8">
        <f>IFERROR(MINIFS('Лист1'!$L:$L,'Лист1'!$A:$A,F46,'Лист1'!$A:$A,E46,'Лист1'!$L:$L,"&lt;&gt;"),"")</f>
        <v>50000</v>
      </c>
      <c r="H46" s="2" t="s">
        <v>70</v>
      </c>
    </row>
    <row r="47">
      <c r="A47" s="2" t="s">
        <v>367</v>
      </c>
      <c r="B47" s="2" t="s">
        <v>313</v>
      </c>
      <c r="C47" s="5" t="s">
        <v>474</v>
      </c>
      <c r="D47" s="8" t="str">
        <f t="shared" ref="D47:D49" si="4">IF(B47&lt;&gt;"",B47,IF(A47=A46,D46,""))</f>
        <v>Версия без физической сим-карты:</v>
      </c>
      <c r="E47" s="8" t="str">
        <f t="shared" si="2"/>
        <v>*eSIM</v>
      </c>
      <c r="F47" s="8" t="str">
        <f>IFERROR(__xludf.DUMMYFUNCTION("IF(ISNUMBER(SEARCH(""air"",C47)),""*air*""&amp;REGEXEXTRACT(C47,""\d+"")&amp;""*"",""*""&amp;C47&amp;""*"")"),"*iPhone 18 Pro Max 512*")</f>
        <v>*iPhone 18 Pro Max 512*</v>
      </c>
      <c r="G47" s="8">
        <f>IFERROR(MINIFS('Лист1'!$L:$L,'Лист1'!$A:$A,F47,'Лист1'!$A:$A,E47,'Лист1'!$L:$L,"&lt;&gt;"),"")</f>
        <v>50000</v>
      </c>
      <c r="H47" s="2" t="s">
        <v>70</v>
      </c>
    </row>
    <row r="48">
      <c r="A48" s="2" t="s">
        <v>367</v>
      </c>
      <c r="B48" s="2" t="s">
        <v>313</v>
      </c>
      <c r="C48" s="5" t="s">
        <v>483</v>
      </c>
      <c r="D48" s="8" t="str">
        <f t="shared" si="4"/>
        <v>Версия без физической сим-карты:</v>
      </c>
      <c r="E48" s="8" t="str">
        <f t="shared" si="2"/>
        <v>*eSIM</v>
      </c>
      <c r="F48" s="8" t="str">
        <f>IFERROR(__xludf.DUMMYFUNCTION("IF(ISNUMBER(SEARCH(""air"",C48)),""*air*""&amp;REGEXEXTRACT(C48,""\d+"")&amp;""*"",""*""&amp;C48&amp;""*"")"),"*iPhone 18 Pro Max 1024*")</f>
        <v>*iPhone 18 Pro Max 1024*</v>
      </c>
      <c r="G48" s="8">
        <f>IFERROR(MINIFS('Лист1'!$L:$L,'Лист1'!$A:$A,F48,'Лист1'!$A:$A,E48,'Лист1'!$L:$L,"&lt;&gt;"),"")</f>
        <v>50000</v>
      </c>
      <c r="H48" s="2" t="s">
        <v>70</v>
      </c>
    </row>
    <row r="49">
      <c r="A49" s="2" t="s">
        <v>367</v>
      </c>
      <c r="B49" s="2" t="s">
        <v>313</v>
      </c>
      <c r="C49" s="5" t="s">
        <v>490</v>
      </c>
      <c r="D49" s="8" t="str">
        <f t="shared" si="4"/>
        <v>Версия без физической сим-карты:</v>
      </c>
      <c r="E49" s="8" t="str">
        <f t="shared" si="2"/>
        <v>*eSIM</v>
      </c>
      <c r="F49" s="8" t="str">
        <f>IFERROR(__xludf.DUMMYFUNCTION("IF(ISNUMBER(SEARCH(""air"",C49)),""*air*""&amp;REGEXEXTRACT(C49,""\d+"")&amp;""*"",""*""&amp;C49&amp;""*"")"),"*iPhone 18 Pro Max 2048*")</f>
        <v>*iPhone 18 Pro Max 2048*</v>
      </c>
      <c r="G49" s="8">
        <f>IFERROR(MINIFS('Лист1'!$L:$L,'Лист1'!$A:$A,F49,'Лист1'!$A:$A,E49,'Лист1'!$L:$L,"&lt;&gt;"),"")</f>
        <v>1</v>
      </c>
      <c r="H49" s="2" t="s">
        <v>70</v>
      </c>
    </row>
    <row r="50">
      <c r="A50" s="2" t="s">
        <v>367</v>
      </c>
      <c r="B50" s="2" t="s">
        <v>256</v>
      </c>
      <c r="C50" s="5" t="s">
        <v>466</v>
      </c>
      <c r="D50" s="8" t="str">
        <f>IF(B50&lt;&gt;"",B50,IF(A50=#REF!,#REF!,""))</f>
        <v>Версия с физической сим-картой:</v>
      </c>
      <c r="E50" s="8" t="str">
        <f t="shared" si="2"/>
        <v>* SIM</v>
      </c>
      <c r="F50" s="8" t="str">
        <f>IFERROR(__xludf.DUMMYFUNCTION("IF(ISNUMBER(SEARCH(""air"",C50)),""*air*""&amp;REGEXEXTRACT(C50,""\d+"")&amp;""*"",""*""&amp;C50&amp;""*"")"),"*iPhone 18 Pro Max 256 *")</f>
        <v>*iPhone 18 Pro Max 256 *</v>
      </c>
      <c r="G50" s="8">
        <f>IFERROR(MINIFS('Лист1'!$L:$L,'Лист1'!$A:$A,F50,'Лист1'!$A:$A,E50,'Лист1'!$L:$L,"&lt;&gt;"),"")</f>
        <v>50000</v>
      </c>
      <c r="H50" s="2" t="s">
        <v>70</v>
      </c>
    </row>
    <row r="51">
      <c r="A51" s="2" t="s">
        <v>367</v>
      </c>
      <c r="B51" s="2" t="s">
        <v>256</v>
      </c>
      <c r="C51" s="5" t="s">
        <v>474</v>
      </c>
      <c r="D51" s="8" t="str">
        <f t="shared" ref="D51:D53" si="5">IF(B51&lt;&gt;"",B51,IF(A51=A50,D50,""))</f>
        <v>Версия с физической сим-картой:</v>
      </c>
      <c r="E51" s="8" t="str">
        <f t="shared" si="2"/>
        <v>* SIM</v>
      </c>
      <c r="F51" s="8" t="str">
        <f>IFERROR(__xludf.DUMMYFUNCTION("IF(ISNUMBER(SEARCH(""air"",C51)),""*air*""&amp;REGEXEXTRACT(C51,""\d+"")&amp;""*"",""*""&amp;C51&amp;""*"")"),"*iPhone 18 Pro Max 512*")</f>
        <v>*iPhone 18 Pro Max 512*</v>
      </c>
      <c r="G51" s="8">
        <f>IFERROR(MINIFS('Лист1'!$L:$L,'Лист1'!$A:$A,F51,'Лист1'!$A:$A,E51,'Лист1'!$L:$L,"&lt;&gt;"),"")</f>
        <v>50000</v>
      </c>
      <c r="H51" s="2" t="s">
        <v>70</v>
      </c>
    </row>
    <row r="52">
      <c r="A52" s="2" t="s">
        <v>367</v>
      </c>
      <c r="B52" s="2" t="s">
        <v>256</v>
      </c>
      <c r="C52" s="5" t="s">
        <v>483</v>
      </c>
      <c r="D52" s="8" t="str">
        <f t="shared" si="5"/>
        <v>Версия с физической сим-картой:</v>
      </c>
      <c r="E52" s="8" t="str">
        <f t="shared" si="2"/>
        <v>* SIM</v>
      </c>
      <c r="F52" s="8" t="str">
        <f>IFERROR(__xludf.DUMMYFUNCTION("IF(ISNUMBER(SEARCH(""air"",C52)),""*air*""&amp;REGEXEXTRACT(C52,""\d+"")&amp;""*"",""*""&amp;C52&amp;""*"")"),"*iPhone 18 Pro Max 1024*")</f>
        <v>*iPhone 18 Pro Max 1024*</v>
      </c>
      <c r="G52" s="8">
        <f>IFERROR(MINIFS('Лист1'!$L:$L,'Лист1'!$A:$A,F52,'Лист1'!$A:$A,E52,'Лист1'!$L:$L,"&lt;&gt;"),"")</f>
        <v>50000</v>
      </c>
      <c r="H52" s="2" t="s">
        <v>70</v>
      </c>
    </row>
    <row r="53">
      <c r="A53" s="2" t="s">
        <v>367</v>
      </c>
      <c r="B53" s="2" t="s">
        <v>256</v>
      </c>
      <c r="C53" s="5" t="s">
        <v>490</v>
      </c>
      <c r="D53" s="8" t="str">
        <f t="shared" si="5"/>
        <v>Версия с физической сим-картой:</v>
      </c>
      <c r="E53" s="8" t="str">
        <f t="shared" si="2"/>
        <v>* SIM</v>
      </c>
      <c r="F53" s="8" t="str">
        <f>IFERROR(__xludf.DUMMYFUNCTION("IF(ISNUMBER(SEARCH(""air"",C53)),""*air*""&amp;REGEXEXTRACT(C53,""\d+"")&amp;""*"",""*""&amp;C53&amp;""*"")"),"*iPhone 18 Pro Max 2048*")</f>
        <v>*iPhone 18 Pro Max 2048*</v>
      </c>
      <c r="G53" s="8">
        <f>IFERROR(MINIFS('Лист1'!$L:$L,'Лист1'!$A:$A,F53,'Лист1'!$A:$A,E53,'Лист1'!$L:$L,"&lt;&gt;"),"")</f>
        <v>50000</v>
      </c>
      <c r="H53" s="2" t="s">
        <v>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520</v>
      </c>
      <c r="B1" s="5" t="s">
        <v>521</v>
      </c>
      <c r="C1" s="5" t="s">
        <v>522</v>
      </c>
      <c r="D1" s="5" t="s">
        <v>523</v>
      </c>
      <c r="E1" s="5" t="s">
        <v>524</v>
      </c>
      <c r="F1" s="5" t="s">
        <v>526</v>
      </c>
      <c r="G1" s="5" t="s">
        <v>527</v>
      </c>
      <c r="H1" s="5" t="s">
        <v>528</v>
      </c>
      <c r="I1" s="5" t="s">
        <v>529</v>
      </c>
      <c r="J1" s="5" t="s">
        <v>530</v>
      </c>
      <c r="K1" s="5" t="s">
        <v>531</v>
      </c>
      <c r="L1" s="5" t="s">
        <v>532</v>
      </c>
      <c r="M1" s="5" t="s">
        <v>533</v>
      </c>
      <c r="N1" s="5" t="s">
        <v>534</v>
      </c>
      <c r="O1" s="5" t="s">
        <v>535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3" max="3" width="44.13"/>
  </cols>
  <sheetData>
    <row r="1">
      <c r="A1" s="2" t="s">
        <v>3</v>
      </c>
      <c r="B1" s="2" t="s">
        <v>8</v>
      </c>
      <c r="C1" s="2" t="s">
        <v>5</v>
      </c>
      <c r="D1" s="2" t="s">
        <v>717</v>
      </c>
    </row>
    <row r="2">
      <c r="A2" s="2" t="s">
        <v>718</v>
      </c>
      <c r="B2" s="2" t="s">
        <v>719</v>
      </c>
      <c r="C2" s="2" t="s">
        <v>721</v>
      </c>
      <c r="D2" s="14" t="s">
        <v>722</v>
      </c>
    </row>
    <row r="3">
      <c r="A3" s="2" t="s">
        <v>718</v>
      </c>
      <c r="B3" s="2" t="s">
        <v>719</v>
      </c>
      <c r="C3" s="2" t="s">
        <v>733</v>
      </c>
      <c r="D3" s="14" t="s">
        <v>735</v>
      </c>
    </row>
    <row r="4">
      <c r="A4" s="2" t="s">
        <v>718</v>
      </c>
      <c r="B4" s="2" t="s">
        <v>719</v>
      </c>
      <c r="C4" s="2" t="s">
        <v>742</v>
      </c>
      <c r="D4" s="14" t="s">
        <v>743</v>
      </c>
    </row>
    <row r="5">
      <c r="A5" s="2" t="s">
        <v>718</v>
      </c>
      <c r="B5" s="2" t="s">
        <v>719</v>
      </c>
      <c r="C5" s="2" t="s">
        <v>752</v>
      </c>
      <c r="D5" s="14" t="s">
        <v>753</v>
      </c>
    </row>
    <row r="6">
      <c r="A6" s="2" t="s">
        <v>718</v>
      </c>
      <c r="B6" s="2" t="s">
        <v>719</v>
      </c>
      <c r="C6" s="2" t="s">
        <v>761</v>
      </c>
      <c r="D6" s="14" t="s">
        <v>762</v>
      </c>
    </row>
    <row r="7">
      <c r="A7" s="2" t="s">
        <v>718</v>
      </c>
      <c r="B7" s="2" t="s">
        <v>719</v>
      </c>
      <c r="C7" s="2" t="s">
        <v>767</v>
      </c>
      <c r="D7" s="14" t="s">
        <v>768</v>
      </c>
    </row>
    <row r="8">
      <c r="A8" s="2" t="s">
        <v>718</v>
      </c>
      <c r="B8" s="2" t="s">
        <v>719</v>
      </c>
      <c r="C8" s="2" t="s">
        <v>771</v>
      </c>
      <c r="D8" s="14" t="s">
        <v>772</v>
      </c>
    </row>
    <row r="9">
      <c r="A9" s="2" t="s">
        <v>718</v>
      </c>
      <c r="B9" s="2" t="s">
        <v>719</v>
      </c>
      <c r="C9" s="2" t="s">
        <v>782</v>
      </c>
      <c r="D9" s="14" t="s">
        <v>785</v>
      </c>
    </row>
    <row r="10">
      <c r="A10" s="2" t="s">
        <v>718</v>
      </c>
      <c r="B10" s="2" t="s">
        <v>719</v>
      </c>
      <c r="C10" s="2" t="s">
        <v>793</v>
      </c>
      <c r="D10" s="14" t="s">
        <v>794</v>
      </c>
    </row>
    <row r="11">
      <c r="A11" s="2" t="s">
        <v>718</v>
      </c>
      <c r="B11" s="2" t="s">
        <v>719</v>
      </c>
      <c r="C11" s="2" t="s">
        <v>806</v>
      </c>
      <c r="D11" s="14" t="s">
        <v>808</v>
      </c>
    </row>
    <row r="12">
      <c r="A12" s="2" t="s">
        <v>718</v>
      </c>
      <c r="B12" s="2" t="s">
        <v>719</v>
      </c>
      <c r="C12" s="2" t="s">
        <v>831</v>
      </c>
      <c r="D12" s="14" t="s">
        <v>834</v>
      </c>
    </row>
    <row r="13">
      <c r="A13" s="2" t="s">
        <v>718</v>
      </c>
      <c r="B13" s="2" t="s">
        <v>719</v>
      </c>
      <c r="C13" s="2" t="s">
        <v>850</v>
      </c>
      <c r="D13" s="14" t="s">
        <v>851</v>
      </c>
    </row>
    <row r="14">
      <c r="A14" s="2" t="s">
        <v>718</v>
      </c>
      <c r="B14" s="2" t="s">
        <v>719</v>
      </c>
      <c r="C14" s="2" t="s">
        <v>869</v>
      </c>
      <c r="D14" s="14" t="s">
        <v>871</v>
      </c>
    </row>
    <row r="15">
      <c r="A15" s="2" t="s">
        <v>718</v>
      </c>
      <c r="B15" s="2" t="s">
        <v>719</v>
      </c>
      <c r="C15" s="2" t="s">
        <v>900</v>
      </c>
      <c r="D15" s="14" t="s">
        <v>903</v>
      </c>
    </row>
    <row r="16">
      <c r="A16" s="2" t="s">
        <v>718</v>
      </c>
      <c r="B16" s="2" t="s">
        <v>719</v>
      </c>
      <c r="C16" s="2" t="s">
        <v>930</v>
      </c>
      <c r="D16" s="14" t="s">
        <v>932</v>
      </c>
    </row>
    <row r="17">
      <c r="A17" s="2" t="s">
        <v>718</v>
      </c>
      <c r="B17" s="2" t="s">
        <v>719</v>
      </c>
      <c r="C17" s="2" t="s">
        <v>951</v>
      </c>
      <c r="D17" s="14" t="s">
        <v>952</v>
      </c>
    </row>
    <row r="18">
      <c r="A18" s="2" t="s">
        <v>718</v>
      </c>
      <c r="B18" s="2" t="s">
        <v>719</v>
      </c>
      <c r="C18" s="2" t="s">
        <v>955</v>
      </c>
      <c r="D18" s="14" t="s">
        <v>956</v>
      </c>
    </row>
    <row r="19">
      <c r="A19" s="2" t="s">
        <v>718</v>
      </c>
      <c r="B19" s="2" t="s">
        <v>719</v>
      </c>
      <c r="C19" s="2" t="s">
        <v>963</v>
      </c>
      <c r="D19" s="14" t="s">
        <v>964</v>
      </c>
    </row>
    <row r="20">
      <c r="A20" s="2" t="s">
        <v>718</v>
      </c>
      <c r="B20" s="2" t="s">
        <v>719</v>
      </c>
      <c r="C20" s="2" t="s">
        <v>971</v>
      </c>
      <c r="D20" s="14" t="s">
        <v>972</v>
      </c>
    </row>
    <row r="21">
      <c r="A21" s="2" t="s">
        <v>718</v>
      </c>
      <c r="B21" s="2" t="s">
        <v>983</v>
      </c>
      <c r="C21" s="2" t="s">
        <v>985</v>
      </c>
      <c r="D21" s="14" t="s">
        <v>986</v>
      </c>
    </row>
    <row r="22">
      <c r="A22" s="2" t="s">
        <v>718</v>
      </c>
      <c r="B22" s="2" t="s">
        <v>983</v>
      </c>
      <c r="C22" s="2" t="s">
        <v>999</v>
      </c>
      <c r="D22" s="14" t="s">
        <v>1002</v>
      </c>
    </row>
    <row r="23">
      <c r="A23" s="2" t="s">
        <v>718</v>
      </c>
      <c r="B23" s="2" t="s">
        <v>983</v>
      </c>
      <c r="C23" s="2" t="s">
        <v>1010</v>
      </c>
      <c r="D23" s="14" t="s">
        <v>1011</v>
      </c>
    </row>
    <row r="24">
      <c r="A24" s="2" t="s">
        <v>718</v>
      </c>
      <c r="B24" s="2" t="s">
        <v>983</v>
      </c>
      <c r="C24" s="2" t="s">
        <v>1021</v>
      </c>
      <c r="D24" s="14" t="s">
        <v>1023</v>
      </c>
    </row>
    <row r="25">
      <c r="A25" s="2" t="s">
        <v>718</v>
      </c>
      <c r="B25" s="2" t="s">
        <v>983</v>
      </c>
      <c r="C25" s="2" t="s">
        <v>1034</v>
      </c>
      <c r="D25" s="14" t="s">
        <v>1037</v>
      </c>
    </row>
    <row r="26">
      <c r="A26" s="2" t="s">
        <v>718</v>
      </c>
      <c r="B26" s="2" t="s">
        <v>983</v>
      </c>
      <c r="C26" s="2" t="s">
        <v>1047</v>
      </c>
      <c r="D26" s="14" t="s">
        <v>1048</v>
      </c>
    </row>
    <row r="27">
      <c r="A27" s="2" t="s">
        <v>718</v>
      </c>
      <c r="B27" s="2" t="s">
        <v>983</v>
      </c>
      <c r="C27" s="2" t="s">
        <v>1061</v>
      </c>
      <c r="D27" s="14" t="s">
        <v>1062</v>
      </c>
    </row>
    <row r="28">
      <c r="A28" s="2" t="s">
        <v>718</v>
      </c>
      <c r="B28" s="2" t="s">
        <v>983</v>
      </c>
      <c r="C28" s="2" t="s">
        <v>1067</v>
      </c>
      <c r="D28" s="14" t="s">
        <v>1068</v>
      </c>
    </row>
    <row r="29">
      <c r="A29" s="2" t="s">
        <v>718</v>
      </c>
      <c r="B29" s="2" t="s">
        <v>983</v>
      </c>
      <c r="C29" s="2" t="s">
        <v>1081</v>
      </c>
      <c r="D29" s="14" t="s">
        <v>1082</v>
      </c>
    </row>
    <row r="30">
      <c r="A30" s="2" t="s">
        <v>718</v>
      </c>
      <c r="B30" s="2" t="s">
        <v>983</v>
      </c>
      <c r="C30" s="2" t="s">
        <v>1100</v>
      </c>
      <c r="D30" s="14" t="s">
        <v>1101</v>
      </c>
    </row>
    <row r="31">
      <c r="A31" s="2" t="s">
        <v>718</v>
      </c>
      <c r="B31" s="2" t="s">
        <v>983</v>
      </c>
      <c r="C31" s="2" t="s">
        <v>1114</v>
      </c>
      <c r="D31" s="14" t="s">
        <v>1115</v>
      </c>
    </row>
    <row r="32">
      <c r="A32" s="2" t="s">
        <v>718</v>
      </c>
      <c r="B32" s="2" t="s">
        <v>983</v>
      </c>
      <c r="C32" s="2" t="s">
        <v>1126</v>
      </c>
      <c r="D32" s="14" t="s">
        <v>1128</v>
      </c>
    </row>
    <row r="33">
      <c r="A33" s="2" t="s">
        <v>718</v>
      </c>
      <c r="B33" s="2" t="s">
        <v>983</v>
      </c>
      <c r="C33" s="2" t="s">
        <v>1139</v>
      </c>
      <c r="D33" s="14" t="s">
        <v>1142</v>
      </c>
    </row>
    <row r="34">
      <c r="A34" s="2" t="s">
        <v>718</v>
      </c>
      <c r="B34" s="2" t="s">
        <v>983</v>
      </c>
      <c r="C34" s="2" t="s">
        <v>1154</v>
      </c>
      <c r="D34" s="14" t="s">
        <v>1156</v>
      </c>
    </row>
    <row r="35">
      <c r="A35" s="2" t="s">
        <v>718</v>
      </c>
      <c r="B35" s="2" t="s">
        <v>983</v>
      </c>
      <c r="C35" s="2" t="s">
        <v>1166</v>
      </c>
      <c r="D35" s="14" t="s">
        <v>1167</v>
      </c>
    </row>
    <row r="36">
      <c r="A36" s="2" t="s">
        <v>718</v>
      </c>
      <c r="B36" s="2" t="s">
        <v>983</v>
      </c>
      <c r="C36" s="2" t="s">
        <v>1171</v>
      </c>
      <c r="D36" s="14" t="s">
        <v>1172</v>
      </c>
    </row>
    <row r="37">
      <c r="A37" s="2" t="s">
        <v>718</v>
      </c>
      <c r="B37" s="2" t="s">
        <v>1175</v>
      </c>
      <c r="C37" s="2" t="s">
        <v>1176</v>
      </c>
      <c r="D37" s="14" t="s">
        <v>1177</v>
      </c>
    </row>
    <row r="38">
      <c r="A38" s="2" t="s">
        <v>718</v>
      </c>
      <c r="B38" s="2" t="s">
        <v>1175</v>
      </c>
      <c r="C38" s="2" t="s">
        <v>1180</v>
      </c>
      <c r="D38" s="14" t="s">
        <v>1181</v>
      </c>
    </row>
    <row r="39">
      <c r="A39" s="2" t="s">
        <v>718</v>
      </c>
      <c r="B39" s="2" t="s">
        <v>1175</v>
      </c>
      <c r="C39" s="2" t="s">
        <v>1184</v>
      </c>
      <c r="D39" s="14" t="s">
        <v>1185</v>
      </c>
    </row>
    <row r="40">
      <c r="A40" s="2" t="s">
        <v>718</v>
      </c>
      <c r="B40" s="2" t="s">
        <v>1175</v>
      </c>
      <c r="C40" s="2" t="s">
        <v>1189</v>
      </c>
      <c r="D40" s="14" t="s">
        <v>1190</v>
      </c>
    </row>
    <row r="41">
      <c r="A41" s="2" t="s">
        <v>718</v>
      </c>
      <c r="B41" s="2" t="s">
        <v>1175</v>
      </c>
      <c r="C41" s="2" t="s">
        <v>1192</v>
      </c>
      <c r="D41" s="14" t="s">
        <v>1193</v>
      </c>
    </row>
    <row r="42">
      <c r="A42" s="2" t="s">
        <v>718</v>
      </c>
      <c r="B42" s="2" t="s">
        <v>1175</v>
      </c>
      <c r="C42" s="2" t="s">
        <v>1196</v>
      </c>
      <c r="D42" s="14" t="s">
        <v>1197</v>
      </c>
    </row>
    <row r="43">
      <c r="A43" s="2" t="s">
        <v>718</v>
      </c>
      <c r="B43" s="2" t="s">
        <v>1175</v>
      </c>
      <c r="C43" s="2" t="s">
        <v>1201</v>
      </c>
      <c r="D43" s="14" t="s">
        <v>1202</v>
      </c>
    </row>
    <row r="44">
      <c r="A44" s="2" t="s">
        <v>718</v>
      </c>
      <c r="B44" s="2" t="s">
        <v>1175</v>
      </c>
      <c r="C44" s="2" t="s">
        <v>1205</v>
      </c>
      <c r="D44" s="14" t="s">
        <v>1207</v>
      </c>
    </row>
    <row r="45">
      <c r="A45" s="2" t="s">
        <v>718</v>
      </c>
      <c r="B45" s="2" t="s">
        <v>1210</v>
      </c>
      <c r="C45" s="2" t="s">
        <v>1211</v>
      </c>
      <c r="D45" s="14" t="s">
        <v>1212</v>
      </c>
    </row>
    <row r="46">
      <c r="A46" s="2" t="s">
        <v>718</v>
      </c>
      <c r="B46" s="2" t="s">
        <v>1210</v>
      </c>
      <c r="C46" s="2" t="s">
        <v>1217</v>
      </c>
      <c r="D46" s="14" t="s">
        <v>1218</v>
      </c>
    </row>
    <row r="47">
      <c r="A47" s="2" t="s">
        <v>718</v>
      </c>
      <c r="B47" s="2" t="s">
        <v>1210</v>
      </c>
      <c r="C47" s="2" t="s">
        <v>1221</v>
      </c>
      <c r="D47" s="14" t="s">
        <v>1222</v>
      </c>
    </row>
    <row r="48">
      <c r="A48" s="2" t="s">
        <v>718</v>
      </c>
      <c r="B48" s="2" t="s">
        <v>1210</v>
      </c>
      <c r="C48" s="2" t="s">
        <v>1211</v>
      </c>
      <c r="D48" s="14" t="s">
        <v>1226</v>
      </c>
    </row>
    <row r="49">
      <c r="A49" s="2" t="s">
        <v>718</v>
      </c>
      <c r="B49" s="2" t="s">
        <v>1210</v>
      </c>
      <c r="C49" s="2" t="s">
        <v>1229</v>
      </c>
      <c r="D49" s="14" t="s">
        <v>1230</v>
      </c>
    </row>
    <row r="50">
      <c r="A50" s="2" t="s">
        <v>718</v>
      </c>
      <c r="B50" s="2" t="s">
        <v>1210</v>
      </c>
      <c r="C50" s="2" t="s">
        <v>1235</v>
      </c>
      <c r="D50" s="14" t="s">
        <v>1236</v>
      </c>
    </row>
    <row r="51">
      <c r="A51" s="2" t="s">
        <v>718</v>
      </c>
      <c r="B51" s="2" t="s">
        <v>1210</v>
      </c>
      <c r="C51" s="2" t="s">
        <v>1235</v>
      </c>
      <c r="D51" s="14" t="s">
        <v>602</v>
      </c>
    </row>
    <row r="52">
      <c r="A52" s="2" t="s">
        <v>718</v>
      </c>
      <c r="B52" s="2" t="s">
        <v>1210</v>
      </c>
      <c r="C52" s="2" t="s">
        <v>1221</v>
      </c>
      <c r="D52" s="14" t="s">
        <v>621</v>
      </c>
    </row>
    <row r="53">
      <c r="A53" s="2" t="s">
        <v>718</v>
      </c>
      <c r="B53" s="2" t="s">
        <v>1210</v>
      </c>
      <c r="C53" s="2" t="s">
        <v>1217</v>
      </c>
      <c r="D53" s="14" t="s">
        <v>639</v>
      </c>
    </row>
    <row r="54">
      <c r="A54" s="2" t="s">
        <v>718</v>
      </c>
      <c r="B54" s="2" t="s">
        <v>1210</v>
      </c>
      <c r="C54" s="2" t="s">
        <v>1229</v>
      </c>
      <c r="D54" s="14" t="s">
        <v>583</v>
      </c>
    </row>
    <row r="55">
      <c r="A55" s="2" t="s">
        <v>718</v>
      </c>
      <c r="B55" s="2" t="s">
        <v>1210</v>
      </c>
      <c r="C55" s="2" t="s">
        <v>1211</v>
      </c>
      <c r="D55" s="14" t="s">
        <v>565</v>
      </c>
    </row>
    <row r="56">
      <c r="A56" s="2" t="s">
        <v>718</v>
      </c>
      <c r="B56" s="2" t="s">
        <v>1210</v>
      </c>
      <c r="C56" s="2" t="s">
        <v>1286</v>
      </c>
      <c r="D56" s="14" t="s">
        <v>656</v>
      </c>
    </row>
    <row r="57">
      <c r="A57" s="2" t="s">
        <v>718</v>
      </c>
      <c r="B57" s="2" t="s">
        <v>1210</v>
      </c>
      <c r="C57" s="2" t="s">
        <v>1292</v>
      </c>
      <c r="D57" s="14" t="s">
        <v>1293</v>
      </c>
    </row>
    <row r="58">
      <c r="A58" s="2" t="s">
        <v>718</v>
      </c>
      <c r="B58" s="2" t="s">
        <v>1210</v>
      </c>
      <c r="C58" s="2" t="s">
        <v>1297</v>
      </c>
      <c r="D58" s="14" t="s">
        <v>1298</v>
      </c>
    </row>
    <row r="59">
      <c r="A59" s="2" t="s">
        <v>718</v>
      </c>
      <c r="B59" s="2" t="s">
        <v>1210</v>
      </c>
      <c r="C59" s="2" t="s">
        <v>1217</v>
      </c>
      <c r="D59" s="14" t="s">
        <v>1301</v>
      </c>
    </row>
    <row r="60">
      <c r="A60" s="2" t="s">
        <v>718</v>
      </c>
      <c r="B60" s="2" t="s">
        <v>1210</v>
      </c>
      <c r="C60" s="2" t="s">
        <v>1221</v>
      </c>
      <c r="D60" s="14" t="s">
        <v>1307</v>
      </c>
    </row>
    <row r="61">
      <c r="A61" s="2" t="s">
        <v>718</v>
      </c>
      <c r="B61" s="2" t="s">
        <v>1210</v>
      </c>
      <c r="C61" s="2" t="s">
        <v>1235</v>
      </c>
      <c r="D61" s="14" t="s">
        <v>1312</v>
      </c>
    </row>
    <row r="62">
      <c r="A62" s="2" t="s">
        <v>718</v>
      </c>
      <c r="B62" s="2" t="s">
        <v>1210</v>
      </c>
      <c r="C62" s="2" t="s">
        <v>1229</v>
      </c>
      <c r="D62" s="14" t="s">
        <v>1316</v>
      </c>
    </row>
    <row r="63">
      <c r="A63" s="2" t="s">
        <v>718</v>
      </c>
      <c r="B63" s="2" t="s">
        <v>1210</v>
      </c>
      <c r="C63" s="2" t="s">
        <v>1320</v>
      </c>
      <c r="D63" s="14" t="s">
        <v>1321</v>
      </c>
    </row>
    <row r="64">
      <c r="A64" s="2" t="s">
        <v>718</v>
      </c>
      <c r="B64" s="2" t="s">
        <v>1210</v>
      </c>
      <c r="C64" s="2" t="s">
        <v>1331</v>
      </c>
      <c r="D64" s="14" t="s">
        <v>1332</v>
      </c>
    </row>
    <row r="65">
      <c r="A65" s="2" t="s">
        <v>718</v>
      </c>
      <c r="B65" s="2" t="s">
        <v>1210</v>
      </c>
      <c r="C65" s="2" t="s">
        <v>1344</v>
      </c>
      <c r="D65" s="14" t="s">
        <v>1345</v>
      </c>
    </row>
    <row r="66">
      <c r="A66" s="2" t="s">
        <v>718</v>
      </c>
      <c r="B66" s="2" t="s">
        <v>1210</v>
      </c>
      <c r="C66" s="2" t="s">
        <v>1357</v>
      </c>
      <c r="D66" s="14" t="s">
        <v>1358</v>
      </c>
    </row>
    <row r="67">
      <c r="A67" s="2" t="s">
        <v>718</v>
      </c>
      <c r="B67" s="2" t="s">
        <v>1210</v>
      </c>
      <c r="C67" s="2" t="s">
        <v>1368</v>
      </c>
      <c r="D67" s="14" t="s">
        <v>666</v>
      </c>
    </row>
    <row r="68">
      <c r="A68" s="2" t="s">
        <v>718</v>
      </c>
      <c r="B68" s="2" t="s">
        <v>1210</v>
      </c>
      <c r="C68" s="2" t="s">
        <v>1380</v>
      </c>
      <c r="D68" s="14" t="s">
        <v>669</v>
      </c>
    </row>
    <row r="69">
      <c r="A69" s="2" t="s">
        <v>718</v>
      </c>
      <c r="B69" s="2" t="s">
        <v>1210</v>
      </c>
      <c r="C69" s="2" t="s">
        <v>1392</v>
      </c>
      <c r="D69" s="14" t="s">
        <v>681</v>
      </c>
    </row>
    <row r="70">
      <c r="A70" s="2" t="s">
        <v>718</v>
      </c>
      <c r="B70" s="2" t="s">
        <v>1210</v>
      </c>
      <c r="C70" s="2" t="s">
        <v>1402</v>
      </c>
      <c r="D70" s="14" t="s">
        <v>699</v>
      </c>
    </row>
    <row r="71">
      <c r="A71" s="2" t="s">
        <v>718</v>
      </c>
      <c r="B71" s="2" t="s">
        <v>1210</v>
      </c>
      <c r="C71" s="2" t="s">
        <v>1414</v>
      </c>
      <c r="D71" s="14" t="s">
        <v>1416</v>
      </c>
    </row>
    <row r="72">
      <c r="A72" s="2" t="s">
        <v>718</v>
      </c>
      <c r="B72" s="2" t="s">
        <v>1210</v>
      </c>
      <c r="C72" s="2" t="s">
        <v>1426</v>
      </c>
      <c r="D72" s="14" t="s">
        <v>1427</v>
      </c>
    </row>
    <row r="73">
      <c r="A73" s="2" t="s">
        <v>718</v>
      </c>
      <c r="B73" s="2" t="s">
        <v>1210</v>
      </c>
      <c r="C73" s="2" t="s">
        <v>1438</v>
      </c>
      <c r="D73" s="14" t="s">
        <v>1440</v>
      </c>
    </row>
    <row r="74">
      <c r="A74" s="2" t="s">
        <v>718</v>
      </c>
      <c r="B74" s="2" t="s">
        <v>1210</v>
      </c>
      <c r="C74" s="2" t="s">
        <v>1451</v>
      </c>
      <c r="D74" s="14" t="s">
        <v>1452</v>
      </c>
    </row>
    <row r="75">
      <c r="A75" s="2" t="s">
        <v>718</v>
      </c>
      <c r="B75" s="2" t="s">
        <v>1210</v>
      </c>
      <c r="C75" s="2" t="s">
        <v>1465</v>
      </c>
      <c r="D75" s="14" t="s">
        <v>1467</v>
      </c>
    </row>
    <row r="76">
      <c r="A76" s="2" t="s">
        <v>718</v>
      </c>
      <c r="B76" s="2" t="s">
        <v>1210</v>
      </c>
      <c r="C76" s="2" t="s">
        <v>1473</v>
      </c>
      <c r="D76" s="14" t="s">
        <v>1474</v>
      </c>
    </row>
    <row r="77">
      <c r="A77" s="2" t="s">
        <v>718</v>
      </c>
      <c r="B77" s="2" t="s">
        <v>1210</v>
      </c>
      <c r="C77" s="2" t="s">
        <v>1478</v>
      </c>
      <c r="D77" s="14" t="s">
        <v>1479</v>
      </c>
    </row>
    <row r="78">
      <c r="A78" s="2" t="s">
        <v>718</v>
      </c>
      <c r="B78" s="2" t="s">
        <v>1210</v>
      </c>
      <c r="C78" s="2" t="s">
        <v>1482</v>
      </c>
      <c r="D78" s="14" t="s">
        <v>1483</v>
      </c>
    </row>
    <row r="79">
      <c r="A79" s="2" t="s">
        <v>718</v>
      </c>
      <c r="B79" s="2" t="s">
        <v>1210</v>
      </c>
      <c r="C79" s="2" t="s">
        <v>1489</v>
      </c>
      <c r="D79" s="14" t="s">
        <v>1491</v>
      </c>
    </row>
    <row r="80">
      <c r="A80" s="2" t="s">
        <v>718</v>
      </c>
      <c r="B80" s="2" t="s">
        <v>1210</v>
      </c>
      <c r="C80" s="2" t="s">
        <v>1501</v>
      </c>
      <c r="D80" s="14" t="s">
        <v>734</v>
      </c>
    </row>
    <row r="81">
      <c r="A81" s="2" t="s">
        <v>718</v>
      </c>
      <c r="B81" s="2" t="s">
        <v>1210</v>
      </c>
      <c r="C81" s="2" t="s">
        <v>1465</v>
      </c>
      <c r="D81" s="14" t="s">
        <v>705</v>
      </c>
    </row>
    <row r="82">
      <c r="A82" s="2" t="s">
        <v>718</v>
      </c>
      <c r="B82" s="2" t="s">
        <v>1210</v>
      </c>
      <c r="C82" s="2" t="s">
        <v>1473</v>
      </c>
      <c r="D82" s="14" t="s">
        <v>716</v>
      </c>
    </row>
    <row r="83">
      <c r="A83" s="2" t="s">
        <v>718</v>
      </c>
      <c r="B83" s="2" t="s">
        <v>1210</v>
      </c>
      <c r="C83" s="2" t="s">
        <v>1478</v>
      </c>
      <c r="D83" s="14" t="s">
        <v>713</v>
      </c>
    </row>
    <row r="84">
      <c r="A84" s="2" t="s">
        <v>718</v>
      </c>
      <c r="B84" s="2" t="s">
        <v>1210</v>
      </c>
      <c r="C84" s="2" t="s">
        <v>1465</v>
      </c>
      <c r="D84" s="14" t="s">
        <v>1533</v>
      </c>
    </row>
    <row r="85">
      <c r="A85" s="2" t="s">
        <v>718</v>
      </c>
      <c r="B85" s="2" t="s">
        <v>1210</v>
      </c>
      <c r="C85" s="2" t="s">
        <v>1482</v>
      </c>
      <c r="D85" s="14" t="s">
        <v>710</v>
      </c>
    </row>
    <row r="86">
      <c r="A86" s="2" t="s">
        <v>718</v>
      </c>
      <c r="B86" s="2" t="s">
        <v>1210</v>
      </c>
      <c r="C86" s="2" t="s">
        <v>1482</v>
      </c>
      <c r="D86" s="14" t="s">
        <v>1545</v>
      </c>
    </row>
    <row r="87">
      <c r="A87" s="2" t="s">
        <v>718</v>
      </c>
      <c r="B87" s="2" t="s">
        <v>1210</v>
      </c>
      <c r="C87" s="2" t="s">
        <v>1478</v>
      </c>
      <c r="D87" s="14" t="s">
        <v>1550</v>
      </c>
    </row>
    <row r="88">
      <c r="A88" s="2" t="s">
        <v>718</v>
      </c>
      <c r="B88" s="2" t="s">
        <v>1210</v>
      </c>
      <c r="C88" s="2" t="s">
        <v>1555</v>
      </c>
      <c r="D88" s="14" t="s">
        <v>726</v>
      </c>
    </row>
    <row r="89">
      <c r="A89" s="2" t="s">
        <v>718</v>
      </c>
      <c r="B89" s="2" t="s">
        <v>1210</v>
      </c>
      <c r="C89" s="2" t="s">
        <v>1560</v>
      </c>
      <c r="D89" s="14" t="s">
        <v>756</v>
      </c>
    </row>
    <row r="90">
      <c r="A90" s="2" t="s">
        <v>718</v>
      </c>
      <c r="B90" s="2" t="s">
        <v>1210</v>
      </c>
      <c r="C90" s="2" t="s">
        <v>1570</v>
      </c>
      <c r="D90" s="14" t="s">
        <v>763</v>
      </c>
    </row>
    <row r="91">
      <c r="A91" s="2" t="s">
        <v>718</v>
      </c>
      <c r="B91" s="2" t="s">
        <v>1210</v>
      </c>
      <c r="C91" s="2" t="s">
        <v>1489</v>
      </c>
      <c r="D91" s="14" t="s">
        <v>702</v>
      </c>
    </row>
    <row r="92">
      <c r="A92" s="2" t="s">
        <v>718</v>
      </c>
      <c r="B92" s="2" t="s">
        <v>1210</v>
      </c>
      <c r="C92" s="2" t="s">
        <v>1473</v>
      </c>
      <c r="D92" s="14" t="s">
        <v>1580</v>
      </c>
    </row>
    <row r="93">
      <c r="A93" s="2" t="s">
        <v>718</v>
      </c>
      <c r="B93" s="2" t="s">
        <v>1210</v>
      </c>
      <c r="C93" s="2" t="s">
        <v>1587</v>
      </c>
      <c r="D93" s="14" t="s">
        <v>746</v>
      </c>
    </row>
    <row r="94">
      <c r="A94" s="2" t="s">
        <v>718</v>
      </c>
      <c r="B94" s="2" t="s">
        <v>1210</v>
      </c>
      <c r="C94" s="2" t="s">
        <v>1489</v>
      </c>
      <c r="D94" s="14" t="s">
        <v>1593</v>
      </c>
    </row>
    <row r="95">
      <c r="A95" s="2" t="s">
        <v>718</v>
      </c>
      <c r="B95" s="2" t="s">
        <v>1210</v>
      </c>
      <c r="C95" s="2" t="s">
        <v>1501</v>
      </c>
      <c r="D95" s="14" t="s">
        <v>1601</v>
      </c>
    </row>
    <row r="96">
      <c r="A96" s="2" t="s">
        <v>718</v>
      </c>
      <c r="B96" s="2" t="s">
        <v>1210</v>
      </c>
      <c r="C96" s="2" t="s">
        <v>1555</v>
      </c>
      <c r="D96" s="14" t="s">
        <v>1604</v>
      </c>
    </row>
    <row r="97">
      <c r="A97" s="2" t="s">
        <v>718</v>
      </c>
      <c r="B97" s="2" t="s">
        <v>1210</v>
      </c>
      <c r="C97" s="2" t="s">
        <v>1570</v>
      </c>
      <c r="D97" s="14" t="s">
        <v>1608</v>
      </c>
    </row>
    <row r="98">
      <c r="A98" s="2" t="s">
        <v>718</v>
      </c>
      <c r="B98" s="2" t="s">
        <v>1210</v>
      </c>
      <c r="C98" s="2" t="s">
        <v>1560</v>
      </c>
      <c r="D98" s="14" t="s">
        <v>1612</v>
      </c>
    </row>
    <row r="99">
      <c r="A99" s="2" t="s">
        <v>718</v>
      </c>
      <c r="B99" s="2" t="s">
        <v>1210</v>
      </c>
      <c r="C99" s="2" t="s">
        <v>1587</v>
      </c>
      <c r="D99" s="14" t="s">
        <v>1616</v>
      </c>
    </row>
    <row r="100">
      <c r="A100" s="2" t="s">
        <v>718</v>
      </c>
      <c r="B100" s="2" t="s">
        <v>1210</v>
      </c>
      <c r="C100" s="2" t="s">
        <v>1368</v>
      </c>
      <c r="D100" s="14" t="s">
        <v>1618</v>
      </c>
    </row>
    <row r="101">
      <c r="A101" s="2" t="s">
        <v>718</v>
      </c>
      <c r="B101" s="2" t="s">
        <v>1210</v>
      </c>
      <c r="C101" s="2" t="s">
        <v>1286</v>
      </c>
      <c r="D101" s="14" t="s">
        <v>1621</v>
      </c>
    </row>
    <row r="102">
      <c r="A102" s="2" t="s">
        <v>718</v>
      </c>
      <c r="B102" s="2" t="s">
        <v>1210</v>
      </c>
      <c r="C102" s="2" t="s">
        <v>1402</v>
      </c>
      <c r="D102" s="14" t="s">
        <v>1623</v>
      </c>
    </row>
    <row r="103">
      <c r="A103" s="2" t="s">
        <v>718</v>
      </c>
      <c r="B103" s="2" t="s">
        <v>1210</v>
      </c>
      <c r="C103" s="2" t="s">
        <v>1392</v>
      </c>
      <c r="D103" s="14" t="s">
        <v>1626</v>
      </c>
    </row>
    <row r="104">
      <c r="A104" s="2" t="s">
        <v>718</v>
      </c>
      <c r="B104" s="2" t="s">
        <v>1210</v>
      </c>
      <c r="C104" s="2" t="s">
        <v>1380</v>
      </c>
      <c r="D104" s="14" t="s">
        <v>1629</v>
      </c>
    </row>
    <row r="105">
      <c r="A105" s="2" t="s">
        <v>718</v>
      </c>
      <c r="B105" s="2" t="s">
        <v>1210</v>
      </c>
      <c r="C105" s="2" t="s">
        <v>1631</v>
      </c>
      <c r="D105" s="14" t="s">
        <v>1633</v>
      </c>
    </row>
    <row r="106">
      <c r="A106" s="2" t="s">
        <v>718</v>
      </c>
      <c r="B106" s="2" t="s">
        <v>1210</v>
      </c>
      <c r="C106" s="2" t="s">
        <v>1555</v>
      </c>
      <c r="D106" s="14" t="s">
        <v>1636</v>
      </c>
    </row>
    <row r="107">
      <c r="A107" s="2" t="s">
        <v>718</v>
      </c>
      <c r="B107" s="2" t="s">
        <v>1210</v>
      </c>
      <c r="C107" s="2" t="s">
        <v>1570</v>
      </c>
      <c r="D107" s="14" t="s">
        <v>1638</v>
      </c>
    </row>
    <row r="108">
      <c r="A108" s="2" t="s">
        <v>718</v>
      </c>
      <c r="B108" s="2" t="s">
        <v>1210</v>
      </c>
      <c r="C108" s="2" t="s">
        <v>1560</v>
      </c>
      <c r="D108" s="14" t="s">
        <v>1641</v>
      </c>
    </row>
    <row r="109">
      <c r="A109" s="2" t="s">
        <v>718</v>
      </c>
      <c r="B109" s="2" t="s">
        <v>1210</v>
      </c>
      <c r="C109" s="2" t="s">
        <v>1587</v>
      </c>
      <c r="D109" s="14" t="s">
        <v>1644</v>
      </c>
    </row>
    <row r="110">
      <c r="A110" s="2" t="s">
        <v>718</v>
      </c>
      <c r="B110" s="2" t="s">
        <v>1210</v>
      </c>
      <c r="C110" s="2" t="s">
        <v>1368</v>
      </c>
      <c r="D110" s="14" t="s">
        <v>1647</v>
      </c>
    </row>
    <row r="111">
      <c r="A111" s="2" t="s">
        <v>718</v>
      </c>
      <c r="B111" s="2" t="s">
        <v>1210</v>
      </c>
      <c r="C111" s="2" t="s">
        <v>1286</v>
      </c>
      <c r="D111" s="14" t="s">
        <v>1650</v>
      </c>
    </row>
    <row r="112">
      <c r="A112" s="2" t="s">
        <v>718</v>
      </c>
      <c r="B112" s="2" t="s">
        <v>1210</v>
      </c>
      <c r="C112" s="2" t="s">
        <v>1402</v>
      </c>
      <c r="D112" s="14" t="s">
        <v>1653</v>
      </c>
    </row>
    <row r="113">
      <c r="A113" s="2" t="s">
        <v>718</v>
      </c>
      <c r="B113" s="2" t="s">
        <v>1210</v>
      </c>
      <c r="C113" s="2" t="s">
        <v>1392</v>
      </c>
      <c r="D113" s="14" t="s">
        <v>1656</v>
      </c>
    </row>
    <row r="114">
      <c r="A114" s="2" t="s">
        <v>718</v>
      </c>
      <c r="B114" s="2" t="s">
        <v>1210</v>
      </c>
      <c r="C114" s="2" t="s">
        <v>1380</v>
      </c>
      <c r="D114" s="14" t="s">
        <v>1660</v>
      </c>
    </row>
    <row r="115">
      <c r="A115" s="2" t="s">
        <v>718</v>
      </c>
      <c r="B115" s="2" t="s">
        <v>1664</v>
      </c>
      <c r="C115" s="2" t="s">
        <v>1666</v>
      </c>
      <c r="D115" s="14" t="s">
        <v>832</v>
      </c>
    </row>
    <row r="116">
      <c r="A116" s="2" t="s">
        <v>718</v>
      </c>
      <c r="B116" s="2" t="s">
        <v>1664</v>
      </c>
      <c r="C116" s="2" t="s">
        <v>1670</v>
      </c>
      <c r="D116" s="14" t="s">
        <v>1671</v>
      </c>
    </row>
    <row r="117">
      <c r="A117" s="2" t="s">
        <v>718</v>
      </c>
      <c r="B117" s="2" t="s">
        <v>1664</v>
      </c>
      <c r="C117" s="2" t="s">
        <v>1674</v>
      </c>
      <c r="D117" s="14" t="s">
        <v>1675</v>
      </c>
    </row>
    <row r="118">
      <c r="A118" s="2" t="s">
        <v>718</v>
      </c>
      <c r="B118" s="2" t="s">
        <v>1664</v>
      </c>
      <c r="C118" s="2" t="s">
        <v>1679</v>
      </c>
      <c r="D118" s="14" t="s">
        <v>1680</v>
      </c>
    </row>
    <row r="119">
      <c r="A119" s="2" t="s">
        <v>718</v>
      </c>
      <c r="B119" s="2" t="s">
        <v>1664</v>
      </c>
      <c r="C119" s="2" t="s">
        <v>1666</v>
      </c>
      <c r="D119" s="14" t="s">
        <v>1684</v>
      </c>
    </row>
    <row r="120">
      <c r="A120" s="2" t="s">
        <v>718</v>
      </c>
      <c r="B120" s="2" t="s">
        <v>1664</v>
      </c>
      <c r="C120" s="2" t="s">
        <v>1670</v>
      </c>
      <c r="D120" s="14" t="s">
        <v>912</v>
      </c>
    </row>
    <row r="121">
      <c r="A121" s="2" t="s">
        <v>718</v>
      </c>
      <c r="B121" s="2" t="s">
        <v>1664</v>
      </c>
      <c r="C121" s="2" t="s">
        <v>1674</v>
      </c>
      <c r="D121" s="14" t="s">
        <v>773</v>
      </c>
    </row>
    <row r="122">
      <c r="A122" s="2" t="s">
        <v>718</v>
      </c>
      <c r="B122" s="2" t="s">
        <v>1664</v>
      </c>
      <c r="C122" s="2" t="s">
        <v>1710</v>
      </c>
      <c r="D122" s="14" t="s">
        <v>1711</v>
      </c>
    </row>
    <row r="123">
      <c r="A123" s="2" t="s">
        <v>718</v>
      </c>
      <c r="B123" s="2" t="s">
        <v>1664</v>
      </c>
      <c r="C123" s="2" t="s">
        <v>1720</v>
      </c>
      <c r="D123" s="14" t="s">
        <v>1721</v>
      </c>
    </row>
    <row r="124">
      <c r="A124" s="2" t="s">
        <v>718</v>
      </c>
      <c r="B124" s="2" t="s">
        <v>1664</v>
      </c>
      <c r="C124" s="2" t="s">
        <v>1679</v>
      </c>
      <c r="D124" s="14" t="s">
        <v>950</v>
      </c>
    </row>
    <row r="125">
      <c r="A125" s="2" t="s">
        <v>718</v>
      </c>
      <c r="B125" s="2" t="s">
        <v>1664</v>
      </c>
      <c r="C125" s="2" t="s">
        <v>1725</v>
      </c>
      <c r="D125" s="14" t="s">
        <v>1726</v>
      </c>
    </row>
    <row r="126">
      <c r="A126" s="2" t="s">
        <v>718</v>
      </c>
      <c r="B126" s="2" t="s">
        <v>1664</v>
      </c>
      <c r="C126" s="2" t="s">
        <v>1728</v>
      </c>
      <c r="D126" s="14" t="s">
        <v>1729</v>
      </c>
    </row>
    <row r="127">
      <c r="A127" s="2" t="s">
        <v>718</v>
      </c>
      <c r="B127" s="2" t="s">
        <v>1664</v>
      </c>
      <c r="C127" s="2" t="s">
        <v>1730</v>
      </c>
      <c r="D127" s="14" t="s">
        <v>1731</v>
      </c>
    </row>
    <row r="128">
      <c r="A128" s="2" t="s">
        <v>718</v>
      </c>
      <c r="B128" s="2" t="s">
        <v>1664</v>
      </c>
      <c r="C128" s="2" t="s">
        <v>1732</v>
      </c>
      <c r="D128" s="14" t="s">
        <v>1733</v>
      </c>
    </row>
    <row r="129">
      <c r="A129" s="2" t="s">
        <v>718</v>
      </c>
      <c r="B129" s="2" t="s">
        <v>1664</v>
      </c>
      <c r="C129" s="2" t="s">
        <v>1710</v>
      </c>
      <c r="D129" s="14" t="s">
        <v>962</v>
      </c>
    </row>
    <row r="130">
      <c r="A130" s="2" t="s">
        <v>718</v>
      </c>
      <c r="B130" s="2" t="s">
        <v>1664</v>
      </c>
      <c r="C130" s="2" t="s">
        <v>1720</v>
      </c>
      <c r="D130" s="14" t="s">
        <v>1000</v>
      </c>
    </row>
    <row r="131">
      <c r="A131" s="2" t="s">
        <v>718</v>
      </c>
      <c r="B131" s="2" t="s">
        <v>1664</v>
      </c>
      <c r="C131" s="2" t="s">
        <v>1725</v>
      </c>
      <c r="D131" s="14" t="s">
        <v>978</v>
      </c>
    </row>
    <row r="132">
      <c r="A132" s="2" t="s">
        <v>718</v>
      </c>
      <c r="B132" s="2" t="s">
        <v>1664</v>
      </c>
      <c r="C132" s="2" t="s">
        <v>1728</v>
      </c>
      <c r="D132" s="14" t="s">
        <v>1018</v>
      </c>
    </row>
    <row r="133">
      <c r="A133" s="2" t="s">
        <v>718</v>
      </c>
      <c r="B133" s="2" t="s">
        <v>1664</v>
      </c>
      <c r="C133" s="2" t="s">
        <v>1734</v>
      </c>
      <c r="D133" s="14" t="s">
        <v>1735</v>
      </c>
    </row>
    <row r="134">
      <c r="A134" s="2" t="s">
        <v>718</v>
      </c>
      <c r="B134" s="2" t="s">
        <v>1664</v>
      </c>
      <c r="C134" s="2" t="s">
        <v>1736</v>
      </c>
      <c r="D134" s="14" t="s">
        <v>1737</v>
      </c>
    </row>
    <row r="135">
      <c r="A135" s="2" t="s">
        <v>718</v>
      </c>
      <c r="B135" s="2" t="s">
        <v>1664</v>
      </c>
      <c r="C135" s="2" t="s">
        <v>1732</v>
      </c>
      <c r="D135" s="14" t="s">
        <v>1072</v>
      </c>
    </row>
    <row r="136">
      <c r="A136" s="2" t="s">
        <v>718</v>
      </c>
      <c r="B136" s="2" t="s">
        <v>1664</v>
      </c>
      <c r="C136" s="2" t="s">
        <v>1730</v>
      </c>
      <c r="D136" s="14" t="s">
        <v>1041</v>
      </c>
    </row>
    <row r="137">
      <c r="A137" s="2" t="s">
        <v>718</v>
      </c>
      <c r="B137" s="2" t="s">
        <v>1664</v>
      </c>
      <c r="C137" s="2" t="s">
        <v>1734</v>
      </c>
      <c r="D137" s="14" t="s">
        <v>1059</v>
      </c>
    </row>
    <row r="138">
      <c r="A138" s="2" t="s">
        <v>718</v>
      </c>
      <c r="B138" s="2" t="s">
        <v>1664</v>
      </c>
      <c r="C138" s="2" t="s">
        <v>1736</v>
      </c>
      <c r="D138" s="14" t="s">
        <v>1095</v>
      </c>
    </row>
    <row r="139">
      <c r="A139" s="2" t="s">
        <v>718</v>
      </c>
      <c r="B139" s="2" t="s">
        <v>1738</v>
      </c>
      <c r="C139" s="2" t="s">
        <v>1739</v>
      </c>
      <c r="D139" s="14" t="s">
        <v>1169</v>
      </c>
    </row>
    <row r="140">
      <c r="A140" s="2" t="s">
        <v>718</v>
      </c>
      <c r="B140" s="2" t="s">
        <v>1738</v>
      </c>
      <c r="C140" s="2" t="s">
        <v>1740</v>
      </c>
      <c r="D140" s="14" t="s">
        <v>1134</v>
      </c>
    </row>
    <row r="141">
      <c r="A141" s="2" t="s">
        <v>718</v>
      </c>
      <c r="B141" s="2" t="s">
        <v>1738</v>
      </c>
      <c r="C141" s="2" t="s">
        <v>1741</v>
      </c>
      <c r="D141" s="14" t="s">
        <v>1182</v>
      </c>
    </row>
    <row r="142">
      <c r="A142" s="2" t="s">
        <v>718</v>
      </c>
      <c r="B142" s="2" t="s">
        <v>1738</v>
      </c>
      <c r="C142" s="2" t="s">
        <v>1742</v>
      </c>
      <c r="D142" s="14" t="s">
        <v>1194</v>
      </c>
    </row>
    <row r="143">
      <c r="A143" s="2" t="s">
        <v>718</v>
      </c>
      <c r="B143" s="2" t="s">
        <v>1738</v>
      </c>
      <c r="C143" s="2" t="s">
        <v>1743</v>
      </c>
      <c r="D143" s="14" t="s">
        <v>1220</v>
      </c>
    </row>
    <row r="144">
      <c r="A144" s="2" t="s">
        <v>718</v>
      </c>
      <c r="B144" s="2" t="s">
        <v>1738</v>
      </c>
      <c r="C144" s="2" t="s">
        <v>1744</v>
      </c>
      <c r="D144" s="14" t="s">
        <v>1206</v>
      </c>
    </row>
    <row r="145">
      <c r="A145" s="2" t="s">
        <v>718</v>
      </c>
      <c r="B145" s="2" t="s">
        <v>1738</v>
      </c>
      <c r="C145" s="2" t="s">
        <v>1745</v>
      </c>
      <c r="D145" s="14" t="s">
        <v>1232</v>
      </c>
    </row>
    <row r="146">
      <c r="A146" s="2" t="s">
        <v>718</v>
      </c>
      <c r="B146" s="2" t="s">
        <v>1738</v>
      </c>
      <c r="C146" s="2" t="s">
        <v>1746</v>
      </c>
      <c r="D146" s="14" t="s">
        <v>1276</v>
      </c>
    </row>
    <row r="147">
      <c r="A147" s="2" t="s">
        <v>718</v>
      </c>
      <c r="B147" s="2" t="s">
        <v>1738</v>
      </c>
      <c r="C147" s="2" t="s">
        <v>1747</v>
      </c>
      <c r="D147" s="14" t="s">
        <v>1259</v>
      </c>
    </row>
    <row r="148">
      <c r="A148" s="2" t="s">
        <v>718</v>
      </c>
      <c r="B148" s="2" t="s">
        <v>1738</v>
      </c>
      <c r="C148" s="2" t="s">
        <v>1748</v>
      </c>
      <c r="D148" s="14" t="s">
        <v>1290</v>
      </c>
    </row>
    <row r="149">
      <c r="A149" s="2" t="s">
        <v>718</v>
      </c>
      <c r="B149" s="2" t="s">
        <v>1738</v>
      </c>
      <c r="C149" s="2" t="s">
        <v>1740</v>
      </c>
      <c r="D149" s="14" t="s">
        <v>1750</v>
      </c>
    </row>
    <row r="150">
      <c r="A150" s="2" t="s">
        <v>718</v>
      </c>
      <c r="B150" s="2" t="s">
        <v>1738</v>
      </c>
      <c r="C150" s="2" t="s">
        <v>1739</v>
      </c>
      <c r="D150" s="14" t="s">
        <v>1751</v>
      </c>
    </row>
    <row r="151">
      <c r="A151" s="2" t="s">
        <v>718</v>
      </c>
      <c r="B151" s="2" t="s">
        <v>1738</v>
      </c>
      <c r="C151" s="2" t="s">
        <v>1741</v>
      </c>
      <c r="D151" s="14" t="s">
        <v>1753</v>
      </c>
    </row>
    <row r="152">
      <c r="A152" s="2" t="s">
        <v>718</v>
      </c>
      <c r="B152" s="2" t="s">
        <v>1738</v>
      </c>
      <c r="C152" s="2" t="s">
        <v>1742</v>
      </c>
      <c r="D152" s="14" t="s">
        <v>1754</v>
      </c>
    </row>
    <row r="153">
      <c r="A153" s="2" t="s">
        <v>718</v>
      </c>
      <c r="B153" s="2" t="s">
        <v>1738</v>
      </c>
      <c r="C153" s="2" t="s">
        <v>1744</v>
      </c>
      <c r="D153" s="14" t="s">
        <v>1756</v>
      </c>
    </row>
    <row r="154">
      <c r="A154" s="2" t="s">
        <v>718</v>
      </c>
      <c r="B154" s="2" t="s">
        <v>1738</v>
      </c>
      <c r="C154" s="2" t="s">
        <v>1743</v>
      </c>
      <c r="D154" s="14" t="s">
        <v>1757</v>
      </c>
    </row>
    <row r="155">
      <c r="A155" s="2" t="s">
        <v>718</v>
      </c>
      <c r="B155" s="2" t="s">
        <v>1738</v>
      </c>
      <c r="C155" s="2" t="s">
        <v>1745</v>
      </c>
      <c r="D155" s="14" t="s">
        <v>1759</v>
      </c>
    </row>
    <row r="156">
      <c r="A156" s="2" t="s">
        <v>718</v>
      </c>
      <c r="B156" s="2" t="s">
        <v>1738</v>
      </c>
      <c r="C156" s="2" t="s">
        <v>1746</v>
      </c>
      <c r="D156" s="14" t="s">
        <v>1761</v>
      </c>
    </row>
    <row r="157">
      <c r="A157" s="2" t="s">
        <v>718</v>
      </c>
      <c r="B157" s="2" t="s">
        <v>1738</v>
      </c>
      <c r="C157" s="2" t="s">
        <v>1747</v>
      </c>
      <c r="D157" s="14" t="s">
        <v>1763</v>
      </c>
    </row>
    <row r="158">
      <c r="A158" s="2" t="s">
        <v>718</v>
      </c>
      <c r="B158" s="2" t="s">
        <v>1738</v>
      </c>
      <c r="C158" s="2" t="s">
        <v>1748</v>
      </c>
      <c r="D158" s="14" t="s">
        <v>1765</v>
      </c>
    </row>
    <row r="159">
      <c r="A159" s="2" t="s">
        <v>718</v>
      </c>
      <c r="B159" s="2" t="s">
        <v>1738</v>
      </c>
      <c r="C159" s="2" t="s">
        <v>1767</v>
      </c>
      <c r="D159" s="14" t="s">
        <v>1768</v>
      </c>
    </row>
    <row r="160">
      <c r="A160" s="2" t="s">
        <v>718</v>
      </c>
      <c r="B160" s="2" t="s">
        <v>1738</v>
      </c>
      <c r="C160" s="2" t="s">
        <v>1772</v>
      </c>
      <c r="D160" s="14" t="s">
        <v>1773</v>
      </c>
    </row>
    <row r="161">
      <c r="A161" s="2" t="s">
        <v>718</v>
      </c>
      <c r="B161" s="2" t="s">
        <v>1738</v>
      </c>
      <c r="C161" s="2" t="s">
        <v>1774</v>
      </c>
      <c r="D161" s="14" t="s">
        <v>1775</v>
      </c>
    </row>
    <row r="162">
      <c r="A162" s="2" t="s">
        <v>718</v>
      </c>
      <c r="B162" s="2" t="s">
        <v>1738</v>
      </c>
      <c r="C162" s="2" t="s">
        <v>1778</v>
      </c>
      <c r="D162" s="14" t="s">
        <v>1779</v>
      </c>
    </row>
    <row r="163">
      <c r="A163" s="2" t="s">
        <v>718</v>
      </c>
      <c r="B163" s="2" t="s">
        <v>1738</v>
      </c>
      <c r="C163" s="2" t="s">
        <v>1772</v>
      </c>
      <c r="D163" s="14" t="s">
        <v>1318</v>
      </c>
    </row>
    <row r="164">
      <c r="A164" s="2" t="s">
        <v>718</v>
      </c>
      <c r="B164" s="2" t="s">
        <v>1738</v>
      </c>
      <c r="C164" s="2" t="s">
        <v>1767</v>
      </c>
      <c r="D164" s="14" t="s">
        <v>1313</v>
      </c>
    </row>
    <row r="165">
      <c r="A165" s="2" t="s">
        <v>718</v>
      </c>
      <c r="B165" s="2" t="s">
        <v>1738</v>
      </c>
      <c r="C165" s="2" t="s">
        <v>1774</v>
      </c>
      <c r="D165" s="14" t="s">
        <v>1306</v>
      </c>
    </row>
    <row r="166">
      <c r="A166" s="2" t="s">
        <v>718</v>
      </c>
      <c r="B166" s="2" t="s">
        <v>1738</v>
      </c>
      <c r="C166" s="2" t="s">
        <v>1778</v>
      </c>
      <c r="D166" s="14" t="s">
        <v>1296</v>
      </c>
    </row>
    <row r="167">
      <c r="A167" s="2" t="s">
        <v>718</v>
      </c>
      <c r="B167" s="2" t="s">
        <v>1738</v>
      </c>
      <c r="C167" s="2" t="s">
        <v>1786</v>
      </c>
      <c r="D167" s="14" t="s">
        <v>1787</v>
      </c>
    </row>
    <row r="168">
      <c r="A168" s="2" t="s">
        <v>718</v>
      </c>
      <c r="B168" s="2" t="s">
        <v>1738</v>
      </c>
      <c r="C168" s="2" t="s">
        <v>1786</v>
      </c>
      <c r="D168" s="14" t="s">
        <v>1326</v>
      </c>
    </row>
    <row r="169">
      <c r="A169" s="2" t="s">
        <v>718</v>
      </c>
      <c r="B169" s="2" t="s">
        <v>1738</v>
      </c>
      <c r="C169" s="2" t="s">
        <v>1792</v>
      </c>
      <c r="D169" s="14" t="s">
        <v>1793</v>
      </c>
    </row>
    <row r="170">
      <c r="A170" s="2" t="s">
        <v>718</v>
      </c>
      <c r="B170" s="2" t="s">
        <v>1738</v>
      </c>
      <c r="C170" s="2" t="s">
        <v>1796</v>
      </c>
      <c r="D170" s="14" t="s">
        <v>1797</v>
      </c>
    </row>
    <row r="171">
      <c r="A171" s="2" t="s">
        <v>718</v>
      </c>
      <c r="B171" s="2" t="s">
        <v>1738</v>
      </c>
      <c r="C171" s="2" t="s">
        <v>1792</v>
      </c>
      <c r="D171" s="14" t="s">
        <v>1341</v>
      </c>
    </row>
    <row r="172">
      <c r="A172" s="2" t="s">
        <v>718</v>
      </c>
      <c r="B172" s="2" t="s">
        <v>1738</v>
      </c>
      <c r="C172" s="2" t="s">
        <v>1802</v>
      </c>
      <c r="D172" s="14" t="s">
        <v>1803</v>
      </c>
    </row>
    <row r="173">
      <c r="A173" s="2" t="s">
        <v>718</v>
      </c>
      <c r="B173" s="2" t="s">
        <v>1738</v>
      </c>
      <c r="C173" s="2" t="s">
        <v>1796</v>
      </c>
      <c r="D173" s="14" t="s">
        <v>1355</v>
      </c>
    </row>
    <row r="174">
      <c r="A174" s="2" t="s">
        <v>718</v>
      </c>
      <c r="B174" s="2" t="s">
        <v>1738</v>
      </c>
      <c r="C174" s="2" t="s">
        <v>1802</v>
      </c>
      <c r="D174" s="14" t="s">
        <v>1372</v>
      </c>
    </row>
    <row r="175">
      <c r="A175" s="2" t="s">
        <v>718</v>
      </c>
      <c r="B175" s="2" t="s">
        <v>1808</v>
      </c>
      <c r="C175" s="2" t="s">
        <v>1809</v>
      </c>
      <c r="D175" s="14" t="s">
        <v>1419</v>
      </c>
    </row>
    <row r="176">
      <c r="A176" s="2" t="s">
        <v>718</v>
      </c>
      <c r="B176" s="2" t="s">
        <v>1808</v>
      </c>
      <c r="C176" s="2" t="s">
        <v>1812</v>
      </c>
      <c r="D176" s="14" t="s">
        <v>1444</v>
      </c>
    </row>
    <row r="177">
      <c r="A177" s="2" t="s">
        <v>718</v>
      </c>
      <c r="B177" s="2" t="s">
        <v>1808</v>
      </c>
      <c r="C177" s="2" t="s">
        <v>1815</v>
      </c>
      <c r="D177" s="14" t="s">
        <v>1394</v>
      </c>
    </row>
    <row r="178">
      <c r="A178" s="2" t="s">
        <v>718</v>
      </c>
      <c r="B178" s="2" t="s">
        <v>1808</v>
      </c>
      <c r="C178" s="2" t="s">
        <v>1820</v>
      </c>
      <c r="D178" s="14" t="s">
        <v>1471</v>
      </c>
    </row>
    <row r="179">
      <c r="A179" s="2" t="s">
        <v>718</v>
      </c>
      <c r="B179" s="2" t="s">
        <v>1808</v>
      </c>
      <c r="C179" s="2" t="s">
        <v>1823</v>
      </c>
      <c r="D179" s="14" t="s">
        <v>1480</v>
      </c>
    </row>
    <row r="180">
      <c r="A180" s="2" t="s">
        <v>718</v>
      </c>
      <c r="B180" s="2" t="s">
        <v>1808</v>
      </c>
      <c r="C180" s="2" t="s">
        <v>1828</v>
      </c>
      <c r="D180" s="14" t="s">
        <v>1495</v>
      </c>
    </row>
    <row r="181">
      <c r="A181" s="2" t="s">
        <v>718</v>
      </c>
      <c r="B181" s="2" t="s">
        <v>1808</v>
      </c>
      <c r="C181" s="2" t="s">
        <v>1831</v>
      </c>
      <c r="D181" s="14" t="s">
        <v>1517</v>
      </c>
    </row>
    <row r="182">
      <c r="A182" s="2" t="s">
        <v>718</v>
      </c>
      <c r="B182" s="2" t="s">
        <v>1808</v>
      </c>
      <c r="C182" s="2" t="s">
        <v>1834</v>
      </c>
      <c r="D182" s="14" t="s">
        <v>1535</v>
      </c>
    </row>
    <row r="183">
      <c r="A183" s="2" t="s">
        <v>718</v>
      </c>
      <c r="B183" s="2" t="s">
        <v>1808</v>
      </c>
      <c r="C183" s="2" t="s">
        <v>1839</v>
      </c>
      <c r="D183" s="14" t="s">
        <v>1529</v>
      </c>
    </row>
    <row r="184">
      <c r="A184" s="2" t="s">
        <v>718</v>
      </c>
      <c r="B184" s="2" t="s">
        <v>1808</v>
      </c>
      <c r="C184" s="2" t="s">
        <v>1842</v>
      </c>
      <c r="D184" s="14" t="s">
        <v>1541</v>
      </c>
    </row>
    <row r="185">
      <c r="A185" s="2" t="s">
        <v>718</v>
      </c>
      <c r="B185" s="2" t="s">
        <v>1808</v>
      </c>
      <c r="C185" s="2" t="s">
        <v>1845</v>
      </c>
      <c r="D185" s="14" t="s">
        <v>1548</v>
      </c>
    </row>
    <row r="186">
      <c r="A186" s="2" t="s">
        <v>718</v>
      </c>
      <c r="B186" s="2" t="s">
        <v>1808</v>
      </c>
      <c r="C186" s="2" t="s">
        <v>1848</v>
      </c>
      <c r="D186" s="14" t="s">
        <v>1569</v>
      </c>
    </row>
    <row r="187">
      <c r="A187" s="2" t="s">
        <v>718</v>
      </c>
      <c r="B187" s="2" t="s">
        <v>1808</v>
      </c>
      <c r="C187" s="2" t="s">
        <v>1852</v>
      </c>
      <c r="D187" s="14" t="s">
        <v>1553</v>
      </c>
    </row>
    <row r="188">
      <c r="A188" s="2" t="s">
        <v>718</v>
      </c>
      <c r="B188" s="2" t="s">
        <v>1808</v>
      </c>
      <c r="C188" s="2" t="s">
        <v>1815</v>
      </c>
      <c r="D188" s="14" t="s">
        <v>1856</v>
      </c>
    </row>
    <row r="189">
      <c r="A189" s="2" t="s">
        <v>718</v>
      </c>
      <c r="B189" s="2" t="s">
        <v>1808</v>
      </c>
      <c r="C189" s="2" t="s">
        <v>1809</v>
      </c>
      <c r="D189" s="14" t="s">
        <v>1863</v>
      </c>
    </row>
    <row r="190">
      <c r="A190" s="2" t="s">
        <v>718</v>
      </c>
      <c r="B190" s="2" t="s">
        <v>1808</v>
      </c>
      <c r="C190" s="2" t="s">
        <v>1812</v>
      </c>
      <c r="D190" s="14" t="s">
        <v>1867</v>
      </c>
    </row>
    <row r="191">
      <c r="A191" s="2" t="s">
        <v>718</v>
      </c>
      <c r="B191" s="2" t="s">
        <v>1808</v>
      </c>
      <c r="C191" s="2" t="s">
        <v>1820</v>
      </c>
      <c r="D191" s="14" t="s">
        <v>1872</v>
      </c>
    </row>
    <row r="192">
      <c r="A192" s="2" t="s">
        <v>718</v>
      </c>
      <c r="B192" s="2" t="s">
        <v>1808</v>
      </c>
      <c r="C192" s="2" t="s">
        <v>1823</v>
      </c>
      <c r="D192" s="14" t="s">
        <v>1878</v>
      </c>
    </row>
    <row r="193">
      <c r="A193" s="2" t="s">
        <v>718</v>
      </c>
      <c r="B193" s="2" t="s">
        <v>1808</v>
      </c>
      <c r="C193" s="2" t="s">
        <v>1828</v>
      </c>
      <c r="D193" s="14" t="s">
        <v>1881</v>
      </c>
    </row>
    <row r="194">
      <c r="A194" s="2" t="s">
        <v>718</v>
      </c>
      <c r="B194" s="2" t="s">
        <v>1808</v>
      </c>
      <c r="C194" s="2" t="s">
        <v>1839</v>
      </c>
      <c r="D194" s="14" t="s">
        <v>1888</v>
      </c>
    </row>
    <row r="195">
      <c r="A195" s="2" t="s">
        <v>718</v>
      </c>
      <c r="B195" s="2" t="s">
        <v>1808</v>
      </c>
      <c r="C195" s="2" t="s">
        <v>1831</v>
      </c>
      <c r="D195" s="14" t="s">
        <v>1895</v>
      </c>
    </row>
    <row r="196">
      <c r="A196" s="2" t="s">
        <v>718</v>
      </c>
      <c r="B196" s="2" t="s">
        <v>1808</v>
      </c>
      <c r="C196" s="2" t="s">
        <v>1834</v>
      </c>
      <c r="D196" s="14" t="s">
        <v>1899</v>
      </c>
    </row>
    <row r="197">
      <c r="A197" s="2" t="s">
        <v>718</v>
      </c>
      <c r="B197" s="2" t="s">
        <v>1808</v>
      </c>
      <c r="C197" s="2" t="s">
        <v>1842</v>
      </c>
      <c r="D197" s="14" t="s">
        <v>1902</v>
      </c>
    </row>
    <row r="198">
      <c r="A198" s="2" t="s">
        <v>718</v>
      </c>
      <c r="B198" s="2" t="s">
        <v>1808</v>
      </c>
      <c r="C198" s="2" t="s">
        <v>1845</v>
      </c>
      <c r="D198" s="14" t="s">
        <v>1906</v>
      </c>
    </row>
    <row r="199">
      <c r="A199" s="2" t="s">
        <v>718</v>
      </c>
      <c r="B199" s="2" t="s">
        <v>1808</v>
      </c>
      <c r="C199" s="2" t="s">
        <v>1848</v>
      </c>
      <c r="D199" s="14" t="s">
        <v>1909</v>
      </c>
    </row>
    <row r="200">
      <c r="A200" s="2" t="s">
        <v>718</v>
      </c>
      <c r="B200" s="2" t="s">
        <v>1808</v>
      </c>
      <c r="C200" s="2" t="s">
        <v>1912</v>
      </c>
      <c r="D200" s="14" t="s">
        <v>1913</v>
      </c>
    </row>
    <row r="201">
      <c r="A201" s="2" t="s">
        <v>718</v>
      </c>
      <c r="B201" s="2" t="s">
        <v>1808</v>
      </c>
      <c r="C201" s="2" t="s">
        <v>1852</v>
      </c>
      <c r="D201" s="14" t="s">
        <v>1921</v>
      </c>
    </row>
    <row r="202">
      <c r="A202" s="2" t="s">
        <v>718</v>
      </c>
      <c r="B202" s="2" t="s">
        <v>1808</v>
      </c>
      <c r="C202" s="2" t="s">
        <v>1929</v>
      </c>
      <c r="D202" s="14" t="s">
        <v>1931</v>
      </c>
    </row>
    <row r="203">
      <c r="A203" s="2" t="s">
        <v>718</v>
      </c>
      <c r="B203" s="2" t="s">
        <v>1808</v>
      </c>
      <c r="C203" s="2" t="s">
        <v>1912</v>
      </c>
      <c r="D203" s="14" t="s">
        <v>1559</v>
      </c>
    </row>
    <row r="204">
      <c r="A204" s="2" t="s">
        <v>718</v>
      </c>
      <c r="B204" s="2" t="s">
        <v>1808</v>
      </c>
      <c r="C204" s="2" t="s">
        <v>1929</v>
      </c>
      <c r="D204" s="14" t="s">
        <v>1575</v>
      </c>
    </row>
    <row r="205">
      <c r="A205" s="2" t="s">
        <v>718</v>
      </c>
      <c r="B205" s="2" t="s">
        <v>1808</v>
      </c>
      <c r="C205" s="2" t="s">
        <v>1954</v>
      </c>
      <c r="D205" s="14" t="s">
        <v>1955</v>
      </c>
    </row>
    <row r="206">
      <c r="A206" s="2" t="s">
        <v>718</v>
      </c>
      <c r="B206" s="2" t="s">
        <v>1808</v>
      </c>
      <c r="C206" s="2" t="s">
        <v>1964</v>
      </c>
      <c r="D206" s="14" t="s">
        <v>1965</v>
      </c>
    </row>
    <row r="207">
      <c r="A207" s="2" t="s">
        <v>718</v>
      </c>
      <c r="B207" s="2" t="s">
        <v>1808</v>
      </c>
      <c r="C207" s="2" t="s">
        <v>1973</v>
      </c>
      <c r="D207" s="14" t="s">
        <v>1975</v>
      </c>
    </row>
    <row r="208">
      <c r="A208" s="2" t="s">
        <v>718</v>
      </c>
      <c r="B208" s="2" t="s">
        <v>1808</v>
      </c>
      <c r="C208" s="2" t="s">
        <v>1954</v>
      </c>
      <c r="D208" s="14" t="s">
        <v>1594</v>
      </c>
    </row>
    <row r="209">
      <c r="A209" s="2" t="s">
        <v>718</v>
      </c>
      <c r="B209" s="2" t="s">
        <v>1808</v>
      </c>
      <c r="C209" s="2" t="s">
        <v>1993</v>
      </c>
      <c r="D209" s="14" t="s">
        <v>1994</v>
      </c>
    </row>
    <row r="210">
      <c r="A210" s="2" t="s">
        <v>718</v>
      </c>
      <c r="B210" s="2" t="s">
        <v>1808</v>
      </c>
      <c r="C210" s="2" t="s">
        <v>1964</v>
      </c>
      <c r="D210" s="14" t="s">
        <v>1598</v>
      </c>
    </row>
    <row r="211">
      <c r="A211" s="2" t="s">
        <v>718</v>
      </c>
      <c r="B211" s="2" t="s">
        <v>1808</v>
      </c>
      <c r="C211" s="2" t="s">
        <v>1973</v>
      </c>
      <c r="D211" s="14" t="s">
        <v>1584</v>
      </c>
    </row>
    <row r="212">
      <c r="A212" s="2" t="s">
        <v>718</v>
      </c>
      <c r="B212" s="2" t="s">
        <v>1808</v>
      </c>
      <c r="C212" s="2" t="s">
        <v>2008</v>
      </c>
      <c r="D212" s="14" t="s">
        <v>2009</v>
      </c>
    </row>
    <row r="213">
      <c r="A213" s="2" t="s">
        <v>718</v>
      </c>
      <c r="B213" s="2" t="s">
        <v>1808</v>
      </c>
      <c r="C213" s="2" t="s">
        <v>1993</v>
      </c>
      <c r="D213" s="14" t="s">
        <v>1579</v>
      </c>
    </row>
    <row r="214">
      <c r="A214" s="2" t="s">
        <v>718</v>
      </c>
      <c r="B214" s="2" t="s">
        <v>1808</v>
      </c>
      <c r="C214" s="2" t="s">
        <v>2017</v>
      </c>
      <c r="D214" s="14" t="s">
        <v>2018</v>
      </c>
    </row>
    <row r="215">
      <c r="A215" s="2" t="s">
        <v>718</v>
      </c>
      <c r="B215" s="2" t="s">
        <v>1808</v>
      </c>
      <c r="C215" s="2" t="s">
        <v>2008</v>
      </c>
      <c r="D215" s="14" t="s">
        <v>1602</v>
      </c>
    </row>
    <row r="216">
      <c r="A216" s="2" t="s">
        <v>718</v>
      </c>
      <c r="B216" s="2" t="s">
        <v>1808</v>
      </c>
      <c r="C216" s="2" t="s">
        <v>2026</v>
      </c>
      <c r="D216" s="14" t="s">
        <v>2027</v>
      </c>
    </row>
    <row r="217">
      <c r="A217" s="2" t="s">
        <v>718</v>
      </c>
      <c r="B217" s="2" t="s">
        <v>1808</v>
      </c>
      <c r="C217" s="2" t="s">
        <v>2031</v>
      </c>
      <c r="D217" s="14" t="s">
        <v>2032</v>
      </c>
    </row>
    <row r="218">
      <c r="A218" s="2" t="s">
        <v>718</v>
      </c>
      <c r="B218" s="2" t="s">
        <v>1808</v>
      </c>
      <c r="C218" s="2" t="s">
        <v>2035</v>
      </c>
      <c r="D218" s="14" t="s">
        <v>2036</v>
      </c>
    </row>
    <row r="219">
      <c r="A219" s="2" t="s">
        <v>718</v>
      </c>
      <c r="B219" s="2" t="s">
        <v>1808</v>
      </c>
      <c r="C219" s="2" t="s">
        <v>2017</v>
      </c>
      <c r="D219" s="14" t="s">
        <v>1589</v>
      </c>
    </row>
    <row r="220">
      <c r="A220" s="2" t="s">
        <v>718</v>
      </c>
      <c r="B220" s="2" t="s">
        <v>1808</v>
      </c>
      <c r="C220" s="2" t="s">
        <v>2031</v>
      </c>
      <c r="D220" s="14" t="s">
        <v>1607</v>
      </c>
    </row>
    <row r="221">
      <c r="A221" s="2" t="s">
        <v>718</v>
      </c>
      <c r="B221" s="2" t="s">
        <v>1808</v>
      </c>
      <c r="C221" s="2" t="s">
        <v>2026</v>
      </c>
      <c r="D221" s="14" t="s">
        <v>1605</v>
      </c>
    </row>
    <row r="222">
      <c r="A222" s="2" t="s">
        <v>718</v>
      </c>
      <c r="B222" s="2" t="s">
        <v>1808</v>
      </c>
      <c r="C222" s="2" t="s">
        <v>2035</v>
      </c>
      <c r="D222" s="14" t="s">
        <v>1611</v>
      </c>
    </row>
    <row r="223">
      <c r="A223" s="2" t="s">
        <v>718</v>
      </c>
      <c r="B223" s="2" t="s">
        <v>2055</v>
      </c>
      <c r="C223" s="2" t="s">
        <v>416</v>
      </c>
      <c r="D223" s="14" t="s">
        <v>473</v>
      </c>
    </row>
    <row r="224">
      <c r="A224" s="2" t="s">
        <v>718</v>
      </c>
      <c r="B224" s="2" t="s">
        <v>2055</v>
      </c>
      <c r="C224" s="2" t="s">
        <v>2059</v>
      </c>
      <c r="D224" s="14" t="s">
        <v>2060</v>
      </c>
    </row>
    <row r="225">
      <c r="A225" s="2" t="s">
        <v>718</v>
      </c>
      <c r="B225" s="2" t="s">
        <v>2055</v>
      </c>
      <c r="C225" s="2" t="s">
        <v>2065</v>
      </c>
      <c r="D225" s="14" t="s">
        <v>2066</v>
      </c>
    </row>
    <row r="226">
      <c r="A226" s="2" t="s">
        <v>718</v>
      </c>
      <c r="B226" s="2" t="s">
        <v>2055</v>
      </c>
      <c r="C226" s="2" t="s">
        <v>2070</v>
      </c>
      <c r="D226" s="14" t="s">
        <v>2071</v>
      </c>
    </row>
    <row r="227">
      <c r="A227" s="2" t="s">
        <v>718</v>
      </c>
      <c r="B227" s="2" t="s">
        <v>2055</v>
      </c>
      <c r="C227" s="2" t="s">
        <v>2075</v>
      </c>
      <c r="D227" s="14" t="s">
        <v>2076</v>
      </c>
    </row>
    <row r="228">
      <c r="A228" s="2" t="s">
        <v>718</v>
      </c>
      <c r="B228" s="2" t="s">
        <v>2055</v>
      </c>
      <c r="C228" s="2" t="s">
        <v>416</v>
      </c>
      <c r="D228" s="14" t="s">
        <v>2081</v>
      </c>
    </row>
    <row r="229">
      <c r="A229" s="2" t="s">
        <v>718</v>
      </c>
      <c r="B229" s="2" t="s">
        <v>2055</v>
      </c>
      <c r="C229" s="2" t="s">
        <v>420</v>
      </c>
      <c r="D229" s="14" t="s">
        <v>487</v>
      </c>
    </row>
    <row r="230">
      <c r="A230" s="2" t="s">
        <v>718</v>
      </c>
      <c r="B230" s="2" t="s">
        <v>2055</v>
      </c>
      <c r="C230" s="2" t="s">
        <v>410</v>
      </c>
      <c r="D230" s="14" t="s">
        <v>480</v>
      </c>
    </row>
    <row r="231">
      <c r="A231" s="2" t="s">
        <v>718</v>
      </c>
      <c r="B231" s="2" t="s">
        <v>2055</v>
      </c>
      <c r="C231" s="2" t="s">
        <v>421</v>
      </c>
      <c r="D231" s="14" t="s">
        <v>495</v>
      </c>
    </row>
    <row r="232">
      <c r="A232" s="2" t="s">
        <v>718</v>
      </c>
      <c r="B232" s="2" t="s">
        <v>2055</v>
      </c>
      <c r="C232" s="2" t="s">
        <v>2095</v>
      </c>
      <c r="D232" s="14" t="s">
        <v>2098</v>
      </c>
    </row>
    <row r="233">
      <c r="A233" s="2" t="s">
        <v>718</v>
      </c>
      <c r="B233" s="2" t="s">
        <v>2055</v>
      </c>
      <c r="C233" s="2" t="s">
        <v>2101</v>
      </c>
      <c r="D233" s="14" t="s">
        <v>2102</v>
      </c>
    </row>
    <row r="234">
      <c r="A234" s="2" t="s">
        <v>718</v>
      </c>
      <c r="B234" s="2" t="s">
        <v>2055</v>
      </c>
      <c r="C234" s="2" t="s">
        <v>2104</v>
      </c>
      <c r="D234" s="14" t="s">
        <v>2106</v>
      </c>
    </row>
    <row r="235">
      <c r="A235" s="2" t="s">
        <v>718</v>
      </c>
      <c r="B235" s="2" t="s">
        <v>2055</v>
      </c>
      <c r="C235" s="2" t="s">
        <v>2109</v>
      </c>
      <c r="D235" s="14" t="s">
        <v>2110</v>
      </c>
    </row>
    <row r="236">
      <c r="A236" s="2" t="s">
        <v>718</v>
      </c>
      <c r="B236" s="2" t="s">
        <v>2055</v>
      </c>
      <c r="C236" s="2" t="s">
        <v>425</v>
      </c>
      <c r="D236" s="14" t="s">
        <v>2115</v>
      </c>
    </row>
    <row r="237">
      <c r="A237" s="2" t="s">
        <v>718</v>
      </c>
      <c r="B237" s="2" t="s">
        <v>2055</v>
      </c>
      <c r="C237" s="2" t="s">
        <v>424</v>
      </c>
      <c r="D237" s="14" t="s">
        <v>2120</v>
      </c>
    </row>
    <row r="238">
      <c r="A238" s="2" t="s">
        <v>718</v>
      </c>
      <c r="B238" s="2" t="s">
        <v>2055</v>
      </c>
      <c r="C238" s="2" t="s">
        <v>427</v>
      </c>
      <c r="D238" s="14" t="s">
        <v>2125</v>
      </c>
    </row>
    <row r="239">
      <c r="A239" s="2" t="s">
        <v>718</v>
      </c>
      <c r="B239" s="2" t="s">
        <v>2055</v>
      </c>
      <c r="C239" s="2" t="s">
        <v>429</v>
      </c>
      <c r="D239" s="14" t="s">
        <v>2136</v>
      </c>
    </row>
    <row r="240">
      <c r="A240" s="2" t="s">
        <v>718</v>
      </c>
      <c r="B240" s="2" t="s">
        <v>2055</v>
      </c>
      <c r="C240" s="2" t="s">
        <v>421</v>
      </c>
      <c r="D240" s="14" t="s">
        <v>2144</v>
      </c>
    </row>
    <row r="241">
      <c r="A241" s="2" t="s">
        <v>718</v>
      </c>
      <c r="B241" s="2" t="s">
        <v>2055</v>
      </c>
      <c r="C241" s="2" t="s">
        <v>420</v>
      </c>
      <c r="D241" s="14" t="s">
        <v>2148</v>
      </c>
    </row>
    <row r="242">
      <c r="A242" s="2" t="s">
        <v>718</v>
      </c>
      <c r="B242" s="2" t="s">
        <v>2055</v>
      </c>
      <c r="C242" s="2" t="s">
        <v>410</v>
      </c>
      <c r="D242" s="14" t="s">
        <v>2152</v>
      </c>
    </row>
    <row r="243">
      <c r="A243" s="2" t="s">
        <v>718</v>
      </c>
      <c r="B243" s="2" t="s">
        <v>2055</v>
      </c>
      <c r="C243" s="2" t="s">
        <v>429</v>
      </c>
      <c r="D243" s="14" t="s">
        <v>2157</v>
      </c>
    </row>
    <row r="244">
      <c r="A244" s="2" t="s">
        <v>718</v>
      </c>
      <c r="B244" s="2" t="s">
        <v>2055</v>
      </c>
      <c r="C244" s="2" t="s">
        <v>424</v>
      </c>
      <c r="D244" s="14" t="s">
        <v>2161</v>
      </c>
    </row>
    <row r="245">
      <c r="A245" s="2" t="s">
        <v>718</v>
      </c>
      <c r="B245" s="2" t="s">
        <v>2055</v>
      </c>
      <c r="C245" s="2" t="s">
        <v>427</v>
      </c>
      <c r="D245" s="14" t="s">
        <v>2165</v>
      </c>
    </row>
    <row r="246">
      <c r="A246" s="2" t="s">
        <v>718</v>
      </c>
      <c r="B246" s="2" t="s">
        <v>2055</v>
      </c>
      <c r="C246" s="2" t="s">
        <v>425</v>
      </c>
      <c r="D246" s="14" t="s">
        <v>2170</v>
      </c>
    </row>
    <row r="247">
      <c r="A247" s="2" t="s">
        <v>718</v>
      </c>
      <c r="B247" s="2" t="s">
        <v>2055</v>
      </c>
      <c r="C247" s="2" t="s">
        <v>2174</v>
      </c>
      <c r="D247" s="14" t="s">
        <v>2175</v>
      </c>
    </row>
    <row r="248">
      <c r="A248" s="2" t="s">
        <v>718</v>
      </c>
      <c r="B248" s="2" t="s">
        <v>2055</v>
      </c>
      <c r="C248" s="2" t="s">
        <v>2179</v>
      </c>
      <c r="D248" s="14" t="s">
        <v>2180</v>
      </c>
    </row>
    <row r="249">
      <c r="A249" s="2" t="s">
        <v>718</v>
      </c>
      <c r="B249" s="2" t="s">
        <v>2055</v>
      </c>
      <c r="C249" s="2" t="s">
        <v>2185</v>
      </c>
      <c r="D249" s="14" t="s">
        <v>2186</v>
      </c>
    </row>
    <row r="250">
      <c r="A250" s="2" t="s">
        <v>718</v>
      </c>
      <c r="B250" s="2" t="s">
        <v>2055</v>
      </c>
      <c r="C250" s="2" t="s">
        <v>2190</v>
      </c>
      <c r="D250" s="14" t="s">
        <v>2191</v>
      </c>
    </row>
    <row r="251">
      <c r="A251" s="2" t="s">
        <v>718</v>
      </c>
      <c r="B251" s="2" t="s">
        <v>2055</v>
      </c>
      <c r="C251" s="2" t="s">
        <v>2196</v>
      </c>
      <c r="D251" s="14" t="s">
        <v>2197</v>
      </c>
    </row>
    <row r="252">
      <c r="A252" s="2" t="s">
        <v>718</v>
      </c>
      <c r="B252" s="2" t="s">
        <v>2055</v>
      </c>
      <c r="C252" s="2" t="s">
        <v>2203</v>
      </c>
      <c r="D252" s="14" t="s">
        <v>2205</v>
      </c>
    </row>
    <row r="253">
      <c r="A253" s="2" t="s">
        <v>718</v>
      </c>
      <c r="B253" s="2" t="s">
        <v>2055</v>
      </c>
      <c r="C253" s="2" t="s">
        <v>2209</v>
      </c>
      <c r="D253" s="14" t="s">
        <v>2210</v>
      </c>
    </row>
    <row r="254">
      <c r="A254" s="2" t="s">
        <v>718</v>
      </c>
      <c r="B254" s="2" t="s">
        <v>2055</v>
      </c>
      <c r="C254" s="2" t="s">
        <v>2214</v>
      </c>
      <c r="D254" s="14" t="s">
        <v>2215</v>
      </c>
    </row>
    <row r="255">
      <c r="A255" s="2" t="s">
        <v>718</v>
      </c>
      <c r="B255" s="2" t="s">
        <v>2055</v>
      </c>
      <c r="C255" s="2" t="s">
        <v>2179</v>
      </c>
      <c r="D255" s="14" t="s">
        <v>2220</v>
      </c>
    </row>
    <row r="256">
      <c r="A256" s="2" t="s">
        <v>718</v>
      </c>
      <c r="B256" s="2" t="s">
        <v>2055</v>
      </c>
      <c r="C256" s="2" t="s">
        <v>2185</v>
      </c>
      <c r="D256" s="14" t="s">
        <v>2224</v>
      </c>
    </row>
    <row r="257">
      <c r="A257" s="2" t="s">
        <v>718</v>
      </c>
      <c r="B257" s="2" t="s">
        <v>2055</v>
      </c>
      <c r="C257" s="2" t="s">
        <v>2190</v>
      </c>
      <c r="D257" s="14" t="s">
        <v>2229</v>
      </c>
    </row>
    <row r="258">
      <c r="A258" s="2" t="s">
        <v>718</v>
      </c>
      <c r="B258" s="2" t="s">
        <v>2055</v>
      </c>
      <c r="C258" s="2" t="s">
        <v>2174</v>
      </c>
      <c r="D258" s="14" t="s">
        <v>2233</v>
      </c>
    </row>
    <row r="259">
      <c r="A259" s="2" t="s">
        <v>718</v>
      </c>
      <c r="B259" s="2" t="s">
        <v>2237</v>
      </c>
      <c r="C259" s="2" t="s">
        <v>396</v>
      </c>
      <c r="D259" s="14" t="s">
        <v>2238</v>
      </c>
    </row>
    <row r="260">
      <c r="A260" s="2" t="s">
        <v>718</v>
      </c>
      <c r="B260" s="2" t="s">
        <v>2237</v>
      </c>
      <c r="C260" s="2" t="s">
        <v>403</v>
      </c>
      <c r="D260" s="14" t="s">
        <v>2243</v>
      </c>
    </row>
    <row r="261">
      <c r="A261" s="2" t="s">
        <v>718</v>
      </c>
      <c r="B261" s="2" t="s">
        <v>2237</v>
      </c>
      <c r="C261" s="2" t="s">
        <v>2247</v>
      </c>
      <c r="D261" s="14" t="s">
        <v>2249</v>
      </c>
    </row>
    <row r="262">
      <c r="A262" s="2" t="s">
        <v>718</v>
      </c>
      <c r="B262" s="2" t="s">
        <v>2237</v>
      </c>
      <c r="C262" s="2" t="s">
        <v>2252</v>
      </c>
      <c r="D262" s="14" t="s">
        <v>2253</v>
      </c>
    </row>
    <row r="263">
      <c r="A263" s="2" t="s">
        <v>718</v>
      </c>
      <c r="B263" s="2" t="s">
        <v>2237</v>
      </c>
      <c r="C263" s="2" t="s">
        <v>2255</v>
      </c>
      <c r="D263" s="14" t="s">
        <v>2256</v>
      </c>
    </row>
    <row r="264">
      <c r="A264" s="2" t="s">
        <v>718</v>
      </c>
      <c r="B264" s="2" t="s">
        <v>2237</v>
      </c>
      <c r="C264" s="2" t="s">
        <v>2261</v>
      </c>
      <c r="D264" s="14" t="s">
        <v>2262</v>
      </c>
    </row>
    <row r="265">
      <c r="A265" s="2" t="s">
        <v>718</v>
      </c>
      <c r="B265" s="2" t="s">
        <v>2237</v>
      </c>
      <c r="C265" s="2" t="s">
        <v>2267</v>
      </c>
      <c r="D265" s="14" t="s">
        <v>2268</v>
      </c>
    </row>
    <row r="266">
      <c r="A266" s="2" t="s">
        <v>718</v>
      </c>
      <c r="B266" s="2" t="s">
        <v>2237</v>
      </c>
      <c r="C266" s="2" t="s">
        <v>2271</v>
      </c>
      <c r="D266" s="14" t="s">
        <v>2272</v>
      </c>
    </row>
    <row r="267">
      <c r="A267" s="2" t="s">
        <v>718</v>
      </c>
      <c r="B267" s="2" t="s">
        <v>2237</v>
      </c>
      <c r="C267" s="2" t="s">
        <v>2276</v>
      </c>
      <c r="D267" s="14" t="s">
        <v>2277</v>
      </c>
    </row>
    <row r="268">
      <c r="A268" s="2" t="s">
        <v>718</v>
      </c>
      <c r="B268" s="2" t="s">
        <v>2237</v>
      </c>
      <c r="C268" s="2" t="s">
        <v>2281</v>
      </c>
      <c r="D268" s="14" t="s">
        <v>2282</v>
      </c>
    </row>
    <row r="269">
      <c r="A269" s="2" t="s">
        <v>718</v>
      </c>
      <c r="B269" s="2" t="s">
        <v>2237</v>
      </c>
      <c r="C269" s="2" t="s">
        <v>376</v>
      </c>
      <c r="D269" s="14" t="s">
        <v>2288</v>
      </c>
    </row>
    <row r="270">
      <c r="A270" s="2" t="s">
        <v>718</v>
      </c>
      <c r="B270" s="2" t="s">
        <v>2237</v>
      </c>
      <c r="C270" s="2" t="s">
        <v>386</v>
      </c>
      <c r="D270" s="14" t="s">
        <v>2298</v>
      </c>
    </row>
    <row r="271">
      <c r="A271" s="2" t="s">
        <v>718</v>
      </c>
      <c r="B271" s="2" t="s">
        <v>2237</v>
      </c>
      <c r="C271" s="2" t="s">
        <v>382</v>
      </c>
      <c r="D271" s="14" t="s">
        <v>2309</v>
      </c>
    </row>
    <row r="272">
      <c r="A272" s="2" t="s">
        <v>718</v>
      </c>
      <c r="B272" s="2" t="s">
        <v>2237</v>
      </c>
      <c r="C272" s="2" t="s">
        <v>389</v>
      </c>
      <c r="D272" s="14" t="s">
        <v>2318</v>
      </c>
    </row>
    <row r="273">
      <c r="A273" s="2" t="s">
        <v>718</v>
      </c>
      <c r="B273" s="2" t="s">
        <v>2237</v>
      </c>
      <c r="C273" s="2" t="s">
        <v>2321</v>
      </c>
      <c r="D273" s="14" t="s">
        <v>2322</v>
      </c>
    </row>
    <row r="274">
      <c r="A274" s="2" t="s">
        <v>718</v>
      </c>
      <c r="B274" s="2" t="s">
        <v>2237</v>
      </c>
      <c r="C274" s="2" t="s">
        <v>398</v>
      </c>
      <c r="D274" s="14" t="s">
        <v>2332</v>
      </c>
    </row>
    <row r="275">
      <c r="A275" s="2" t="s">
        <v>718</v>
      </c>
      <c r="B275" s="2" t="s">
        <v>2237</v>
      </c>
      <c r="C275" s="2" t="s">
        <v>394</v>
      </c>
      <c r="D275" s="14" t="s">
        <v>2336</v>
      </c>
    </row>
    <row r="276">
      <c r="A276" s="2" t="s">
        <v>718</v>
      </c>
      <c r="B276" s="2" t="s">
        <v>2237</v>
      </c>
      <c r="C276" s="2" t="s">
        <v>400</v>
      </c>
      <c r="D276" s="14" t="s">
        <v>2341</v>
      </c>
    </row>
    <row r="277">
      <c r="A277" s="2" t="s">
        <v>718</v>
      </c>
      <c r="B277" s="2" t="s">
        <v>2237</v>
      </c>
      <c r="C277" s="2" t="s">
        <v>2344</v>
      </c>
      <c r="D277" s="14" t="s">
        <v>2345</v>
      </c>
    </row>
    <row r="278">
      <c r="A278" s="2" t="s">
        <v>718</v>
      </c>
      <c r="B278" s="2" t="s">
        <v>2237</v>
      </c>
      <c r="C278" s="2" t="s">
        <v>2348</v>
      </c>
      <c r="D278" s="14" t="s">
        <v>2349</v>
      </c>
    </row>
    <row r="279">
      <c r="A279" s="2" t="s">
        <v>718</v>
      </c>
      <c r="B279" s="2" t="s">
        <v>2237</v>
      </c>
      <c r="C279" s="2" t="s">
        <v>2354</v>
      </c>
      <c r="D279" s="14" t="s">
        <v>2355</v>
      </c>
    </row>
    <row r="280">
      <c r="A280" s="2" t="s">
        <v>718</v>
      </c>
      <c r="B280" s="2" t="s">
        <v>2237</v>
      </c>
      <c r="C280" s="2" t="s">
        <v>376</v>
      </c>
      <c r="D280" s="14" t="s">
        <v>458</v>
      </c>
    </row>
    <row r="281">
      <c r="A281" s="2" t="s">
        <v>718</v>
      </c>
      <c r="B281" s="2" t="s">
        <v>2237</v>
      </c>
      <c r="C281" s="2" t="s">
        <v>386</v>
      </c>
      <c r="D281" s="14" t="s">
        <v>462</v>
      </c>
    </row>
    <row r="282">
      <c r="A282" s="2" t="s">
        <v>718</v>
      </c>
      <c r="B282" s="2" t="s">
        <v>2237</v>
      </c>
      <c r="C282" s="2" t="s">
        <v>389</v>
      </c>
      <c r="D282" s="14" t="s">
        <v>468</v>
      </c>
    </row>
    <row r="283">
      <c r="A283" s="2" t="s">
        <v>718</v>
      </c>
      <c r="B283" s="2" t="s">
        <v>2237</v>
      </c>
      <c r="C283" s="2" t="s">
        <v>382</v>
      </c>
      <c r="D283" s="14" t="s">
        <v>438</v>
      </c>
    </row>
    <row r="284">
      <c r="A284" s="2" t="s">
        <v>718</v>
      </c>
      <c r="B284" s="2" t="s">
        <v>2237</v>
      </c>
      <c r="C284" s="2" t="s">
        <v>404</v>
      </c>
      <c r="D284" s="14" t="s">
        <v>2372</v>
      </c>
    </row>
    <row r="285">
      <c r="A285" s="2" t="s">
        <v>718</v>
      </c>
      <c r="B285" s="2" t="s">
        <v>2237</v>
      </c>
      <c r="C285" s="2" t="s">
        <v>405</v>
      </c>
      <c r="D285" s="14" t="s">
        <v>2376</v>
      </c>
    </row>
    <row r="286">
      <c r="A286" s="2" t="s">
        <v>718</v>
      </c>
      <c r="B286" s="2" t="s">
        <v>2237</v>
      </c>
      <c r="C286" s="2" t="s">
        <v>402</v>
      </c>
      <c r="D286" s="14" t="s">
        <v>2380</v>
      </c>
    </row>
    <row r="287">
      <c r="A287" s="2" t="s">
        <v>718</v>
      </c>
      <c r="B287" s="2" t="s">
        <v>2237</v>
      </c>
      <c r="C287" s="2" t="s">
        <v>2384</v>
      </c>
      <c r="D287" s="14" t="s">
        <v>2385</v>
      </c>
    </row>
    <row r="288">
      <c r="A288" s="2" t="s">
        <v>718</v>
      </c>
      <c r="B288" s="2" t="s">
        <v>2237</v>
      </c>
      <c r="C288" s="2" t="s">
        <v>2390</v>
      </c>
      <c r="D288" s="14" t="s">
        <v>2391</v>
      </c>
    </row>
    <row r="289">
      <c r="A289" s="2" t="s">
        <v>718</v>
      </c>
      <c r="B289" s="2" t="s">
        <v>2237</v>
      </c>
      <c r="C289" s="2" t="s">
        <v>2394</v>
      </c>
      <c r="D289" s="14" t="s">
        <v>2395</v>
      </c>
    </row>
    <row r="290">
      <c r="A290" s="2" t="s">
        <v>718</v>
      </c>
      <c r="B290" s="2" t="s">
        <v>2237</v>
      </c>
      <c r="C290" s="2" t="s">
        <v>2397</v>
      </c>
      <c r="D290" s="14" t="s">
        <v>2398</v>
      </c>
    </row>
    <row r="291">
      <c r="A291" s="2" t="s">
        <v>718</v>
      </c>
      <c r="B291" s="2" t="s">
        <v>2237</v>
      </c>
      <c r="C291" s="2" t="s">
        <v>398</v>
      </c>
      <c r="D291" s="14" t="s">
        <v>2403</v>
      </c>
    </row>
    <row r="292">
      <c r="A292" s="2" t="s">
        <v>718</v>
      </c>
      <c r="B292" s="2" t="s">
        <v>2237</v>
      </c>
      <c r="C292" s="2" t="s">
        <v>394</v>
      </c>
      <c r="D292" s="14" t="s">
        <v>2406</v>
      </c>
    </row>
    <row r="293">
      <c r="A293" s="2" t="s">
        <v>718</v>
      </c>
      <c r="B293" s="2" t="s">
        <v>2237</v>
      </c>
      <c r="C293" s="2" t="s">
        <v>400</v>
      </c>
      <c r="D293" s="14" t="s">
        <v>2408</v>
      </c>
    </row>
    <row r="294">
      <c r="A294" s="2" t="s">
        <v>718</v>
      </c>
      <c r="B294" s="2" t="s">
        <v>2237</v>
      </c>
      <c r="C294" s="2" t="s">
        <v>396</v>
      </c>
      <c r="D294" s="14" t="s">
        <v>2412</v>
      </c>
    </row>
    <row r="295">
      <c r="A295" s="2" t="s">
        <v>718</v>
      </c>
      <c r="B295" s="2" t="s">
        <v>2237</v>
      </c>
      <c r="C295" s="2" t="s">
        <v>404</v>
      </c>
      <c r="D295" s="14" t="s">
        <v>2416</v>
      </c>
    </row>
    <row r="296">
      <c r="A296" s="2" t="s">
        <v>718</v>
      </c>
      <c r="B296" s="2" t="s">
        <v>2237</v>
      </c>
      <c r="C296" s="2" t="s">
        <v>403</v>
      </c>
      <c r="D296" s="14" t="s">
        <v>2419</v>
      </c>
    </row>
    <row r="297">
      <c r="A297" s="2" t="s">
        <v>718</v>
      </c>
      <c r="B297" s="2" t="s">
        <v>2237</v>
      </c>
      <c r="C297" s="2" t="s">
        <v>402</v>
      </c>
      <c r="D297" s="14" t="s">
        <v>2422</v>
      </c>
    </row>
    <row r="298">
      <c r="A298" s="2" t="s">
        <v>718</v>
      </c>
      <c r="B298" s="2" t="s">
        <v>2237</v>
      </c>
      <c r="C298" s="2" t="s">
        <v>405</v>
      </c>
      <c r="D298" s="14" t="s">
        <v>2424</v>
      </c>
    </row>
    <row r="299">
      <c r="A299" s="2" t="s">
        <v>718</v>
      </c>
      <c r="B299" s="2" t="s">
        <v>2237</v>
      </c>
      <c r="C299" s="2" t="s">
        <v>2427</v>
      </c>
      <c r="D299" s="14" t="s">
        <v>2428</v>
      </c>
    </row>
    <row r="300">
      <c r="A300" s="2" t="s">
        <v>718</v>
      </c>
      <c r="B300" s="2" t="s">
        <v>2237</v>
      </c>
      <c r="C300" s="2" t="s">
        <v>2430</v>
      </c>
      <c r="D300" s="14" t="s">
        <v>2431</v>
      </c>
    </row>
    <row r="301">
      <c r="A301" s="2" t="s">
        <v>718</v>
      </c>
      <c r="B301" s="2" t="s">
        <v>2237</v>
      </c>
      <c r="C301" s="2" t="s">
        <v>2434</v>
      </c>
      <c r="D301" s="14" t="s">
        <v>2435</v>
      </c>
    </row>
    <row r="302">
      <c r="A302" s="2" t="s">
        <v>718</v>
      </c>
      <c r="B302" s="2" t="s">
        <v>2237</v>
      </c>
      <c r="C302" s="2" t="s">
        <v>2439</v>
      </c>
      <c r="D302" s="14" t="s">
        <v>2440</v>
      </c>
    </row>
    <row r="303">
      <c r="A303" s="2" t="s">
        <v>718</v>
      </c>
      <c r="B303" s="2" t="s">
        <v>2237</v>
      </c>
      <c r="C303" s="2" t="s">
        <v>2427</v>
      </c>
      <c r="D303" s="14" t="s">
        <v>2445</v>
      </c>
    </row>
    <row r="304">
      <c r="A304" s="2" t="s">
        <v>718</v>
      </c>
      <c r="B304" s="2" t="s">
        <v>2237</v>
      </c>
      <c r="C304" s="2" t="s">
        <v>2439</v>
      </c>
      <c r="D304" s="14" t="s">
        <v>2447</v>
      </c>
    </row>
    <row r="305">
      <c r="A305" s="2" t="s">
        <v>718</v>
      </c>
      <c r="B305" s="2" t="s">
        <v>2237</v>
      </c>
      <c r="C305" s="2" t="s">
        <v>2430</v>
      </c>
      <c r="D305" s="14" t="s">
        <v>2449</v>
      </c>
    </row>
    <row r="306">
      <c r="A306" s="2" t="s">
        <v>718</v>
      </c>
      <c r="B306" s="2" t="s">
        <v>2237</v>
      </c>
      <c r="C306" s="2" t="s">
        <v>2434</v>
      </c>
      <c r="D306" s="14" t="s">
        <v>2452</v>
      </c>
    </row>
    <row r="307">
      <c r="A307" s="2" t="s">
        <v>718</v>
      </c>
      <c r="B307" s="2" t="s">
        <v>2455</v>
      </c>
      <c r="C307" s="2" t="s">
        <v>2457</v>
      </c>
      <c r="D307" s="14" t="s">
        <v>2458</v>
      </c>
    </row>
    <row r="308">
      <c r="A308" s="2" t="s">
        <v>718</v>
      </c>
      <c r="B308" s="2" t="s">
        <v>2455</v>
      </c>
      <c r="C308" s="2" t="s">
        <v>334</v>
      </c>
      <c r="D308" s="14" t="s">
        <v>2461</v>
      </c>
    </row>
    <row r="309">
      <c r="A309" s="2" t="s">
        <v>718</v>
      </c>
      <c r="B309" s="2" t="s">
        <v>2455</v>
      </c>
      <c r="C309" s="2" t="s">
        <v>326</v>
      </c>
      <c r="D309" s="14" t="s">
        <v>2464</v>
      </c>
    </row>
    <row r="310">
      <c r="A310" s="2" t="s">
        <v>718</v>
      </c>
      <c r="B310" s="2" t="s">
        <v>2455</v>
      </c>
      <c r="C310" s="2" t="s">
        <v>318</v>
      </c>
      <c r="D310" s="14" t="s">
        <v>2468</v>
      </c>
    </row>
    <row r="311">
      <c r="A311" s="2" t="s">
        <v>718</v>
      </c>
      <c r="B311" s="2" t="s">
        <v>2455</v>
      </c>
      <c r="C311" s="2" t="s">
        <v>344</v>
      </c>
      <c r="D311" s="14" t="s">
        <v>2472</v>
      </c>
    </row>
    <row r="312">
      <c r="A312" s="2" t="s">
        <v>718</v>
      </c>
      <c r="B312" s="2" t="s">
        <v>2455</v>
      </c>
      <c r="C312" s="2" t="s">
        <v>2476</v>
      </c>
      <c r="D312" s="14" t="s">
        <v>2477</v>
      </c>
    </row>
    <row r="313">
      <c r="A313" s="2" t="s">
        <v>718</v>
      </c>
      <c r="B313" s="2" t="s">
        <v>2455</v>
      </c>
      <c r="C313" s="2" t="s">
        <v>353</v>
      </c>
      <c r="D313" s="14" t="s">
        <v>2479</v>
      </c>
    </row>
    <row r="314">
      <c r="A314" s="2" t="s">
        <v>718</v>
      </c>
      <c r="B314" s="2" t="s">
        <v>2455</v>
      </c>
      <c r="C314" s="2" t="s">
        <v>348</v>
      </c>
      <c r="D314" s="14" t="s">
        <v>2481</v>
      </c>
    </row>
    <row r="315">
      <c r="A315" s="2" t="s">
        <v>718</v>
      </c>
      <c r="B315" s="2" t="s">
        <v>2455</v>
      </c>
      <c r="C315" s="2" t="s">
        <v>359</v>
      </c>
      <c r="D315" s="14" t="s">
        <v>2484</v>
      </c>
    </row>
    <row r="316">
      <c r="A316" s="2" t="s">
        <v>718</v>
      </c>
      <c r="B316" s="2" t="s">
        <v>2455</v>
      </c>
      <c r="C316" s="2" t="s">
        <v>311</v>
      </c>
      <c r="D316" s="14" t="s">
        <v>2487</v>
      </c>
    </row>
    <row r="317">
      <c r="A317" s="2" t="s">
        <v>718</v>
      </c>
      <c r="B317" s="2" t="s">
        <v>2455</v>
      </c>
      <c r="C317" s="2" t="s">
        <v>318</v>
      </c>
      <c r="D317" s="14" t="s">
        <v>379</v>
      </c>
    </row>
    <row r="318">
      <c r="A318" s="2" t="s">
        <v>718</v>
      </c>
      <c r="B318" s="2" t="s">
        <v>2455</v>
      </c>
      <c r="C318" s="2" t="s">
        <v>334</v>
      </c>
      <c r="D318" s="14" t="s">
        <v>363</v>
      </c>
    </row>
    <row r="319">
      <c r="A319" s="2" t="s">
        <v>718</v>
      </c>
      <c r="B319" s="2" t="s">
        <v>2455</v>
      </c>
      <c r="C319" s="2" t="s">
        <v>2457</v>
      </c>
      <c r="D319" s="14" t="s">
        <v>2494</v>
      </c>
    </row>
    <row r="320">
      <c r="A320" s="2" t="s">
        <v>718</v>
      </c>
      <c r="B320" s="2" t="s">
        <v>2455</v>
      </c>
      <c r="C320" s="2" t="s">
        <v>326</v>
      </c>
      <c r="D320" s="14" t="s">
        <v>387</v>
      </c>
    </row>
    <row r="321">
      <c r="A321" s="2" t="s">
        <v>718</v>
      </c>
      <c r="B321" s="2" t="s">
        <v>2455</v>
      </c>
      <c r="C321" s="2" t="s">
        <v>311</v>
      </c>
      <c r="D321" s="14" t="s">
        <v>372</v>
      </c>
    </row>
    <row r="322">
      <c r="A322" s="2" t="s">
        <v>718</v>
      </c>
      <c r="B322" s="2" t="s">
        <v>2455</v>
      </c>
      <c r="C322" s="2" t="s">
        <v>348</v>
      </c>
      <c r="D322" s="14" t="s">
        <v>418</v>
      </c>
    </row>
    <row r="323">
      <c r="A323" s="2" t="s">
        <v>718</v>
      </c>
      <c r="B323" s="2" t="s">
        <v>2455</v>
      </c>
      <c r="C323" s="2" t="s">
        <v>359</v>
      </c>
      <c r="D323" s="14" t="s">
        <v>392</v>
      </c>
    </row>
    <row r="324">
      <c r="A324" s="2" t="s">
        <v>718</v>
      </c>
      <c r="B324" s="2" t="s">
        <v>2455</v>
      </c>
      <c r="C324" s="2" t="s">
        <v>353</v>
      </c>
      <c r="D324" s="14" t="s">
        <v>423</v>
      </c>
    </row>
    <row r="325">
      <c r="A325" s="2" t="s">
        <v>718</v>
      </c>
      <c r="B325" s="2" t="s">
        <v>2455</v>
      </c>
      <c r="C325" s="2" t="s">
        <v>344</v>
      </c>
      <c r="D325" s="14" t="s">
        <v>414</v>
      </c>
    </row>
    <row r="326">
      <c r="A326" s="2" t="s">
        <v>718</v>
      </c>
      <c r="B326" s="2" t="s">
        <v>2455</v>
      </c>
      <c r="C326" s="2" t="s">
        <v>2476</v>
      </c>
      <c r="D326" s="14" t="s">
        <v>401</v>
      </c>
    </row>
    <row r="327">
      <c r="A327" s="2" t="s">
        <v>718</v>
      </c>
      <c r="B327" s="2" t="s">
        <v>2455</v>
      </c>
      <c r="C327" s="2" t="s">
        <v>368</v>
      </c>
      <c r="D327" s="14" t="s">
        <v>2511</v>
      </c>
    </row>
    <row r="328">
      <c r="A328" s="2" t="s">
        <v>718</v>
      </c>
      <c r="B328" s="2" t="s">
        <v>2455</v>
      </c>
      <c r="C328" s="2" t="s">
        <v>370</v>
      </c>
      <c r="D328" s="14" t="s">
        <v>2514</v>
      </c>
    </row>
    <row r="329">
      <c r="A329" s="2" t="s">
        <v>718</v>
      </c>
      <c r="B329" s="2" t="s">
        <v>2455</v>
      </c>
      <c r="C329" s="2" t="s">
        <v>2516</v>
      </c>
      <c r="D329" s="14" t="s">
        <v>2518</v>
      </c>
    </row>
    <row r="330">
      <c r="A330" s="2" t="s">
        <v>718</v>
      </c>
      <c r="B330" s="2" t="s">
        <v>2455</v>
      </c>
      <c r="C330" s="2" t="s">
        <v>373</v>
      </c>
      <c r="D330" s="14" t="s">
        <v>2522</v>
      </c>
    </row>
    <row r="331">
      <c r="A331" s="2" t="s">
        <v>718</v>
      </c>
      <c r="B331" s="2" t="s">
        <v>2455</v>
      </c>
      <c r="C331" s="2" t="s">
        <v>365</v>
      </c>
      <c r="D331" s="14" t="s">
        <v>2525</v>
      </c>
    </row>
    <row r="332">
      <c r="A332" s="2" t="s">
        <v>718</v>
      </c>
      <c r="B332" s="2" t="s">
        <v>2455</v>
      </c>
      <c r="C332" s="2" t="s">
        <v>2516</v>
      </c>
      <c r="D332" s="14" t="s">
        <v>2529</v>
      </c>
    </row>
    <row r="333">
      <c r="A333" s="2" t="s">
        <v>718</v>
      </c>
      <c r="B333" s="2" t="s">
        <v>2455</v>
      </c>
      <c r="C333" s="2" t="s">
        <v>373</v>
      </c>
      <c r="D333" s="14" t="s">
        <v>2531</v>
      </c>
    </row>
    <row r="334">
      <c r="A334" s="2" t="s">
        <v>718</v>
      </c>
      <c r="B334" s="2" t="s">
        <v>2455</v>
      </c>
      <c r="C334" s="2" t="s">
        <v>368</v>
      </c>
      <c r="D334" s="14" t="s">
        <v>2534</v>
      </c>
    </row>
    <row r="335">
      <c r="A335" s="2" t="s">
        <v>718</v>
      </c>
      <c r="B335" s="2" t="s">
        <v>2455</v>
      </c>
      <c r="C335" s="2" t="s">
        <v>365</v>
      </c>
      <c r="D335" s="14" t="s">
        <v>2537</v>
      </c>
    </row>
    <row r="336">
      <c r="A336" s="2" t="s">
        <v>718</v>
      </c>
      <c r="B336" s="2" t="s">
        <v>2455</v>
      </c>
      <c r="C336" s="2" t="s">
        <v>370</v>
      </c>
      <c r="D336" s="14" t="s">
        <v>2542</v>
      </c>
    </row>
    <row r="337">
      <c r="A337" s="2" t="s">
        <v>718</v>
      </c>
      <c r="B337" s="2" t="s">
        <v>2545</v>
      </c>
      <c r="C337" s="2" t="s">
        <v>262</v>
      </c>
      <c r="D337" s="14" t="s">
        <v>278</v>
      </c>
    </row>
    <row r="338">
      <c r="A338" s="2" t="s">
        <v>718</v>
      </c>
      <c r="B338" s="2" t="s">
        <v>2545</v>
      </c>
      <c r="C338" s="2" t="s">
        <v>254</v>
      </c>
      <c r="D338" s="14" t="s">
        <v>265</v>
      </c>
    </row>
    <row r="339">
      <c r="A339" s="2" t="s">
        <v>718</v>
      </c>
      <c r="B339" s="2" t="s">
        <v>2545</v>
      </c>
      <c r="C339" s="2" t="s">
        <v>182</v>
      </c>
      <c r="D339" s="14" t="s">
        <v>194</v>
      </c>
    </row>
    <row r="340">
      <c r="A340" s="2" t="s">
        <v>718</v>
      </c>
      <c r="B340" s="2" t="s">
        <v>2545</v>
      </c>
      <c r="C340" s="2" t="s">
        <v>2555</v>
      </c>
      <c r="D340" s="14" t="s">
        <v>236</v>
      </c>
    </row>
    <row r="341">
      <c r="A341" s="2" t="s">
        <v>718</v>
      </c>
      <c r="B341" s="2" t="s">
        <v>2545</v>
      </c>
      <c r="C341" s="2" t="s">
        <v>2558</v>
      </c>
      <c r="D341" s="14" t="s">
        <v>302</v>
      </c>
    </row>
    <row r="342">
      <c r="A342" s="2" t="s">
        <v>718</v>
      </c>
      <c r="B342" s="2" t="s">
        <v>2545</v>
      </c>
      <c r="C342" s="2" t="s">
        <v>267</v>
      </c>
      <c r="D342" s="14" t="s">
        <v>290</v>
      </c>
    </row>
    <row r="343">
      <c r="A343" s="2" t="s">
        <v>718</v>
      </c>
      <c r="B343" s="2" t="s">
        <v>2545</v>
      </c>
      <c r="C343" s="2" t="s">
        <v>284</v>
      </c>
      <c r="D343" s="14" t="s">
        <v>320</v>
      </c>
    </row>
    <row r="344">
      <c r="A344" s="2" t="s">
        <v>718</v>
      </c>
      <c r="B344" s="2" t="s">
        <v>2545</v>
      </c>
      <c r="C344" s="2" t="s">
        <v>293</v>
      </c>
      <c r="D344" s="14" t="s">
        <v>294</v>
      </c>
    </row>
    <row r="345">
      <c r="A345" s="2" t="s">
        <v>718</v>
      </c>
      <c r="B345" s="2" t="s">
        <v>2545</v>
      </c>
      <c r="C345" s="2" t="s">
        <v>289</v>
      </c>
      <c r="D345" s="14" t="s">
        <v>327</v>
      </c>
    </row>
    <row r="346">
      <c r="A346" s="2" t="s">
        <v>718</v>
      </c>
      <c r="B346" s="2" t="s">
        <v>2545</v>
      </c>
      <c r="C346" s="2" t="s">
        <v>280</v>
      </c>
      <c r="D346" s="14" t="s">
        <v>314</v>
      </c>
    </row>
    <row r="347">
      <c r="A347" s="2" t="s">
        <v>718</v>
      </c>
      <c r="B347" s="2" t="s">
        <v>2545</v>
      </c>
      <c r="C347" s="2" t="s">
        <v>284</v>
      </c>
      <c r="D347" s="14" t="s">
        <v>2574</v>
      </c>
    </row>
    <row r="348">
      <c r="A348" s="2" t="s">
        <v>718</v>
      </c>
      <c r="B348" s="2" t="s">
        <v>2545</v>
      </c>
      <c r="C348" s="2" t="s">
        <v>293</v>
      </c>
      <c r="D348" s="14" t="s">
        <v>2579</v>
      </c>
    </row>
    <row r="349">
      <c r="A349" s="2" t="s">
        <v>718</v>
      </c>
      <c r="B349" s="2" t="s">
        <v>2545</v>
      </c>
      <c r="C349" s="2" t="s">
        <v>280</v>
      </c>
      <c r="D349" s="14" t="s">
        <v>2583</v>
      </c>
    </row>
    <row r="350">
      <c r="A350" s="2" t="s">
        <v>718</v>
      </c>
      <c r="B350" s="2" t="s">
        <v>2545</v>
      </c>
      <c r="C350" s="2" t="s">
        <v>2558</v>
      </c>
      <c r="D350" s="14" t="s">
        <v>2586</v>
      </c>
    </row>
    <row r="351">
      <c r="A351" s="2" t="s">
        <v>718</v>
      </c>
      <c r="B351" s="2" t="s">
        <v>2545</v>
      </c>
      <c r="C351" s="2" t="s">
        <v>289</v>
      </c>
      <c r="D351" s="14" t="s">
        <v>2590</v>
      </c>
    </row>
    <row r="352">
      <c r="A352" s="2" t="s">
        <v>718</v>
      </c>
      <c r="B352" s="2" t="s">
        <v>2545</v>
      </c>
      <c r="C352" s="2" t="s">
        <v>305</v>
      </c>
      <c r="D352" s="14" t="s">
        <v>2594</v>
      </c>
    </row>
    <row r="353">
      <c r="A353" s="2" t="s">
        <v>718</v>
      </c>
      <c r="B353" s="2" t="s">
        <v>2545</v>
      </c>
      <c r="C353" s="2" t="s">
        <v>2597</v>
      </c>
      <c r="D353" s="14" t="s">
        <v>2598</v>
      </c>
    </row>
    <row r="354">
      <c r="A354" s="2" t="s">
        <v>718</v>
      </c>
      <c r="B354" s="2" t="s">
        <v>2545</v>
      </c>
      <c r="C354" s="2" t="s">
        <v>307</v>
      </c>
      <c r="D354" s="14" t="s">
        <v>2603</v>
      </c>
    </row>
    <row r="355">
      <c r="A355" s="2" t="s">
        <v>718</v>
      </c>
      <c r="B355" s="2" t="s">
        <v>2545</v>
      </c>
      <c r="C355" s="2" t="s">
        <v>303</v>
      </c>
      <c r="D355" s="14" t="s">
        <v>2607</v>
      </c>
    </row>
    <row r="356">
      <c r="A356" s="2" t="s">
        <v>718</v>
      </c>
      <c r="B356" s="2" t="s">
        <v>2545</v>
      </c>
      <c r="C356" s="2" t="s">
        <v>306</v>
      </c>
      <c r="D356" s="14" t="s">
        <v>2611</v>
      </c>
    </row>
    <row r="357">
      <c r="A357" s="2" t="s">
        <v>718</v>
      </c>
      <c r="B357" s="2" t="s">
        <v>2545</v>
      </c>
      <c r="C357" s="2" t="s">
        <v>303</v>
      </c>
      <c r="D357" s="14" t="s">
        <v>2615</v>
      </c>
    </row>
    <row r="358">
      <c r="A358" s="2" t="s">
        <v>718</v>
      </c>
      <c r="B358" s="2" t="s">
        <v>2545</v>
      </c>
      <c r="C358" s="2" t="s">
        <v>306</v>
      </c>
      <c r="D358" s="14" t="s">
        <v>2619</v>
      </c>
    </row>
    <row r="359">
      <c r="A359" s="2" t="s">
        <v>718</v>
      </c>
      <c r="B359" s="2" t="s">
        <v>2545</v>
      </c>
      <c r="C359" s="2" t="s">
        <v>2597</v>
      </c>
      <c r="D359" s="14" t="s">
        <v>2622</v>
      </c>
    </row>
    <row r="360">
      <c r="A360" s="2" t="s">
        <v>718</v>
      </c>
      <c r="B360" s="2" t="s">
        <v>2545</v>
      </c>
      <c r="C360" s="2" t="s">
        <v>307</v>
      </c>
      <c r="D360" s="14" t="s">
        <v>2626</v>
      </c>
    </row>
    <row r="361">
      <c r="A361" s="2" t="s">
        <v>718</v>
      </c>
      <c r="B361" s="2" t="s">
        <v>2545</v>
      </c>
      <c r="C361" s="2" t="s">
        <v>305</v>
      </c>
      <c r="D361" s="14" t="s">
        <v>2630</v>
      </c>
    </row>
    <row r="362">
      <c r="A362" s="2" t="s">
        <v>718</v>
      </c>
      <c r="B362" s="2" t="s">
        <v>2633</v>
      </c>
      <c r="C362" s="2" t="s">
        <v>2634</v>
      </c>
      <c r="D362" s="14" t="s">
        <v>2635</v>
      </c>
    </row>
    <row r="363">
      <c r="A363" s="2" t="s">
        <v>718</v>
      </c>
      <c r="B363" s="2" t="s">
        <v>2633</v>
      </c>
      <c r="C363" s="2" t="s">
        <v>2638</v>
      </c>
      <c r="D363" s="14" t="s">
        <v>2639</v>
      </c>
    </row>
    <row r="364">
      <c r="A364" s="2" t="s">
        <v>718</v>
      </c>
      <c r="B364" s="2" t="s">
        <v>2633</v>
      </c>
      <c r="C364" s="2" t="s">
        <v>2634</v>
      </c>
      <c r="D364" s="14" t="s">
        <v>337</v>
      </c>
    </row>
    <row r="365">
      <c r="A365" s="2" t="s">
        <v>718</v>
      </c>
      <c r="B365" s="2" t="s">
        <v>2633</v>
      </c>
      <c r="C365" s="2" t="s">
        <v>2638</v>
      </c>
      <c r="D365" s="14" t="s">
        <v>332</v>
      </c>
    </row>
    <row r="366">
      <c r="A366" s="2" t="s">
        <v>718</v>
      </c>
      <c r="B366" s="2" t="s">
        <v>2633</v>
      </c>
      <c r="C366" s="2" t="s">
        <v>2651</v>
      </c>
      <c r="D366" s="14" t="s">
        <v>352</v>
      </c>
    </row>
    <row r="367">
      <c r="A367" s="2" t="s">
        <v>718</v>
      </c>
      <c r="B367" s="2" t="s">
        <v>2633</v>
      </c>
      <c r="C367" s="2" t="s">
        <v>2655</v>
      </c>
      <c r="D367" s="14" t="s">
        <v>345</v>
      </c>
    </row>
    <row r="368">
      <c r="A368" s="2" t="s">
        <v>718</v>
      </c>
      <c r="B368" s="2" t="s">
        <v>2633</v>
      </c>
      <c r="C368" s="2" t="s">
        <v>2651</v>
      </c>
      <c r="D368" s="14" t="s">
        <v>2659</v>
      </c>
    </row>
    <row r="369">
      <c r="A369" s="2" t="s">
        <v>718</v>
      </c>
      <c r="B369" s="2" t="s">
        <v>2633</v>
      </c>
      <c r="C369" s="2" t="s">
        <v>2655</v>
      </c>
      <c r="D369" s="14" t="s">
        <v>2664</v>
      </c>
    </row>
    <row r="370">
      <c r="A370" s="2" t="s">
        <v>718</v>
      </c>
      <c r="B370" s="2" t="s">
        <v>2633</v>
      </c>
      <c r="C370" s="2" t="s">
        <v>2668</v>
      </c>
      <c r="D370" s="14" t="s">
        <v>2669</v>
      </c>
    </row>
    <row r="371">
      <c r="A371" s="2" t="s">
        <v>718</v>
      </c>
      <c r="B371" s="2" t="s">
        <v>2633</v>
      </c>
      <c r="C371" s="2" t="s">
        <v>2671</v>
      </c>
      <c r="D371" s="14" t="s">
        <v>2673</v>
      </c>
    </row>
    <row r="372">
      <c r="A372" s="2" t="s">
        <v>718</v>
      </c>
      <c r="B372" s="2" t="s">
        <v>2633</v>
      </c>
      <c r="C372" s="2" t="s">
        <v>2671</v>
      </c>
      <c r="D372" s="14" t="s">
        <v>2676</v>
      </c>
    </row>
    <row r="373">
      <c r="A373" s="2" t="s">
        <v>718</v>
      </c>
      <c r="B373" s="2" t="s">
        <v>2633</v>
      </c>
      <c r="C373" s="2" t="s">
        <v>2668</v>
      </c>
      <c r="D373" s="14" t="s">
        <v>2681</v>
      </c>
    </row>
    <row r="374">
      <c r="A374" s="2" t="s">
        <v>718</v>
      </c>
      <c r="B374" s="2" t="s">
        <v>2685</v>
      </c>
      <c r="C374" s="2" t="s">
        <v>2686</v>
      </c>
      <c r="D374" s="14" t="s">
        <v>2687</v>
      </c>
    </row>
    <row r="375">
      <c r="A375" s="2" t="s">
        <v>718</v>
      </c>
      <c r="B375" s="2" t="s">
        <v>2685</v>
      </c>
      <c r="C375" s="2" t="s">
        <v>2690</v>
      </c>
      <c r="D375" s="14" t="s">
        <v>2691</v>
      </c>
    </row>
    <row r="376">
      <c r="A376" s="2" t="s">
        <v>718</v>
      </c>
      <c r="B376" s="2" t="s">
        <v>2685</v>
      </c>
      <c r="C376" s="2" t="s">
        <v>2686</v>
      </c>
      <c r="D376" s="14" t="s">
        <v>134</v>
      </c>
    </row>
    <row r="377">
      <c r="A377" s="2" t="s">
        <v>718</v>
      </c>
      <c r="B377" s="2" t="s">
        <v>2685</v>
      </c>
      <c r="C377" s="2" t="s">
        <v>2690</v>
      </c>
      <c r="D377" s="14" t="s">
        <v>105</v>
      </c>
    </row>
    <row r="378">
      <c r="A378" s="2" t="s">
        <v>718</v>
      </c>
      <c r="B378" s="2" t="s">
        <v>2685</v>
      </c>
      <c r="C378" s="2" t="s">
        <v>2699</v>
      </c>
      <c r="D378" s="14" t="s">
        <v>2700</v>
      </c>
    </row>
    <row r="379">
      <c r="A379" s="2" t="s">
        <v>718</v>
      </c>
      <c r="B379" s="2" t="s">
        <v>2685</v>
      </c>
      <c r="C379" s="2" t="s">
        <v>2705</v>
      </c>
      <c r="D379" s="14" t="s">
        <v>2706</v>
      </c>
    </row>
    <row r="380">
      <c r="A380" s="2" t="s">
        <v>718</v>
      </c>
      <c r="B380" s="2" t="s">
        <v>2685</v>
      </c>
      <c r="C380" s="2" t="s">
        <v>2699</v>
      </c>
      <c r="D380" s="14" t="s">
        <v>151</v>
      </c>
    </row>
    <row r="381">
      <c r="A381" s="2" t="s">
        <v>718</v>
      </c>
      <c r="B381" s="2" t="s">
        <v>2685</v>
      </c>
      <c r="C381" s="2" t="s">
        <v>2705</v>
      </c>
      <c r="D381" s="14" t="s">
        <v>165</v>
      </c>
    </row>
    <row r="382">
      <c r="A382" s="2" t="s">
        <v>718</v>
      </c>
      <c r="B382" s="2" t="s">
        <v>2685</v>
      </c>
      <c r="C382" s="2" t="s">
        <v>2720</v>
      </c>
      <c r="D382" s="14" t="s">
        <v>139</v>
      </c>
    </row>
    <row r="383">
      <c r="A383" s="2" t="s">
        <v>718</v>
      </c>
      <c r="B383" s="2" t="s">
        <v>2685</v>
      </c>
      <c r="C383" s="2" t="s">
        <v>2725</v>
      </c>
      <c r="D383" s="14" t="s">
        <v>142</v>
      </c>
    </row>
    <row r="384">
      <c r="A384" s="2" t="s">
        <v>718</v>
      </c>
      <c r="B384" s="2" t="s">
        <v>2685</v>
      </c>
      <c r="C384" s="2" t="s">
        <v>2730</v>
      </c>
      <c r="D384" s="14" t="s">
        <v>174</v>
      </c>
    </row>
    <row r="385">
      <c r="A385" s="2" t="s">
        <v>718</v>
      </c>
      <c r="B385" s="2" t="s">
        <v>2685</v>
      </c>
      <c r="C385" s="2" t="s">
        <v>2736</v>
      </c>
      <c r="D385" s="14" t="s">
        <v>178</v>
      </c>
    </row>
    <row r="386">
      <c r="A386" s="2" t="s">
        <v>718</v>
      </c>
      <c r="B386" s="2" t="s">
        <v>2741</v>
      </c>
      <c r="C386" s="2" t="s">
        <v>2742</v>
      </c>
      <c r="D386" s="14" t="s">
        <v>2743</v>
      </c>
    </row>
    <row r="387">
      <c r="A387" s="2" t="s">
        <v>718</v>
      </c>
      <c r="B387" s="2" t="s">
        <v>2741</v>
      </c>
      <c r="C387" s="2" t="s">
        <v>2751</v>
      </c>
      <c r="D387" s="14" t="s">
        <v>2753</v>
      </c>
    </row>
    <row r="388">
      <c r="A388" s="2" t="s">
        <v>718</v>
      </c>
      <c r="B388" s="2" t="s">
        <v>2756</v>
      </c>
      <c r="C388" s="2" t="s">
        <v>2758</v>
      </c>
      <c r="D388" s="14" t="s">
        <v>73</v>
      </c>
    </row>
    <row r="389">
      <c r="A389" s="2" t="s">
        <v>718</v>
      </c>
      <c r="B389" s="2" t="s">
        <v>2760</v>
      </c>
      <c r="C389" s="2" t="s">
        <v>2761</v>
      </c>
      <c r="D389" s="14" t="s">
        <v>50</v>
      </c>
    </row>
    <row r="390">
      <c r="A390" s="2" t="s">
        <v>718</v>
      </c>
      <c r="B390" s="2" t="s">
        <v>2760</v>
      </c>
      <c r="C390" s="2" t="s">
        <v>2764</v>
      </c>
      <c r="D390" s="14" t="s">
        <v>68</v>
      </c>
    </row>
    <row r="391">
      <c r="A391" s="2" t="s">
        <v>718</v>
      </c>
      <c r="B391" s="2" t="s">
        <v>2767</v>
      </c>
      <c r="C391" s="2" t="s">
        <v>2768</v>
      </c>
      <c r="D391" s="14" t="s">
        <v>502</v>
      </c>
    </row>
    <row r="392">
      <c r="A392" s="2" t="s">
        <v>718</v>
      </c>
      <c r="B392" s="2" t="s">
        <v>2767</v>
      </c>
      <c r="C392" s="2" t="s">
        <v>2772</v>
      </c>
      <c r="D392" s="14" t="s">
        <v>538</v>
      </c>
    </row>
    <row r="393">
      <c r="A393" s="2" t="s">
        <v>718</v>
      </c>
      <c r="B393" s="2" t="s">
        <v>2767</v>
      </c>
      <c r="C393" s="2" t="s">
        <v>2774</v>
      </c>
      <c r="D393" s="14" t="s">
        <v>548</v>
      </c>
    </row>
    <row r="394">
      <c r="A394" s="2" t="s">
        <v>718</v>
      </c>
      <c r="B394" s="2" t="s">
        <v>2767</v>
      </c>
      <c r="C394" s="2" t="s">
        <v>2776</v>
      </c>
      <c r="D394" s="14" t="s">
        <v>519</v>
      </c>
    </row>
    <row r="395">
      <c r="A395" s="2" t="s">
        <v>718</v>
      </c>
      <c r="B395" s="2" t="s">
        <v>2767</v>
      </c>
      <c r="C395" s="2" t="s">
        <v>2779</v>
      </c>
      <c r="D395" s="14" t="s">
        <v>509</v>
      </c>
    </row>
    <row r="396">
      <c r="A396" s="2" t="s">
        <v>718</v>
      </c>
      <c r="B396" s="2" t="s">
        <v>2767</v>
      </c>
      <c r="C396" s="2" t="s">
        <v>2782</v>
      </c>
      <c r="D396" s="14" t="s">
        <v>514</v>
      </c>
    </row>
    <row r="397">
      <c r="A397" s="2" t="s">
        <v>718</v>
      </c>
      <c r="B397" s="2" t="s">
        <v>2767</v>
      </c>
      <c r="C397" s="2" t="s">
        <v>2785</v>
      </c>
      <c r="D397" s="14" t="s">
        <v>2786</v>
      </c>
    </row>
    <row r="398">
      <c r="A398" s="2" t="s">
        <v>718</v>
      </c>
      <c r="B398" s="2" t="s">
        <v>2767</v>
      </c>
      <c r="C398" s="2" t="s">
        <v>2788</v>
      </c>
      <c r="D398" s="14" t="s">
        <v>2790</v>
      </c>
    </row>
    <row r="399">
      <c r="A399" s="2" t="s">
        <v>718</v>
      </c>
      <c r="B399" s="2" t="s">
        <v>2767</v>
      </c>
      <c r="C399" s="2" t="s">
        <v>2791</v>
      </c>
      <c r="D399" s="14" t="s">
        <v>2792</v>
      </c>
    </row>
    <row r="400">
      <c r="A400" s="2" t="s">
        <v>718</v>
      </c>
      <c r="B400" s="2" t="s">
        <v>2767</v>
      </c>
      <c r="C400" s="2" t="s">
        <v>2794</v>
      </c>
      <c r="D400" s="14" t="s">
        <v>2795</v>
      </c>
    </row>
    <row r="401">
      <c r="A401" s="2" t="s">
        <v>718</v>
      </c>
      <c r="B401" s="2" t="s">
        <v>2767</v>
      </c>
      <c r="C401" s="2" t="s">
        <v>2798</v>
      </c>
      <c r="D401" s="14" t="s">
        <v>2799</v>
      </c>
    </row>
    <row r="402">
      <c r="A402" s="2" t="s">
        <v>718</v>
      </c>
      <c r="B402" s="2" t="s">
        <v>2767</v>
      </c>
      <c r="C402" s="2" t="s">
        <v>2802</v>
      </c>
      <c r="D402" s="14" t="s">
        <v>2803</v>
      </c>
    </row>
    <row r="403">
      <c r="A403" s="2" t="s">
        <v>718</v>
      </c>
      <c r="B403" s="2" t="s">
        <v>2767</v>
      </c>
      <c r="C403" s="2" t="s">
        <v>2772</v>
      </c>
      <c r="D403" s="14" t="s">
        <v>2805</v>
      </c>
    </row>
    <row r="404">
      <c r="A404" s="2" t="s">
        <v>718</v>
      </c>
      <c r="B404" s="2" t="s">
        <v>2767</v>
      </c>
      <c r="C404" s="2" t="s">
        <v>2788</v>
      </c>
      <c r="D404" s="14" t="s">
        <v>2808</v>
      </c>
    </row>
    <row r="405">
      <c r="A405" s="2" t="s">
        <v>718</v>
      </c>
      <c r="B405" s="2" t="s">
        <v>2767</v>
      </c>
      <c r="C405" s="2" t="s">
        <v>2782</v>
      </c>
      <c r="D405" s="14" t="s">
        <v>2811</v>
      </c>
    </row>
    <row r="406">
      <c r="A406" s="2" t="s">
        <v>718</v>
      </c>
      <c r="B406" s="2" t="s">
        <v>2767</v>
      </c>
      <c r="C406" s="2" t="s">
        <v>2794</v>
      </c>
      <c r="D406" s="14" t="s">
        <v>2813</v>
      </c>
    </row>
    <row r="407">
      <c r="A407" s="2" t="s">
        <v>718</v>
      </c>
      <c r="B407" s="2" t="s">
        <v>2767</v>
      </c>
      <c r="C407" s="2" t="s">
        <v>2798</v>
      </c>
      <c r="D407" s="14" t="s">
        <v>2817</v>
      </c>
    </row>
    <row r="408">
      <c r="A408" s="2" t="s">
        <v>718</v>
      </c>
      <c r="B408" s="2" t="s">
        <v>2767</v>
      </c>
      <c r="C408" s="2" t="s">
        <v>2768</v>
      </c>
      <c r="D408" s="14" t="s">
        <v>2818</v>
      </c>
    </row>
    <row r="409">
      <c r="A409" s="2" t="s">
        <v>718</v>
      </c>
      <c r="B409" s="2" t="s">
        <v>2767</v>
      </c>
      <c r="C409" s="2" t="s">
        <v>2791</v>
      </c>
      <c r="D409" s="14" t="s">
        <v>2823</v>
      </c>
    </row>
    <row r="410">
      <c r="A410" s="2" t="s">
        <v>718</v>
      </c>
      <c r="B410" s="2" t="s">
        <v>2767</v>
      </c>
      <c r="C410" s="2" t="s">
        <v>2776</v>
      </c>
      <c r="D410" s="14" t="s">
        <v>2826</v>
      </c>
    </row>
    <row r="411">
      <c r="A411" s="2" t="s">
        <v>718</v>
      </c>
      <c r="B411" s="2" t="s">
        <v>2767</v>
      </c>
      <c r="C411" s="2" t="s">
        <v>2779</v>
      </c>
      <c r="D411" s="14" t="s">
        <v>2831</v>
      </c>
    </row>
    <row r="412">
      <c r="A412" s="2" t="s">
        <v>718</v>
      </c>
      <c r="B412" s="2" t="s">
        <v>2767</v>
      </c>
      <c r="C412" s="2" t="s">
        <v>2802</v>
      </c>
      <c r="D412" s="14" t="s">
        <v>2834</v>
      </c>
    </row>
    <row r="413">
      <c r="A413" s="2" t="s">
        <v>718</v>
      </c>
      <c r="B413" s="2" t="s">
        <v>2767</v>
      </c>
      <c r="C413" s="2" t="s">
        <v>2774</v>
      </c>
      <c r="D413" s="14" t="s">
        <v>2835</v>
      </c>
    </row>
    <row r="414">
      <c r="A414" s="2" t="s">
        <v>718</v>
      </c>
      <c r="B414" s="2" t="s">
        <v>2767</v>
      </c>
      <c r="C414" s="2" t="s">
        <v>2785</v>
      </c>
      <c r="D414" s="14" t="s">
        <v>2838</v>
      </c>
    </row>
    <row r="415">
      <c r="A415" s="2" t="s">
        <v>2841</v>
      </c>
      <c r="B415" s="2" t="s">
        <v>2842</v>
      </c>
      <c r="C415" s="2" t="s">
        <v>1770</v>
      </c>
      <c r="D415" s="17" t="s">
        <v>1771</v>
      </c>
    </row>
    <row r="416">
      <c r="A416" s="2" t="s">
        <v>2841</v>
      </c>
      <c r="B416" s="2" t="s">
        <v>2842</v>
      </c>
      <c r="C416" s="2" t="s">
        <v>1776</v>
      </c>
      <c r="D416" s="14" t="s">
        <v>1777</v>
      </c>
    </row>
    <row r="417">
      <c r="A417" s="2" t="s">
        <v>2841</v>
      </c>
      <c r="B417" s="2" t="s">
        <v>2842</v>
      </c>
      <c r="C417" s="2" t="s">
        <v>1780</v>
      </c>
      <c r="D417" s="14" t="s">
        <v>1781</v>
      </c>
    </row>
    <row r="418">
      <c r="A418" s="2" t="s">
        <v>2841</v>
      </c>
      <c r="B418" s="2" t="s">
        <v>2842</v>
      </c>
      <c r="C418" s="2" t="s">
        <v>1782</v>
      </c>
      <c r="D418" s="14" t="s">
        <v>1783</v>
      </c>
    </row>
    <row r="419">
      <c r="A419" s="2" t="s">
        <v>2841</v>
      </c>
      <c r="B419" s="2" t="s">
        <v>2842</v>
      </c>
      <c r="C419" s="2" t="s">
        <v>1784</v>
      </c>
      <c r="D419" s="14" t="s">
        <v>1785</v>
      </c>
    </row>
    <row r="420">
      <c r="A420" s="2" t="s">
        <v>2841</v>
      </c>
      <c r="B420" s="2" t="s">
        <v>2842</v>
      </c>
      <c r="C420" s="2" t="s">
        <v>1788</v>
      </c>
      <c r="D420" s="14" t="s">
        <v>1789</v>
      </c>
    </row>
    <row r="421">
      <c r="A421" s="2" t="s">
        <v>2841</v>
      </c>
      <c r="B421" s="2" t="s">
        <v>2842</v>
      </c>
      <c r="C421" s="2" t="s">
        <v>1790</v>
      </c>
      <c r="D421" s="14" t="s">
        <v>1791</v>
      </c>
    </row>
    <row r="422">
      <c r="A422" s="2" t="s">
        <v>2841</v>
      </c>
      <c r="B422" s="2" t="s">
        <v>2842</v>
      </c>
      <c r="C422" s="2" t="s">
        <v>1794</v>
      </c>
      <c r="D422" s="14" t="s">
        <v>1795</v>
      </c>
    </row>
    <row r="423">
      <c r="A423" s="2" t="s">
        <v>2841</v>
      </c>
      <c r="B423" s="2" t="s">
        <v>2842</v>
      </c>
      <c r="C423" s="2" t="s">
        <v>1798</v>
      </c>
      <c r="D423" s="14" t="s">
        <v>1799</v>
      </c>
    </row>
    <row r="424">
      <c r="A424" s="2" t="s">
        <v>2841</v>
      </c>
      <c r="B424" s="2" t="s">
        <v>2842</v>
      </c>
      <c r="C424" s="2" t="s">
        <v>1800</v>
      </c>
      <c r="D424" s="14" t="s">
        <v>1801</v>
      </c>
    </row>
    <row r="425">
      <c r="A425" s="2" t="s">
        <v>2841</v>
      </c>
      <c r="B425" s="2" t="s">
        <v>2842</v>
      </c>
      <c r="C425" s="2" t="s">
        <v>1804</v>
      </c>
      <c r="D425" s="14" t="s">
        <v>1805</v>
      </c>
    </row>
    <row r="426">
      <c r="A426" s="2" t="s">
        <v>2841</v>
      </c>
      <c r="B426" s="2" t="s">
        <v>2842</v>
      </c>
      <c r="C426" s="2" t="s">
        <v>1806</v>
      </c>
      <c r="D426" s="14" t="s">
        <v>1807</v>
      </c>
    </row>
    <row r="427">
      <c r="A427" s="2" t="s">
        <v>2841</v>
      </c>
      <c r="B427" s="2" t="s">
        <v>2842</v>
      </c>
      <c r="C427" s="2" t="s">
        <v>1810</v>
      </c>
      <c r="D427" s="14" t="s">
        <v>1811</v>
      </c>
    </row>
    <row r="428">
      <c r="A428" s="2" t="s">
        <v>2841</v>
      </c>
      <c r="B428" s="2" t="s">
        <v>2842</v>
      </c>
      <c r="C428" s="2" t="s">
        <v>1813</v>
      </c>
      <c r="D428" s="14" t="s">
        <v>1814</v>
      </c>
    </row>
    <row r="429">
      <c r="A429" s="2" t="s">
        <v>2841</v>
      </c>
      <c r="B429" s="2" t="s">
        <v>2842</v>
      </c>
      <c r="C429" s="2" t="s">
        <v>1816</v>
      </c>
      <c r="D429" s="14" t="s">
        <v>1817</v>
      </c>
    </row>
    <row r="430">
      <c r="A430" s="2" t="s">
        <v>2841</v>
      </c>
      <c r="B430" s="2" t="s">
        <v>2842</v>
      </c>
      <c r="C430" s="2" t="s">
        <v>1818</v>
      </c>
      <c r="D430" s="14" t="s">
        <v>1819</v>
      </c>
    </row>
    <row r="431">
      <c r="A431" s="2" t="s">
        <v>2841</v>
      </c>
      <c r="B431" s="2" t="s">
        <v>2842</v>
      </c>
      <c r="C431" s="2" t="s">
        <v>1821</v>
      </c>
      <c r="D431" s="14" t="s">
        <v>1822</v>
      </c>
    </row>
    <row r="432">
      <c r="A432" s="2" t="s">
        <v>2841</v>
      </c>
      <c r="B432" s="2" t="s">
        <v>2842</v>
      </c>
      <c r="C432" s="2" t="s">
        <v>1824</v>
      </c>
      <c r="D432" s="14" t="s">
        <v>1825</v>
      </c>
    </row>
    <row r="433">
      <c r="A433" s="2" t="s">
        <v>2841</v>
      </c>
      <c r="B433" s="2" t="s">
        <v>2842</v>
      </c>
      <c r="C433" s="2" t="s">
        <v>1826</v>
      </c>
      <c r="D433" s="14" t="s">
        <v>1827</v>
      </c>
    </row>
    <row r="434">
      <c r="A434" s="2" t="s">
        <v>2841</v>
      </c>
      <c r="B434" s="2" t="s">
        <v>2842</v>
      </c>
      <c r="C434" s="2" t="s">
        <v>1829</v>
      </c>
      <c r="D434" s="14" t="s">
        <v>1830</v>
      </c>
    </row>
    <row r="435">
      <c r="A435" s="2" t="s">
        <v>2841</v>
      </c>
      <c r="B435" s="2" t="s">
        <v>2842</v>
      </c>
      <c r="C435" s="2" t="s">
        <v>1832</v>
      </c>
      <c r="D435" s="14" t="s">
        <v>1833</v>
      </c>
    </row>
    <row r="436">
      <c r="A436" s="2" t="s">
        <v>2841</v>
      </c>
      <c r="B436" s="2" t="s">
        <v>2842</v>
      </c>
      <c r="C436" s="2" t="s">
        <v>1835</v>
      </c>
      <c r="D436" s="14" t="s">
        <v>1836</v>
      </c>
    </row>
    <row r="437">
      <c r="A437" s="2" t="s">
        <v>2841</v>
      </c>
      <c r="B437" s="2" t="s">
        <v>2842</v>
      </c>
      <c r="C437" s="2" t="s">
        <v>1837</v>
      </c>
      <c r="D437" s="14" t="s">
        <v>1838</v>
      </c>
    </row>
    <row r="438">
      <c r="A438" s="2" t="s">
        <v>2841</v>
      </c>
      <c r="B438" s="2" t="s">
        <v>2842</v>
      </c>
      <c r="C438" s="2" t="s">
        <v>1840</v>
      </c>
      <c r="D438" s="14" t="s">
        <v>1841</v>
      </c>
    </row>
    <row r="439">
      <c r="A439" s="2" t="s">
        <v>2841</v>
      </c>
      <c r="B439" s="2" t="s">
        <v>2842</v>
      </c>
      <c r="C439" s="2" t="s">
        <v>1843</v>
      </c>
      <c r="D439" s="14" t="s">
        <v>1844</v>
      </c>
    </row>
    <row r="440">
      <c r="A440" s="2" t="s">
        <v>2841</v>
      </c>
      <c r="B440" s="2" t="s">
        <v>2842</v>
      </c>
      <c r="C440" s="2" t="s">
        <v>1846</v>
      </c>
      <c r="D440" s="14" t="s">
        <v>1847</v>
      </c>
    </row>
    <row r="441">
      <c r="A441" s="2" t="s">
        <v>2841</v>
      </c>
      <c r="B441" s="2" t="s">
        <v>2842</v>
      </c>
      <c r="C441" s="2" t="s">
        <v>1849</v>
      </c>
      <c r="D441" s="14" t="s">
        <v>1850</v>
      </c>
    </row>
    <row r="442">
      <c r="A442" s="2" t="s">
        <v>2841</v>
      </c>
      <c r="B442" s="2" t="s">
        <v>2842</v>
      </c>
      <c r="C442" s="2" t="s">
        <v>1853</v>
      </c>
      <c r="D442" s="14" t="s">
        <v>1854</v>
      </c>
    </row>
    <row r="443">
      <c r="A443" s="2" t="s">
        <v>2841</v>
      </c>
      <c r="B443" s="2" t="s">
        <v>2842</v>
      </c>
      <c r="C443" s="2" t="s">
        <v>1857</v>
      </c>
      <c r="D443" s="14" t="s">
        <v>1858</v>
      </c>
    </row>
    <row r="444">
      <c r="A444" s="2" t="s">
        <v>2841</v>
      </c>
      <c r="B444" s="2" t="s">
        <v>2842</v>
      </c>
      <c r="C444" s="2" t="s">
        <v>1860</v>
      </c>
      <c r="D444" s="14" t="s">
        <v>1861</v>
      </c>
    </row>
    <row r="445">
      <c r="A445" s="2" t="s">
        <v>2841</v>
      </c>
      <c r="B445" s="2" t="s">
        <v>2842</v>
      </c>
      <c r="C445" s="2" t="s">
        <v>1864</v>
      </c>
      <c r="D445" s="14" t="s">
        <v>1865</v>
      </c>
    </row>
    <row r="446">
      <c r="A446" s="2" t="s">
        <v>2841</v>
      </c>
      <c r="B446" s="2" t="s">
        <v>2842</v>
      </c>
      <c r="C446" s="2" t="s">
        <v>1868</v>
      </c>
      <c r="D446" s="14" t="s">
        <v>1869</v>
      </c>
    </row>
    <row r="447">
      <c r="A447" s="2" t="s">
        <v>2841</v>
      </c>
      <c r="B447" s="2" t="s">
        <v>2842</v>
      </c>
      <c r="C447" s="2" t="s">
        <v>1871</v>
      </c>
      <c r="D447" s="14" t="s">
        <v>1873</v>
      </c>
    </row>
    <row r="448">
      <c r="A448" s="2" t="s">
        <v>2841</v>
      </c>
      <c r="B448" s="2" t="s">
        <v>2842</v>
      </c>
      <c r="C448" s="2" t="s">
        <v>1875</v>
      </c>
      <c r="D448" s="14" t="s">
        <v>1876</v>
      </c>
    </row>
    <row r="449">
      <c r="A449" s="2" t="s">
        <v>2841</v>
      </c>
      <c r="B449" s="2" t="s">
        <v>2842</v>
      </c>
      <c r="C449" s="2" t="s">
        <v>1879</v>
      </c>
      <c r="D449" s="14" t="s">
        <v>1880</v>
      </c>
    </row>
    <row r="450">
      <c r="A450" s="2" t="s">
        <v>2841</v>
      </c>
      <c r="B450" s="2" t="s">
        <v>2842</v>
      </c>
      <c r="C450" s="2" t="s">
        <v>1885</v>
      </c>
      <c r="D450" s="14" t="s">
        <v>1886</v>
      </c>
    </row>
    <row r="451">
      <c r="A451" s="2" t="s">
        <v>2841</v>
      </c>
      <c r="B451" s="2" t="s">
        <v>2842</v>
      </c>
      <c r="C451" s="2" t="s">
        <v>1892</v>
      </c>
      <c r="D451" s="14" t="s">
        <v>1893</v>
      </c>
    </row>
    <row r="452">
      <c r="A452" s="2" t="s">
        <v>2841</v>
      </c>
      <c r="B452" s="2" t="s">
        <v>2842</v>
      </c>
      <c r="C452" s="2" t="s">
        <v>1896</v>
      </c>
      <c r="D452" s="14" t="s">
        <v>1897</v>
      </c>
    </row>
    <row r="453">
      <c r="A453" s="2" t="s">
        <v>2841</v>
      </c>
      <c r="B453" s="2" t="s">
        <v>2842</v>
      </c>
      <c r="C453" s="2" t="s">
        <v>1900</v>
      </c>
      <c r="D453" s="14" t="s">
        <v>1901</v>
      </c>
    </row>
    <row r="454">
      <c r="A454" s="2" t="s">
        <v>2841</v>
      </c>
      <c r="B454" s="2" t="s">
        <v>2842</v>
      </c>
      <c r="C454" s="2" t="s">
        <v>1903</v>
      </c>
      <c r="D454" s="14" t="s">
        <v>1904</v>
      </c>
    </row>
    <row r="455">
      <c r="A455" s="2" t="s">
        <v>2841</v>
      </c>
      <c r="B455" s="2" t="s">
        <v>2842</v>
      </c>
      <c r="C455" s="2" t="s">
        <v>1907</v>
      </c>
      <c r="D455" s="14" t="s">
        <v>1908</v>
      </c>
    </row>
    <row r="456">
      <c r="A456" s="2" t="s">
        <v>2841</v>
      </c>
      <c r="B456" s="2" t="s">
        <v>2842</v>
      </c>
      <c r="C456" s="2" t="s">
        <v>1910</v>
      </c>
      <c r="D456" s="14" t="s">
        <v>1911</v>
      </c>
    </row>
    <row r="457">
      <c r="A457" s="2" t="s">
        <v>2841</v>
      </c>
      <c r="B457" s="2" t="s">
        <v>2842</v>
      </c>
      <c r="C457" s="2" t="s">
        <v>1915</v>
      </c>
      <c r="D457" s="14" t="s">
        <v>1916</v>
      </c>
    </row>
    <row r="458">
      <c r="A458" s="2" t="s">
        <v>2841</v>
      </c>
      <c r="B458" s="2" t="s">
        <v>2842</v>
      </c>
      <c r="C458" s="2" t="s">
        <v>1923</v>
      </c>
      <c r="D458" s="14" t="s">
        <v>1924</v>
      </c>
    </row>
    <row r="459">
      <c r="A459" s="2" t="s">
        <v>2841</v>
      </c>
      <c r="B459" s="2" t="s">
        <v>2842</v>
      </c>
      <c r="C459" s="2" t="s">
        <v>1933</v>
      </c>
      <c r="D459" s="14" t="s">
        <v>1935</v>
      </c>
    </row>
    <row r="460">
      <c r="A460" s="2" t="s">
        <v>2841</v>
      </c>
      <c r="B460" s="2" t="s">
        <v>2842</v>
      </c>
      <c r="C460" s="2" t="s">
        <v>1941</v>
      </c>
      <c r="D460" s="14" t="s">
        <v>1942</v>
      </c>
    </row>
    <row r="461">
      <c r="A461" s="2" t="s">
        <v>2841</v>
      </c>
      <c r="B461" s="2" t="s">
        <v>2842</v>
      </c>
      <c r="C461" s="2" t="s">
        <v>1949</v>
      </c>
      <c r="D461" s="14" t="s">
        <v>1950</v>
      </c>
    </row>
    <row r="462">
      <c r="A462" s="2" t="s">
        <v>2841</v>
      </c>
      <c r="B462" s="2" t="s">
        <v>2842</v>
      </c>
      <c r="C462" s="2" t="s">
        <v>1958</v>
      </c>
      <c r="D462" s="14" t="s">
        <v>1960</v>
      </c>
    </row>
    <row r="463">
      <c r="A463" s="2" t="s">
        <v>2841</v>
      </c>
      <c r="B463" s="2" t="s">
        <v>2842</v>
      </c>
      <c r="C463" s="2" t="s">
        <v>1968</v>
      </c>
      <c r="D463" s="14" t="s">
        <v>1969</v>
      </c>
    </row>
    <row r="464">
      <c r="A464" s="2" t="s">
        <v>2841</v>
      </c>
      <c r="B464" s="2" t="s">
        <v>2842</v>
      </c>
      <c r="C464" s="2" t="s">
        <v>1978</v>
      </c>
      <c r="D464" s="14" t="s">
        <v>1979</v>
      </c>
    </row>
    <row r="465">
      <c r="A465" s="2" t="s">
        <v>2841</v>
      </c>
      <c r="B465" s="2" t="s">
        <v>2842</v>
      </c>
      <c r="C465" s="2" t="s">
        <v>1986</v>
      </c>
      <c r="D465" s="14" t="s">
        <v>1988</v>
      </c>
    </row>
    <row r="466">
      <c r="A466" s="2" t="s">
        <v>2841</v>
      </c>
      <c r="B466" s="2" t="s">
        <v>2842</v>
      </c>
      <c r="C466" s="2" t="s">
        <v>1997</v>
      </c>
      <c r="D466" s="14" t="s">
        <v>1998</v>
      </c>
    </row>
    <row r="467">
      <c r="A467" s="2" t="s">
        <v>2841</v>
      </c>
      <c r="B467" s="2" t="s">
        <v>2842</v>
      </c>
      <c r="C467" s="2" t="s">
        <v>2001</v>
      </c>
      <c r="D467" s="14" t="s">
        <v>2002</v>
      </c>
    </row>
    <row r="468">
      <c r="A468" s="2" t="s">
        <v>2841</v>
      </c>
      <c r="B468" s="2" t="s">
        <v>2842</v>
      </c>
      <c r="C468" s="2" t="s">
        <v>2005</v>
      </c>
      <c r="D468" s="14" t="s">
        <v>2006</v>
      </c>
    </row>
    <row r="469">
      <c r="A469" s="2" t="s">
        <v>2841</v>
      </c>
      <c r="B469" s="2" t="s">
        <v>2842</v>
      </c>
      <c r="C469" s="2" t="s">
        <v>2011</v>
      </c>
      <c r="D469" s="14" t="s">
        <v>2012</v>
      </c>
    </row>
    <row r="470">
      <c r="A470" s="2" t="s">
        <v>2841</v>
      </c>
      <c r="B470" s="2" t="s">
        <v>2842</v>
      </c>
      <c r="C470" s="2" t="s">
        <v>2014</v>
      </c>
      <c r="D470" s="14" t="s">
        <v>2015</v>
      </c>
    </row>
    <row r="471">
      <c r="A471" s="2" t="s">
        <v>2841</v>
      </c>
      <c r="B471" s="2" t="s">
        <v>2842</v>
      </c>
      <c r="C471" s="2" t="s">
        <v>2020</v>
      </c>
      <c r="D471" s="14" t="s">
        <v>2021</v>
      </c>
    </row>
    <row r="472">
      <c r="A472" s="2" t="s">
        <v>2841</v>
      </c>
      <c r="B472" s="2" t="s">
        <v>2842</v>
      </c>
      <c r="C472" s="2" t="s">
        <v>2023</v>
      </c>
      <c r="D472" s="14" t="s">
        <v>2024</v>
      </c>
    </row>
    <row r="473">
      <c r="A473" s="2" t="s">
        <v>2841</v>
      </c>
      <c r="B473" s="2" t="s">
        <v>2842</v>
      </c>
      <c r="C473" s="2" t="s">
        <v>2028</v>
      </c>
      <c r="D473" s="14" t="s">
        <v>2029</v>
      </c>
    </row>
    <row r="474">
      <c r="A474" s="2" t="s">
        <v>2841</v>
      </c>
      <c r="B474" s="2" t="s">
        <v>2842</v>
      </c>
      <c r="C474" s="2" t="s">
        <v>2033</v>
      </c>
      <c r="D474" s="14" t="s">
        <v>2034</v>
      </c>
    </row>
    <row r="475">
      <c r="A475" s="2" t="s">
        <v>2841</v>
      </c>
      <c r="B475" s="2" t="s">
        <v>2842</v>
      </c>
      <c r="C475" s="2" t="s">
        <v>2038</v>
      </c>
      <c r="D475" s="14" t="s">
        <v>2039</v>
      </c>
    </row>
    <row r="476">
      <c r="A476" s="2" t="s">
        <v>2841</v>
      </c>
      <c r="B476" s="2" t="s">
        <v>2842</v>
      </c>
      <c r="C476" s="2" t="s">
        <v>2041</v>
      </c>
      <c r="D476" s="14" t="s">
        <v>2042</v>
      </c>
    </row>
    <row r="477">
      <c r="A477" s="2" t="s">
        <v>2841</v>
      </c>
      <c r="B477" s="2" t="s">
        <v>2842</v>
      </c>
      <c r="C477" s="2" t="s">
        <v>2045</v>
      </c>
      <c r="D477" s="14" t="s">
        <v>2046</v>
      </c>
    </row>
    <row r="478">
      <c r="A478" s="2" t="s">
        <v>2841</v>
      </c>
      <c r="B478" s="2" t="s">
        <v>2842</v>
      </c>
      <c r="C478" s="2" t="s">
        <v>2048</v>
      </c>
      <c r="D478" s="14" t="s">
        <v>2049</v>
      </c>
    </row>
    <row r="479">
      <c r="A479" s="2" t="s">
        <v>2841</v>
      </c>
      <c r="B479" s="2" t="s">
        <v>2842</v>
      </c>
      <c r="C479" s="2" t="s">
        <v>2052</v>
      </c>
      <c r="D479" s="14" t="s">
        <v>2053</v>
      </c>
    </row>
    <row r="480">
      <c r="A480" s="2" t="s">
        <v>2841</v>
      </c>
      <c r="B480" s="2" t="s">
        <v>2842</v>
      </c>
      <c r="C480" s="2" t="s">
        <v>2056</v>
      </c>
      <c r="D480" s="14" t="s">
        <v>2057</v>
      </c>
    </row>
    <row r="481">
      <c r="A481" s="2" t="s">
        <v>2841</v>
      </c>
      <c r="B481" s="2" t="s">
        <v>2842</v>
      </c>
      <c r="C481" s="2" t="s">
        <v>2061</v>
      </c>
      <c r="D481" s="14" t="s">
        <v>2063</v>
      </c>
    </row>
    <row r="482">
      <c r="A482" s="2" t="s">
        <v>2841</v>
      </c>
      <c r="B482" s="2" t="s">
        <v>2842</v>
      </c>
      <c r="C482" s="2" t="s">
        <v>2067</v>
      </c>
      <c r="D482" s="14" t="s">
        <v>2069</v>
      </c>
    </row>
    <row r="483">
      <c r="A483" s="2" t="s">
        <v>2841</v>
      </c>
      <c r="B483" s="2" t="s">
        <v>2842</v>
      </c>
      <c r="C483" s="2" t="s">
        <v>2073</v>
      </c>
      <c r="D483" s="14" t="s">
        <v>2074</v>
      </c>
    </row>
    <row r="484">
      <c r="A484" s="2" t="s">
        <v>2841</v>
      </c>
      <c r="B484" s="2" t="s">
        <v>2842</v>
      </c>
      <c r="C484" s="2" t="s">
        <v>2078</v>
      </c>
      <c r="D484" s="14" t="s">
        <v>2079</v>
      </c>
    </row>
    <row r="485">
      <c r="A485" s="2" t="s">
        <v>2841</v>
      </c>
      <c r="B485" s="2" t="s">
        <v>2842</v>
      </c>
      <c r="C485" s="2" t="s">
        <v>2083</v>
      </c>
      <c r="D485" s="14" t="s">
        <v>2084</v>
      </c>
    </row>
    <row r="486">
      <c r="A486" s="2" t="s">
        <v>2841</v>
      </c>
      <c r="B486" s="2" t="s">
        <v>3034</v>
      </c>
      <c r="C486" s="2" t="s">
        <v>2086</v>
      </c>
      <c r="D486" s="14" t="s">
        <v>2087</v>
      </c>
    </row>
    <row r="487">
      <c r="A487" s="2" t="s">
        <v>2841</v>
      </c>
      <c r="B487" s="2" t="s">
        <v>3034</v>
      </c>
      <c r="C487" s="2" t="s">
        <v>2089</v>
      </c>
      <c r="D487" s="14" t="s">
        <v>2090</v>
      </c>
    </row>
    <row r="488">
      <c r="A488" s="2" t="s">
        <v>2841</v>
      </c>
      <c r="B488" s="2" t="s">
        <v>3034</v>
      </c>
      <c r="C488" s="2" t="s">
        <v>3043</v>
      </c>
      <c r="D488" s="14" t="s">
        <v>2092</v>
      </c>
    </row>
    <row r="489">
      <c r="A489" s="2" t="s">
        <v>2841</v>
      </c>
      <c r="B489" s="2" t="s">
        <v>3034</v>
      </c>
      <c r="C489" s="2" t="s">
        <v>2094</v>
      </c>
      <c r="D489" s="14" t="s">
        <v>2096</v>
      </c>
    </row>
    <row r="490">
      <c r="A490" s="2" t="s">
        <v>2841</v>
      </c>
      <c r="B490" s="2" t="s">
        <v>3034</v>
      </c>
      <c r="C490" s="2" t="s">
        <v>3048</v>
      </c>
      <c r="D490" s="14" t="s">
        <v>2100</v>
      </c>
    </row>
    <row r="491">
      <c r="A491" s="2" t="s">
        <v>2841</v>
      </c>
      <c r="B491" s="2" t="s">
        <v>3034</v>
      </c>
      <c r="C491" s="2" t="s">
        <v>3051</v>
      </c>
      <c r="D491" s="14" t="s">
        <v>2105</v>
      </c>
    </row>
    <row r="492">
      <c r="A492" s="2" t="s">
        <v>2841</v>
      </c>
      <c r="B492" s="2" t="s">
        <v>3034</v>
      </c>
      <c r="C492" s="2" t="s">
        <v>3052</v>
      </c>
      <c r="D492" s="14" t="s">
        <v>2111</v>
      </c>
    </row>
    <row r="493">
      <c r="A493" s="2" t="s">
        <v>2841</v>
      </c>
      <c r="B493" s="2" t="s">
        <v>3034</v>
      </c>
      <c r="C493" s="2" t="s">
        <v>3053</v>
      </c>
      <c r="D493" s="14" t="s">
        <v>2114</v>
      </c>
    </row>
    <row r="494">
      <c r="A494" s="2" t="s">
        <v>2841</v>
      </c>
      <c r="B494" s="2" t="s">
        <v>3034</v>
      </c>
      <c r="C494" s="2" t="s">
        <v>3056</v>
      </c>
      <c r="D494" s="14" t="s">
        <v>2119</v>
      </c>
    </row>
    <row r="495">
      <c r="A495" s="2" t="s">
        <v>2841</v>
      </c>
      <c r="B495" s="2" t="s">
        <v>3034</v>
      </c>
      <c r="C495" s="2" t="s">
        <v>3059</v>
      </c>
      <c r="D495" s="14" t="s">
        <v>2128</v>
      </c>
    </row>
    <row r="496">
      <c r="A496" s="2" t="s">
        <v>2841</v>
      </c>
      <c r="B496" s="2" t="s">
        <v>3034</v>
      </c>
      <c r="C496" s="2" t="s">
        <v>3062</v>
      </c>
      <c r="D496" s="14" t="s">
        <v>2140</v>
      </c>
    </row>
    <row r="497">
      <c r="A497" s="2" t="s">
        <v>2841</v>
      </c>
      <c r="B497" s="2" t="s">
        <v>3034</v>
      </c>
      <c r="C497" s="2" t="s">
        <v>3065</v>
      </c>
      <c r="D497" s="14" t="s">
        <v>2146</v>
      </c>
    </row>
    <row r="498">
      <c r="A498" s="2" t="s">
        <v>2841</v>
      </c>
      <c r="B498" s="2" t="s">
        <v>3034</v>
      </c>
      <c r="C498" s="2" t="s">
        <v>3068</v>
      </c>
      <c r="D498" s="14" t="s">
        <v>2150</v>
      </c>
    </row>
    <row r="499">
      <c r="A499" s="2" t="s">
        <v>2841</v>
      </c>
      <c r="B499" s="2" t="s">
        <v>3034</v>
      </c>
      <c r="C499" s="2" t="s">
        <v>3071</v>
      </c>
      <c r="D499" s="14" t="s">
        <v>2155</v>
      </c>
    </row>
    <row r="500">
      <c r="A500" s="2" t="s">
        <v>2841</v>
      </c>
      <c r="B500" s="2" t="s">
        <v>3034</v>
      </c>
      <c r="C500" s="2" t="s">
        <v>3075</v>
      </c>
      <c r="D500" s="14" t="s">
        <v>2159</v>
      </c>
    </row>
    <row r="501">
      <c r="A501" s="2" t="s">
        <v>2841</v>
      </c>
      <c r="B501" s="2" t="s">
        <v>3034</v>
      </c>
      <c r="C501" s="2" t="s">
        <v>2162</v>
      </c>
      <c r="D501" s="14" t="s">
        <v>2164</v>
      </c>
    </row>
    <row r="502">
      <c r="A502" s="2" t="s">
        <v>2841</v>
      </c>
      <c r="B502" s="2" t="s">
        <v>3034</v>
      </c>
      <c r="C502" s="2" t="s">
        <v>2167</v>
      </c>
      <c r="D502" s="14" t="s">
        <v>2168</v>
      </c>
    </row>
    <row r="503">
      <c r="A503" s="2" t="s">
        <v>2841</v>
      </c>
      <c r="B503" s="2" t="s">
        <v>3034</v>
      </c>
      <c r="C503" s="2" t="s">
        <v>2171</v>
      </c>
      <c r="D503" s="14" t="s">
        <v>2172</v>
      </c>
    </row>
    <row r="504">
      <c r="A504" s="2" t="s">
        <v>2841</v>
      </c>
      <c r="B504" s="2" t="s">
        <v>3034</v>
      </c>
      <c r="C504" s="2" t="s">
        <v>2176</v>
      </c>
      <c r="D504" s="14" t="s">
        <v>2177</v>
      </c>
    </row>
    <row r="505">
      <c r="A505" s="2" t="s">
        <v>2841</v>
      </c>
      <c r="B505" s="2" t="s">
        <v>3034</v>
      </c>
      <c r="C505" s="2" t="s">
        <v>2182</v>
      </c>
      <c r="D505" s="14" t="s">
        <v>2183</v>
      </c>
    </row>
    <row r="506">
      <c r="A506" s="2" t="s">
        <v>2841</v>
      </c>
      <c r="B506" s="2" t="s">
        <v>3034</v>
      </c>
      <c r="C506" s="2" t="s">
        <v>2187</v>
      </c>
      <c r="D506" s="14" t="s">
        <v>2188</v>
      </c>
    </row>
    <row r="507">
      <c r="A507" s="2" t="s">
        <v>2841</v>
      </c>
      <c r="B507" s="2" t="s">
        <v>3034</v>
      </c>
      <c r="C507" s="2" t="s">
        <v>2193</v>
      </c>
      <c r="D507" s="14" t="s">
        <v>2194</v>
      </c>
    </row>
    <row r="508">
      <c r="A508" s="2" t="s">
        <v>2841</v>
      </c>
      <c r="B508" s="2" t="s">
        <v>3034</v>
      </c>
      <c r="C508" s="2" t="s">
        <v>2198</v>
      </c>
      <c r="D508" s="14" t="s">
        <v>2199</v>
      </c>
    </row>
    <row r="509">
      <c r="A509" s="2" t="s">
        <v>2841</v>
      </c>
      <c r="B509" s="2" t="s">
        <v>3034</v>
      </c>
      <c r="C509" s="2" t="s">
        <v>2201</v>
      </c>
      <c r="D509" s="14" t="s">
        <v>2202</v>
      </c>
    </row>
    <row r="510">
      <c r="A510" s="2" t="s">
        <v>2841</v>
      </c>
      <c r="B510" s="2" t="s">
        <v>3034</v>
      </c>
      <c r="C510" s="2" t="s">
        <v>2207</v>
      </c>
      <c r="D510" s="14" t="s">
        <v>2208</v>
      </c>
    </row>
    <row r="511">
      <c r="A511" s="2" t="s">
        <v>2841</v>
      </c>
      <c r="B511" s="2" t="s">
        <v>3034</v>
      </c>
      <c r="C511" s="2" t="s">
        <v>2212</v>
      </c>
      <c r="D511" s="14" t="s">
        <v>2213</v>
      </c>
    </row>
    <row r="512">
      <c r="A512" s="2" t="s">
        <v>2841</v>
      </c>
      <c r="B512" s="2" t="s">
        <v>3034</v>
      </c>
      <c r="C512" s="2" t="s">
        <v>2218</v>
      </c>
      <c r="D512" s="14" t="s">
        <v>2219</v>
      </c>
    </row>
    <row r="513">
      <c r="A513" s="2" t="s">
        <v>2841</v>
      </c>
      <c r="B513" s="2" t="s">
        <v>3034</v>
      </c>
      <c r="C513" s="2" t="s">
        <v>2222</v>
      </c>
      <c r="D513" s="14" t="s">
        <v>2223</v>
      </c>
    </row>
    <row r="514">
      <c r="A514" s="2" t="s">
        <v>2841</v>
      </c>
      <c r="B514" s="2" t="s">
        <v>3034</v>
      </c>
      <c r="C514" s="2" t="s">
        <v>2226</v>
      </c>
      <c r="D514" s="14" t="s">
        <v>2227</v>
      </c>
    </row>
    <row r="515">
      <c r="A515" s="2" t="s">
        <v>2841</v>
      </c>
      <c r="B515" s="2" t="s">
        <v>3034</v>
      </c>
      <c r="C515" s="2" t="s">
        <v>2231</v>
      </c>
      <c r="D515" s="14" t="s">
        <v>2232</v>
      </c>
    </row>
    <row r="516">
      <c r="A516" s="2" t="s">
        <v>2841</v>
      </c>
      <c r="B516" s="2" t="s">
        <v>3034</v>
      </c>
      <c r="C516" s="2" t="s">
        <v>2235</v>
      </c>
      <c r="D516" s="14" t="s">
        <v>2236</v>
      </c>
    </row>
    <row r="517">
      <c r="A517" s="2" t="s">
        <v>2841</v>
      </c>
      <c r="B517" s="2" t="s">
        <v>3034</v>
      </c>
      <c r="C517" s="2" t="s">
        <v>2241</v>
      </c>
      <c r="D517" s="14" t="s">
        <v>2242</v>
      </c>
    </row>
    <row r="518">
      <c r="A518" s="2" t="s">
        <v>2841</v>
      </c>
      <c r="B518" s="2" t="s">
        <v>3034</v>
      </c>
      <c r="C518" s="2" t="s">
        <v>2245</v>
      </c>
      <c r="D518" s="14" t="s">
        <v>2246</v>
      </c>
    </row>
    <row r="519">
      <c r="A519" s="2" t="s">
        <v>2841</v>
      </c>
      <c r="B519" s="2" t="s">
        <v>3034</v>
      </c>
      <c r="C519" s="2" t="s">
        <v>3123</v>
      </c>
      <c r="D519" s="14" t="s">
        <v>2251</v>
      </c>
    </row>
    <row r="520">
      <c r="A520" s="2" t="s">
        <v>2841</v>
      </c>
      <c r="B520" s="2" t="s">
        <v>3034</v>
      </c>
      <c r="C520" s="2" t="s">
        <v>2257</v>
      </c>
      <c r="D520" s="14" t="s">
        <v>2258</v>
      </c>
    </row>
    <row r="521">
      <c r="A521" s="2" t="s">
        <v>2841</v>
      </c>
      <c r="B521" s="2" t="s">
        <v>3034</v>
      </c>
      <c r="C521" s="2" t="s">
        <v>2263</v>
      </c>
      <c r="D521" s="14" t="s">
        <v>2264</v>
      </c>
    </row>
    <row r="522">
      <c r="A522" s="2" t="s">
        <v>2841</v>
      </c>
      <c r="B522" s="2" t="s">
        <v>3034</v>
      </c>
      <c r="C522" s="2" t="s">
        <v>456</v>
      </c>
      <c r="D522" s="14" t="s">
        <v>2269</v>
      </c>
    </row>
    <row r="523">
      <c r="A523" s="2" t="s">
        <v>2841</v>
      </c>
      <c r="B523" s="2" t="s">
        <v>3034</v>
      </c>
      <c r="C523" s="2" t="s">
        <v>2273</v>
      </c>
      <c r="D523" s="14" t="s">
        <v>2274</v>
      </c>
    </row>
    <row r="524">
      <c r="A524" s="2" t="s">
        <v>2841</v>
      </c>
      <c r="B524" s="2" t="s">
        <v>3034</v>
      </c>
      <c r="C524" s="2" t="s">
        <v>2279</v>
      </c>
      <c r="D524" s="14" t="s">
        <v>2280</v>
      </c>
    </row>
    <row r="525">
      <c r="A525" s="2" t="s">
        <v>2841</v>
      </c>
      <c r="B525" s="2" t="s">
        <v>3034</v>
      </c>
      <c r="C525" s="2" t="s">
        <v>2284</v>
      </c>
      <c r="D525" s="14" t="s">
        <v>2285</v>
      </c>
    </row>
    <row r="526">
      <c r="A526" s="2" t="s">
        <v>2841</v>
      </c>
      <c r="B526" s="2" t="s">
        <v>3034</v>
      </c>
      <c r="C526" s="2" t="s">
        <v>2291</v>
      </c>
      <c r="D526" s="14" t="s">
        <v>2292</v>
      </c>
    </row>
    <row r="527">
      <c r="A527" s="2" t="s">
        <v>2841</v>
      </c>
      <c r="B527" s="2" t="s">
        <v>3034</v>
      </c>
      <c r="C527" s="2" t="s">
        <v>172</v>
      </c>
      <c r="D527" s="14" t="s">
        <v>2303</v>
      </c>
    </row>
    <row r="528">
      <c r="A528" s="2" t="s">
        <v>2841</v>
      </c>
      <c r="B528" s="2" t="s">
        <v>3034</v>
      </c>
      <c r="C528" s="2" t="s">
        <v>2314</v>
      </c>
      <c r="D528" s="14" t="s">
        <v>2316</v>
      </c>
    </row>
    <row r="529">
      <c r="A529" s="2" t="s">
        <v>2841</v>
      </c>
      <c r="B529" s="2" t="s">
        <v>3034</v>
      </c>
      <c r="C529" s="2" t="s">
        <v>2319</v>
      </c>
      <c r="D529" s="14" t="s">
        <v>2320</v>
      </c>
    </row>
    <row r="530">
      <c r="A530" s="2" t="s">
        <v>2841</v>
      </c>
      <c r="B530" s="2" t="s">
        <v>3034</v>
      </c>
      <c r="C530" s="2" t="s">
        <v>157</v>
      </c>
      <c r="D530" s="14" t="s">
        <v>2329</v>
      </c>
    </row>
    <row r="531">
      <c r="A531" s="2" t="s">
        <v>2841</v>
      </c>
      <c r="B531" s="2" t="s">
        <v>3034</v>
      </c>
      <c r="C531" s="2" t="s">
        <v>2334</v>
      </c>
      <c r="D531" s="14" t="s">
        <v>2335</v>
      </c>
    </row>
    <row r="532">
      <c r="A532" s="2" t="s">
        <v>2841</v>
      </c>
      <c r="B532" s="2" t="s">
        <v>3034</v>
      </c>
      <c r="C532" s="2" t="s">
        <v>2338</v>
      </c>
      <c r="D532" s="14" t="s">
        <v>2339</v>
      </c>
    </row>
    <row r="533">
      <c r="A533" s="2" t="s">
        <v>2841</v>
      </c>
      <c r="B533" s="2" t="s">
        <v>3034</v>
      </c>
      <c r="C533" s="2" t="s">
        <v>3158</v>
      </c>
      <c r="D533" s="14" t="s">
        <v>2343</v>
      </c>
    </row>
    <row r="534">
      <c r="A534" s="2" t="s">
        <v>2841</v>
      </c>
      <c r="B534" s="2" t="s">
        <v>3034</v>
      </c>
      <c r="C534" s="2" t="s">
        <v>3162</v>
      </c>
      <c r="D534" s="14" t="s">
        <v>2347</v>
      </c>
    </row>
    <row r="535">
      <c r="A535" s="2" t="s">
        <v>2841</v>
      </c>
      <c r="B535" s="2" t="s">
        <v>3034</v>
      </c>
      <c r="C535" s="2" t="s">
        <v>2351</v>
      </c>
      <c r="D535" s="14" t="s">
        <v>2353</v>
      </c>
    </row>
    <row r="536">
      <c r="A536" s="2" t="s">
        <v>2841</v>
      </c>
      <c r="B536" s="2" t="s">
        <v>3034</v>
      </c>
      <c r="C536" s="2" t="s">
        <v>3167</v>
      </c>
      <c r="D536" s="14" t="s">
        <v>2357</v>
      </c>
    </row>
    <row r="537">
      <c r="A537" s="2" t="s">
        <v>2841</v>
      </c>
      <c r="B537" s="2" t="s">
        <v>3034</v>
      </c>
      <c r="C537" s="2" t="s">
        <v>3171</v>
      </c>
      <c r="D537" s="14" t="s">
        <v>2359</v>
      </c>
    </row>
    <row r="538">
      <c r="A538" s="2" t="s">
        <v>2841</v>
      </c>
      <c r="B538" s="2" t="s">
        <v>3034</v>
      </c>
      <c r="C538" s="2" t="s">
        <v>2363</v>
      </c>
      <c r="D538" s="14" t="s">
        <v>2364</v>
      </c>
    </row>
    <row r="539">
      <c r="A539" s="2" t="s">
        <v>2841</v>
      </c>
      <c r="B539" s="2" t="s">
        <v>3034</v>
      </c>
      <c r="C539" s="2" t="s">
        <v>2367</v>
      </c>
      <c r="D539" s="14" t="s">
        <v>2368</v>
      </c>
    </row>
    <row r="540">
      <c r="A540" s="2" t="s">
        <v>2841</v>
      </c>
      <c r="B540" s="2" t="s">
        <v>3034</v>
      </c>
      <c r="C540" s="2" t="s">
        <v>181</v>
      </c>
      <c r="D540" s="14" t="s">
        <v>2371</v>
      </c>
    </row>
    <row r="541">
      <c r="A541" s="2" t="s">
        <v>2841</v>
      </c>
      <c r="B541" s="2" t="s">
        <v>3034</v>
      </c>
      <c r="C541" s="2" t="s">
        <v>3181</v>
      </c>
      <c r="D541" s="14" t="s">
        <v>2375</v>
      </c>
    </row>
    <row r="542">
      <c r="A542" s="2" t="s">
        <v>2841</v>
      </c>
      <c r="B542" s="2" t="s">
        <v>3034</v>
      </c>
      <c r="C542" s="2" t="s">
        <v>3186</v>
      </c>
      <c r="D542" s="14" t="s">
        <v>2379</v>
      </c>
    </row>
    <row r="543">
      <c r="A543" s="2" t="s">
        <v>2841</v>
      </c>
      <c r="B543" s="2" t="s">
        <v>3034</v>
      </c>
      <c r="C543" s="2" t="s">
        <v>2382</v>
      </c>
      <c r="D543" s="14" t="s">
        <v>2383</v>
      </c>
    </row>
    <row r="544">
      <c r="A544" s="2" t="s">
        <v>2841</v>
      </c>
      <c r="B544" s="2" t="s">
        <v>3034</v>
      </c>
      <c r="C544" s="2" t="s">
        <v>2387</v>
      </c>
      <c r="D544" s="14" t="s">
        <v>2388</v>
      </c>
    </row>
    <row r="545">
      <c r="A545" s="2" t="s">
        <v>2841</v>
      </c>
      <c r="B545" s="2" t="s">
        <v>3034</v>
      </c>
      <c r="C545" s="2" t="s">
        <v>2392</v>
      </c>
      <c r="D545" s="14" t="s">
        <v>2393</v>
      </c>
    </row>
    <row r="546">
      <c r="A546" s="2" t="s">
        <v>2841</v>
      </c>
      <c r="B546" s="2" t="s">
        <v>3034</v>
      </c>
      <c r="C546" s="2" t="s">
        <v>470</v>
      </c>
      <c r="D546" s="14" t="s">
        <v>2396</v>
      </c>
    </row>
    <row r="547">
      <c r="A547" s="2" t="s">
        <v>2841</v>
      </c>
      <c r="B547" s="2" t="s">
        <v>3034</v>
      </c>
      <c r="C547" s="2" t="s">
        <v>3204</v>
      </c>
      <c r="D547" s="14" t="s">
        <v>2401</v>
      </c>
    </row>
    <row r="548">
      <c r="A548" s="2" t="s">
        <v>2841</v>
      </c>
      <c r="B548" s="2" t="s">
        <v>3034</v>
      </c>
      <c r="C548" s="2" t="s">
        <v>3209</v>
      </c>
      <c r="D548" s="14" t="s">
        <v>2407</v>
      </c>
    </row>
    <row r="549">
      <c r="A549" s="2" t="s">
        <v>2841</v>
      </c>
      <c r="B549" s="2" t="s">
        <v>3034</v>
      </c>
      <c r="C549" s="2" t="s">
        <v>3212</v>
      </c>
      <c r="D549" s="14" t="s">
        <v>2410</v>
      </c>
    </row>
    <row r="550">
      <c r="A550" s="2" t="s">
        <v>2841</v>
      </c>
      <c r="B550" s="2" t="s">
        <v>3034</v>
      </c>
      <c r="C550" s="2" t="s">
        <v>3215</v>
      </c>
      <c r="D550" s="14" t="s">
        <v>2414</v>
      </c>
    </row>
    <row r="551">
      <c r="A551" s="2" t="s">
        <v>2841</v>
      </c>
      <c r="B551" s="2" t="s">
        <v>3034</v>
      </c>
      <c r="C551" s="2" t="s">
        <v>2417</v>
      </c>
      <c r="D551" s="14" t="s">
        <v>2418</v>
      </c>
    </row>
    <row r="552">
      <c r="A552" s="2" t="s">
        <v>2841</v>
      </c>
      <c r="B552" s="2" t="s">
        <v>3034</v>
      </c>
      <c r="C552" s="2" t="s">
        <v>3220</v>
      </c>
      <c r="D552" s="14" t="s">
        <v>2421</v>
      </c>
    </row>
    <row r="553">
      <c r="A553" s="2" t="s">
        <v>2841</v>
      </c>
      <c r="B553" s="2" t="s">
        <v>3034</v>
      </c>
      <c r="C553" s="2" t="s">
        <v>3223</v>
      </c>
      <c r="D553" s="14" t="s">
        <v>2423</v>
      </c>
    </row>
    <row r="554">
      <c r="A554" s="2" t="s">
        <v>2841</v>
      </c>
      <c r="B554" s="2" t="s">
        <v>3034</v>
      </c>
      <c r="C554" s="2" t="s">
        <v>2425</v>
      </c>
      <c r="D554" s="14" t="s">
        <v>2426</v>
      </c>
    </row>
    <row r="555">
      <c r="A555" s="2" t="s">
        <v>2841</v>
      </c>
      <c r="B555" s="2" t="s">
        <v>3034</v>
      </c>
      <c r="C555" s="2" t="s">
        <v>3229</v>
      </c>
      <c r="D555" s="14" t="s">
        <v>2429</v>
      </c>
    </row>
    <row r="556">
      <c r="A556" s="2" t="s">
        <v>2841</v>
      </c>
      <c r="B556" s="2" t="s">
        <v>3034</v>
      </c>
      <c r="C556" s="2" t="s">
        <v>2432</v>
      </c>
      <c r="D556" s="14" t="s">
        <v>2433</v>
      </c>
    </row>
    <row r="557">
      <c r="A557" s="2" t="s">
        <v>2841</v>
      </c>
      <c r="B557" s="2" t="s">
        <v>3034</v>
      </c>
      <c r="C557" s="2" t="s">
        <v>3235</v>
      </c>
      <c r="D557" s="14" t="s">
        <v>2437</v>
      </c>
    </row>
    <row r="558">
      <c r="A558" s="2" t="s">
        <v>2841</v>
      </c>
      <c r="B558" s="2" t="s">
        <v>3034</v>
      </c>
      <c r="C558" s="2" t="s">
        <v>3238</v>
      </c>
      <c r="D558" s="14" t="s">
        <v>2443</v>
      </c>
    </row>
    <row r="559">
      <c r="A559" s="2" t="s">
        <v>2841</v>
      </c>
      <c r="B559" s="2" t="s">
        <v>3034</v>
      </c>
      <c r="C559" s="2" t="s">
        <v>3239</v>
      </c>
      <c r="D559" s="14" t="s">
        <v>2446</v>
      </c>
    </row>
    <row r="560">
      <c r="A560" s="2" t="s">
        <v>2841</v>
      </c>
      <c r="B560" s="2" t="s">
        <v>3034</v>
      </c>
      <c r="C560" s="2" t="s">
        <v>3242</v>
      </c>
      <c r="D560" s="14" t="s">
        <v>2448</v>
      </c>
    </row>
    <row r="561">
      <c r="A561" s="2" t="s">
        <v>2841</v>
      </c>
      <c r="B561" s="2" t="s">
        <v>3034</v>
      </c>
      <c r="C561" s="2" t="s">
        <v>3245</v>
      </c>
      <c r="D561" s="14" t="s">
        <v>2451</v>
      </c>
    </row>
    <row r="562">
      <c r="A562" s="2" t="s">
        <v>2841</v>
      </c>
      <c r="B562" s="2" t="s">
        <v>3034</v>
      </c>
      <c r="C562" s="2" t="s">
        <v>3248</v>
      </c>
      <c r="D562" s="14" t="s">
        <v>2454</v>
      </c>
    </row>
    <row r="563">
      <c r="A563" s="2" t="s">
        <v>2841</v>
      </c>
      <c r="B563" s="2" t="s">
        <v>3034</v>
      </c>
      <c r="C563" s="2" t="s">
        <v>3251</v>
      </c>
      <c r="D563" s="14" t="s">
        <v>2459</v>
      </c>
    </row>
    <row r="564">
      <c r="A564" s="2" t="s">
        <v>2841</v>
      </c>
      <c r="B564" s="2" t="s">
        <v>3034</v>
      </c>
      <c r="C564" s="2" t="s">
        <v>3256</v>
      </c>
      <c r="D564" s="14" t="s">
        <v>2463</v>
      </c>
    </row>
    <row r="565">
      <c r="A565" s="2" t="s">
        <v>2841</v>
      </c>
      <c r="B565" s="2" t="s">
        <v>3034</v>
      </c>
      <c r="C565" s="2" t="s">
        <v>3259</v>
      </c>
      <c r="D565" s="14" t="s">
        <v>2467</v>
      </c>
    </row>
    <row r="566">
      <c r="A566" s="2" t="s">
        <v>2841</v>
      </c>
      <c r="B566" s="2" t="s">
        <v>3034</v>
      </c>
      <c r="C566" s="2" t="s">
        <v>2470</v>
      </c>
      <c r="D566" s="14" t="s">
        <v>2471</v>
      </c>
    </row>
    <row r="567">
      <c r="A567" s="2" t="s">
        <v>2841</v>
      </c>
      <c r="B567" s="2" t="s">
        <v>3034</v>
      </c>
      <c r="C567" s="2" t="s">
        <v>3264</v>
      </c>
      <c r="D567" s="14" t="s">
        <v>2474</v>
      </c>
    </row>
    <row r="568">
      <c r="A568" s="2" t="s">
        <v>2841</v>
      </c>
      <c r="B568" s="2" t="s">
        <v>3034</v>
      </c>
      <c r="C568" s="2" t="s">
        <v>445</v>
      </c>
      <c r="D568" s="14" t="s">
        <v>2478</v>
      </c>
    </row>
    <row r="569">
      <c r="A569" s="2" t="s">
        <v>2841</v>
      </c>
      <c r="B569" s="2" t="s">
        <v>3034</v>
      </c>
      <c r="C569" s="2" t="s">
        <v>2483</v>
      </c>
      <c r="D569" s="14" t="s">
        <v>2485</v>
      </c>
    </row>
    <row r="570">
      <c r="A570" s="2" t="s">
        <v>2841</v>
      </c>
      <c r="B570" s="2" t="s">
        <v>3034</v>
      </c>
      <c r="C570" s="2" t="s">
        <v>3271</v>
      </c>
      <c r="D570" s="14" t="s">
        <v>2488</v>
      </c>
    </row>
    <row r="571">
      <c r="A571" s="2" t="s">
        <v>2841</v>
      </c>
      <c r="B571" s="2" t="s">
        <v>3034</v>
      </c>
      <c r="C571" s="2" t="s">
        <v>3274</v>
      </c>
      <c r="D571" s="14" t="s">
        <v>2489</v>
      </c>
    </row>
    <row r="572">
      <c r="A572" s="2" t="s">
        <v>2841</v>
      </c>
      <c r="B572" s="2" t="s">
        <v>3034</v>
      </c>
      <c r="C572" s="2" t="s">
        <v>3277</v>
      </c>
      <c r="D572" s="14" t="s">
        <v>2492</v>
      </c>
    </row>
    <row r="573">
      <c r="A573" s="2" t="s">
        <v>2841</v>
      </c>
      <c r="B573" s="2" t="s">
        <v>3034</v>
      </c>
      <c r="C573" s="2" t="s">
        <v>3280</v>
      </c>
      <c r="D573" s="14" t="s">
        <v>2495</v>
      </c>
    </row>
    <row r="574">
      <c r="A574" s="2" t="s">
        <v>2841</v>
      </c>
      <c r="B574" s="2" t="s">
        <v>3034</v>
      </c>
      <c r="C574" s="2" t="s">
        <v>2498</v>
      </c>
      <c r="D574" s="14" t="s">
        <v>2499</v>
      </c>
    </row>
    <row r="575">
      <c r="A575" s="2" t="s">
        <v>2841</v>
      </c>
      <c r="B575" s="2" t="s">
        <v>3034</v>
      </c>
      <c r="C575" s="2" t="s">
        <v>3285</v>
      </c>
      <c r="D575" s="14" t="s">
        <v>2502</v>
      </c>
    </row>
    <row r="576">
      <c r="A576" s="2" t="s">
        <v>2841</v>
      </c>
      <c r="B576" s="2" t="s">
        <v>3034</v>
      </c>
      <c r="C576" s="2" t="s">
        <v>3290</v>
      </c>
      <c r="D576" s="14" t="s">
        <v>2504</v>
      </c>
    </row>
    <row r="577">
      <c r="A577" s="2" t="s">
        <v>2841</v>
      </c>
      <c r="B577" s="2" t="s">
        <v>3034</v>
      </c>
      <c r="C577" s="2" t="s">
        <v>2505</v>
      </c>
      <c r="D577" s="14" t="s">
        <v>2506</v>
      </c>
    </row>
    <row r="578">
      <c r="A578" s="2" t="s">
        <v>2841</v>
      </c>
      <c r="B578" s="2" t="s">
        <v>3034</v>
      </c>
      <c r="C578" s="2" t="s">
        <v>3295</v>
      </c>
      <c r="D578" s="14" t="s">
        <v>2507</v>
      </c>
    </row>
    <row r="579">
      <c r="A579" s="2" t="s">
        <v>2841</v>
      </c>
      <c r="B579" s="2" t="s">
        <v>3034</v>
      </c>
      <c r="C579" s="2" t="s">
        <v>3298</v>
      </c>
      <c r="D579" s="14" t="s">
        <v>2508</v>
      </c>
    </row>
    <row r="580">
      <c r="A580" s="2" t="s">
        <v>2841</v>
      </c>
      <c r="B580" s="2" t="s">
        <v>3034</v>
      </c>
      <c r="C580" s="2" t="s">
        <v>3301</v>
      </c>
      <c r="D580" s="14" t="s">
        <v>2509</v>
      </c>
    </row>
    <row r="581">
      <c r="A581" s="2" t="s">
        <v>2841</v>
      </c>
      <c r="B581" s="2" t="s">
        <v>3034</v>
      </c>
      <c r="C581" s="2" t="s">
        <v>3304</v>
      </c>
      <c r="D581" s="14" t="s">
        <v>2513</v>
      </c>
    </row>
    <row r="582">
      <c r="A582" s="2" t="s">
        <v>2841</v>
      </c>
      <c r="B582" s="2" t="s">
        <v>3034</v>
      </c>
      <c r="C582" s="2" t="s">
        <v>3308</v>
      </c>
      <c r="D582" s="14" t="s">
        <v>2515</v>
      </c>
    </row>
    <row r="583">
      <c r="A583" s="2" t="s">
        <v>2841</v>
      </c>
      <c r="B583" s="2" t="s">
        <v>3034</v>
      </c>
      <c r="C583" s="2" t="s">
        <v>3312</v>
      </c>
      <c r="D583" s="14" t="s">
        <v>2520</v>
      </c>
    </row>
    <row r="584">
      <c r="A584" s="2" t="s">
        <v>2841</v>
      </c>
      <c r="B584" s="2" t="s">
        <v>3034</v>
      </c>
      <c r="C584" s="2" t="s">
        <v>3315</v>
      </c>
      <c r="D584" s="14" t="s">
        <v>2524</v>
      </c>
    </row>
    <row r="585">
      <c r="A585" s="2" t="s">
        <v>2841</v>
      </c>
      <c r="B585" s="2" t="s">
        <v>3034</v>
      </c>
      <c r="C585" s="2" t="s">
        <v>3318</v>
      </c>
      <c r="D585" s="14" t="s">
        <v>2527</v>
      </c>
    </row>
    <row r="586">
      <c r="A586" s="2" t="s">
        <v>2841</v>
      </c>
      <c r="B586" s="2" t="s">
        <v>3321</v>
      </c>
      <c r="C586" s="2" t="s">
        <v>3322</v>
      </c>
      <c r="D586" s="14" t="s">
        <v>2530</v>
      </c>
    </row>
    <row r="587">
      <c r="A587" s="2" t="s">
        <v>2841</v>
      </c>
      <c r="B587" s="2" t="s">
        <v>3321</v>
      </c>
      <c r="C587" s="2" t="s">
        <v>3325</v>
      </c>
      <c r="D587" s="14" t="s">
        <v>2533</v>
      </c>
    </row>
    <row r="588">
      <c r="A588" s="2" t="s">
        <v>2841</v>
      </c>
      <c r="B588" s="2" t="s">
        <v>3321</v>
      </c>
      <c r="C588" s="2" t="s">
        <v>3328</v>
      </c>
      <c r="D588" s="14" t="s">
        <v>2538</v>
      </c>
    </row>
    <row r="589">
      <c r="A589" s="2" t="s">
        <v>2841</v>
      </c>
      <c r="B589" s="2" t="s">
        <v>3321</v>
      </c>
      <c r="C589" s="2" t="s">
        <v>3330</v>
      </c>
      <c r="D589" s="14" t="s">
        <v>2541</v>
      </c>
    </row>
    <row r="590">
      <c r="A590" s="2" t="s">
        <v>2841</v>
      </c>
      <c r="B590" s="2" t="s">
        <v>3321</v>
      </c>
      <c r="C590" s="2" t="s">
        <v>2544</v>
      </c>
      <c r="D590" s="14" t="s">
        <v>2546</v>
      </c>
    </row>
    <row r="591">
      <c r="A591" s="2" t="s">
        <v>2841</v>
      </c>
      <c r="B591" s="2" t="s">
        <v>3321</v>
      </c>
      <c r="C591" s="2" t="s">
        <v>2549</v>
      </c>
      <c r="D591" s="14" t="s">
        <v>2550</v>
      </c>
    </row>
    <row r="592">
      <c r="A592" s="2" t="s">
        <v>2841</v>
      </c>
      <c r="B592" s="2" t="s">
        <v>3321</v>
      </c>
      <c r="C592" s="2" t="s">
        <v>3336</v>
      </c>
      <c r="D592" s="14" t="s">
        <v>2553</v>
      </c>
    </row>
    <row r="593">
      <c r="A593" s="2" t="s">
        <v>2841</v>
      </c>
      <c r="B593" s="2" t="s">
        <v>3321</v>
      </c>
      <c r="C593" s="2" t="s">
        <v>3340</v>
      </c>
      <c r="D593" s="14" t="s">
        <v>2556</v>
      </c>
    </row>
    <row r="594">
      <c r="A594" s="2" t="s">
        <v>2841</v>
      </c>
      <c r="B594" s="2" t="s">
        <v>3321</v>
      </c>
      <c r="C594" s="2" t="s">
        <v>3344</v>
      </c>
      <c r="D594" s="14" t="s">
        <v>2560</v>
      </c>
    </row>
    <row r="595">
      <c r="A595" s="2" t="s">
        <v>2841</v>
      </c>
      <c r="B595" s="2" t="s">
        <v>3321</v>
      </c>
      <c r="C595" s="2" t="s">
        <v>2562</v>
      </c>
      <c r="D595" s="14" t="s">
        <v>2563</v>
      </c>
    </row>
    <row r="596">
      <c r="A596" s="2" t="s">
        <v>2841</v>
      </c>
      <c r="B596" s="2" t="s">
        <v>3321</v>
      </c>
      <c r="C596" s="2" t="s">
        <v>3349</v>
      </c>
      <c r="D596" s="14" t="s">
        <v>2566</v>
      </c>
    </row>
    <row r="597">
      <c r="A597" s="2" t="s">
        <v>2841</v>
      </c>
      <c r="B597" s="2" t="s">
        <v>3321</v>
      </c>
      <c r="C597" s="2" t="s">
        <v>3352</v>
      </c>
      <c r="D597" s="14" t="s">
        <v>2569</v>
      </c>
    </row>
    <row r="598">
      <c r="A598" s="2" t="s">
        <v>2841</v>
      </c>
      <c r="B598" s="2" t="s">
        <v>3321</v>
      </c>
      <c r="C598" s="2" t="s">
        <v>3353</v>
      </c>
      <c r="D598" s="14" t="s">
        <v>2571</v>
      </c>
    </row>
    <row r="599">
      <c r="A599" s="2" t="s">
        <v>2841</v>
      </c>
      <c r="B599" s="2" t="s">
        <v>3321</v>
      </c>
      <c r="C599" s="2" t="s">
        <v>2575</v>
      </c>
      <c r="D599" s="14" t="s">
        <v>2577</v>
      </c>
    </row>
    <row r="600">
      <c r="A600" s="2" t="s">
        <v>2841</v>
      </c>
      <c r="B600" s="2" t="s">
        <v>3321</v>
      </c>
      <c r="C600" s="2" t="s">
        <v>2581</v>
      </c>
      <c r="D600" s="14" t="s">
        <v>2582</v>
      </c>
    </row>
    <row r="601">
      <c r="A601" s="2" t="s">
        <v>2841</v>
      </c>
      <c r="B601" s="2" t="s">
        <v>3321</v>
      </c>
      <c r="C601" s="2" t="s">
        <v>2587</v>
      </c>
      <c r="D601" s="14" t="s">
        <v>2588</v>
      </c>
    </row>
    <row r="602">
      <c r="A602" s="2" t="s">
        <v>2841</v>
      </c>
      <c r="B602" s="2" t="s">
        <v>3321</v>
      </c>
      <c r="C602" s="2" t="s">
        <v>3362</v>
      </c>
      <c r="D602" s="14" t="s">
        <v>2592</v>
      </c>
    </row>
    <row r="603">
      <c r="A603" s="2" t="s">
        <v>2841</v>
      </c>
      <c r="B603" s="2" t="s">
        <v>3321</v>
      </c>
      <c r="C603" s="2" t="s">
        <v>3365</v>
      </c>
      <c r="D603" s="14" t="s">
        <v>2596</v>
      </c>
    </row>
    <row r="604">
      <c r="A604" s="2" t="s">
        <v>2841</v>
      </c>
      <c r="B604" s="2" t="s">
        <v>3321</v>
      </c>
      <c r="C604" s="2" t="s">
        <v>3370</v>
      </c>
      <c r="D604" s="14" t="s">
        <v>2600</v>
      </c>
    </row>
    <row r="605">
      <c r="A605" s="2" t="s">
        <v>2841</v>
      </c>
      <c r="B605" s="2" t="s">
        <v>3321</v>
      </c>
      <c r="C605" s="2" t="s">
        <v>2604</v>
      </c>
      <c r="D605" s="14" t="s">
        <v>2605</v>
      </c>
    </row>
    <row r="606">
      <c r="A606" s="2" t="s">
        <v>2841</v>
      </c>
      <c r="B606" s="2" t="s">
        <v>3321</v>
      </c>
      <c r="C606" s="2" t="s">
        <v>2609</v>
      </c>
      <c r="D606" s="14" t="s">
        <v>2610</v>
      </c>
    </row>
    <row r="607">
      <c r="A607" s="2" t="s">
        <v>2841</v>
      </c>
      <c r="B607" s="2" t="s">
        <v>3321</v>
      </c>
      <c r="C607" s="2" t="s">
        <v>2612</v>
      </c>
      <c r="D607" s="14" t="s">
        <v>2613</v>
      </c>
    </row>
    <row r="608">
      <c r="A608" s="2" t="s">
        <v>2841</v>
      </c>
      <c r="B608" s="2" t="s">
        <v>3321</v>
      </c>
      <c r="C608" s="2" t="s">
        <v>2617</v>
      </c>
      <c r="D608" s="14" t="s">
        <v>2618</v>
      </c>
    </row>
    <row r="609">
      <c r="A609" s="2" t="s">
        <v>2841</v>
      </c>
      <c r="B609" s="2" t="s">
        <v>3321</v>
      </c>
      <c r="C609" s="2" t="s">
        <v>3381</v>
      </c>
      <c r="D609" s="14" t="s">
        <v>2621</v>
      </c>
    </row>
    <row r="610">
      <c r="A610" s="2" t="s">
        <v>2841</v>
      </c>
      <c r="B610" s="2" t="s">
        <v>3321</v>
      </c>
      <c r="C610" s="2" t="s">
        <v>3384</v>
      </c>
      <c r="D610" s="14" t="s">
        <v>2625</v>
      </c>
    </row>
    <row r="611">
      <c r="A611" s="2" t="s">
        <v>2841</v>
      </c>
      <c r="B611" s="2" t="s">
        <v>3321</v>
      </c>
      <c r="C611" s="2" t="s">
        <v>2628</v>
      </c>
      <c r="D611" s="14" t="s">
        <v>2629</v>
      </c>
    </row>
    <row r="612">
      <c r="A612" s="2" t="s">
        <v>2841</v>
      </c>
      <c r="B612" s="2" t="s">
        <v>3321</v>
      </c>
      <c r="C612" s="2" t="s">
        <v>3389</v>
      </c>
      <c r="D612" s="14" t="s">
        <v>2636</v>
      </c>
    </row>
    <row r="613">
      <c r="A613" s="2" t="s">
        <v>2841</v>
      </c>
      <c r="B613" s="2" t="s">
        <v>3321</v>
      </c>
      <c r="C613" s="2" t="s">
        <v>2640</v>
      </c>
      <c r="D613" s="14" t="s">
        <v>2642</v>
      </c>
    </row>
    <row r="614">
      <c r="A614" s="2" t="s">
        <v>2841</v>
      </c>
      <c r="B614" s="2" t="s">
        <v>3321</v>
      </c>
      <c r="C614" s="2" t="s">
        <v>2644</v>
      </c>
      <c r="D614" s="14" t="s">
        <v>2645</v>
      </c>
    </row>
    <row r="615">
      <c r="A615" s="2" t="s">
        <v>2841</v>
      </c>
      <c r="B615" s="2" t="s">
        <v>3321</v>
      </c>
      <c r="C615" s="2" t="s">
        <v>2648</v>
      </c>
      <c r="D615" s="14" t="s">
        <v>2649</v>
      </c>
    </row>
    <row r="616">
      <c r="A616" s="2" t="s">
        <v>2841</v>
      </c>
      <c r="B616" s="2" t="s">
        <v>3321</v>
      </c>
      <c r="C616" s="2" t="s">
        <v>2653</v>
      </c>
      <c r="D616" s="14" t="s">
        <v>2654</v>
      </c>
    </row>
    <row r="617">
      <c r="A617" s="2" t="s">
        <v>2841</v>
      </c>
      <c r="B617" s="2" t="s">
        <v>3321</v>
      </c>
      <c r="C617" s="2" t="s">
        <v>2657</v>
      </c>
      <c r="D617" s="14" t="s">
        <v>2658</v>
      </c>
    </row>
    <row r="618">
      <c r="A618" s="2" t="s">
        <v>2841</v>
      </c>
      <c r="B618" s="2" t="s">
        <v>3321</v>
      </c>
      <c r="C618" s="2" t="s">
        <v>2661</v>
      </c>
      <c r="D618" s="14" t="s">
        <v>2662</v>
      </c>
    </row>
    <row r="619">
      <c r="A619" s="2" t="s">
        <v>2841</v>
      </c>
      <c r="B619" s="2" t="s">
        <v>3321</v>
      </c>
      <c r="C619" s="2" t="s">
        <v>2666</v>
      </c>
      <c r="D619" s="14" t="s">
        <v>2667</v>
      </c>
    </row>
    <row r="620">
      <c r="A620" s="2" t="s">
        <v>2841</v>
      </c>
      <c r="B620" s="2" t="s">
        <v>3321</v>
      </c>
      <c r="C620" s="2" t="s">
        <v>2672</v>
      </c>
      <c r="D620" s="14" t="s">
        <v>2674</v>
      </c>
    </row>
    <row r="621">
      <c r="A621" s="2" t="s">
        <v>2841</v>
      </c>
      <c r="B621" s="2" t="s">
        <v>3321</v>
      </c>
      <c r="C621" s="2" t="s">
        <v>2678</v>
      </c>
      <c r="D621" s="14" t="s">
        <v>2679</v>
      </c>
    </row>
    <row r="622">
      <c r="A622" s="2" t="s">
        <v>2841</v>
      </c>
      <c r="B622" s="2" t="s">
        <v>3321</v>
      </c>
      <c r="C622" s="2" t="s">
        <v>3410</v>
      </c>
      <c r="D622" s="14" t="s">
        <v>2683</v>
      </c>
    </row>
    <row r="623">
      <c r="A623" s="2" t="s">
        <v>2841</v>
      </c>
      <c r="B623" s="2" t="s">
        <v>3321</v>
      </c>
      <c r="C623" s="2" t="s">
        <v>3413</v>
      </c>
      <c r="D623" s="14" t="s">
        <v>2688</v>
      </c>
    </row>
    <row r="624">
      <c r="A624" s="2" t="s">
        <v>2841</v>
      </c>
      <c r="B624" s="2" t="s">
        <v>3321</v>
      </c>
      <c r="C624" s="2" t="s">
        <v>2693</v>
      </c>
      <c r="D624" s="14" t="s">
        <v>2694</v>
      </c>
    </row>
    <row r="625">
      <c r="A625" s="2" t="s">
        <v>2841</v>
      </c>
      <c r="B625" s="2" t="s">
        <v>3321</v>
      </c>
      <c r="C625" s="2" t="s">
        <v>3418</v>
      </c>
      <c r="D625" s="14" t="s">
        <v>2697</v>
      </c>
    </row>
    <row r="626">
      <c r="A626" s="2" t="s">
        <v>2841</v>
      </c>
      <c r="B626" s="2" t="s">
        <v>3321</v>
      </c>
      <c r="C626" s="2" t="s">
        <v>2701</v>
      </c>
      <c r="D626" s="14" t="s">
        <v>2702</v>
      </c>
    </row>
    <row r="627">
      <c r="A627" s="2" t="s">
        <v>2841</v>
      </c>
      <c r="B627" s="2" t="s">
        <v>3321</v>
      </c>
      <c r="C627" s="2" t="s">
        <v>2708</v>
      </c>
      <c r="D627" s="14" t="s">
        <v>2709</v>
      </c>
    </row>
    <row r="628">
      <c r="A628" s="2" t="s">
        <v>2841</v>
      </c>
      <c r="B628" s="2" t="s">
        <v>3321</v>
      </c>
      <c r="C628" s="2" t="s">
        <v>2711</v>
      </c>
      <c r="D628" s="14" t="s">
        <v>2712</v>
      </c>
    </row>
    <row r="629">
      <c r="A629" s="2" t="s">
        <v>2841</v>
      </c>
      <c r="B629" s="2" t="s">
        <v>3321</v>
      </c>
      <c r="C629" s="2" t="s">
        <v>2717</v>
      </c>
      <c r="D629" s="14" t="s">
        <v>2718</v>
      </c>
    </row>
    <row r="630">
      <c r="A630" s="2" t="s">
        <v>2841</v>
      </c>
      <c r="B630" s="2" t="s">
        <v>3321</v>
      </c>
      <c r="C630" s="2" t="s">
        <v>2722</v>
      </c>
      <c r="D630" s="14" t="s">
        <v>2723</v>
      </c>
    </row>
    <row r="631">
      <c r="A631" s="2" t="s">
        <v>2841</v>
      </c>
      <c r="B631" s="2" t="s">
        <v>3321</v>
      </c>
      <c r="C631" s="2" t="s">
        <v>2727</v>
      </c>
      <c r="D631" s="14" t="s">
        <v>2728</v>
      </c>
    </row>
    <row r="632">
      <c r="A632" s="2" t="s">
        <v>3433</v>
      </c>
      <c r="B632" s="2" t="s">
        <v>3434</v>
      </c>
      <c r="C632" s="2" t="s">
        <v>2733</v>
      </c>
      <c r="D632" s="14" t="s">
        <v>2734</v>
      </c>
    </row>
    <row r="633">
      <c r="A633" s="2" t="s">
        <v>3433</v>
      </c>
      <c r="B633" s="2" t="s">
        <v>3434</v>
      </c>
      <c r="C633" s="2" t="s">
        <v>2738</v>
      </c>
      <c r="D633" s="14" t="s">
        <v>2740</v>
      </c>
    </row>
    <row r="634">
      <c r="A634" s="2" t="s">
        <v>3433</v>
      </c>
      <c r="B634" s="2" t="s">
        <v>3434</v>
      </c>
      <c r="C634" s="2" t="s">
        <v>2745</v>
      </c>
      <c r="D634" s="14" t="s">
        <v>2746</v>
      </c>
    </row>
    <row r="635">
      <c r="A635" s="2" t="s">
        <v>3433</v>
      </c>
      <c r="B635" s="2" t="s">
        <v>3434</v>
      </c>
      <c r="C635" s="2" t="s">
        <v>2750</v>
      </c>
      <c r="D635" s="14" t="s">
        <v>2752</v>
      </c>
    </row>
    <row r="636">
      <c r="A636" s="2" t="s">
        <v>3433</v>
      </c>
      <c r="B636" s="2" t="s">
        <v>3434</v>
      </c>
      <c r="C636" s="2" t="s">
        <v>2757</v>
      </c>
      <c r="D636" s="14" t="s">
        <v>2759</v>
      </c>
    </row>
    <row r="637">
      <c r="A637" s="2" t="s">
        <v>3433</v>
      </c>
      <c r="B637" s="2" t="s">
        <v>3445</v>
      </c>
      <c r="C637" s="2" t="s">
        <v>2762</v>
      </c>
      <c r="D637" s="14" t="s">
        <v>2763</v>
      </c>
    </row>
    <row r="638">
      <c r="A638" s="2" t="s">
        <v>3433</v>
      </c>
      <c r="B638" s="2" t="s">
        <v>3445</v>
      </c>
      <c r="C638" s="2" t="s">
        <v>2765</v>
      </c>
      <c r="D638" s="14" t="s">
        <v>2766</v>
      </c>
    </row>
    <row r="639">
      <c r="A639" s="2" t="s">
        <v>3450</v>
      </c>
      <c r="B639" s="2" t="s">
        <v>3451</v>
      </c>
      <c r="C639" s="2" t="s">
        <v>2770</v>
      </c>
      <c r="D639" s="14" t="s">
        <v>2771</v>
      </c>
    </row>
    <row r="640">
      <c r="A640" s="2" t="s">
        <v>3450</v>
      </c>
      <c r="B640" s="2" t="s">
        <v>3451</v>
      </c>
      <c r="C640" s="2" t="s">
        <v>3454</v>
      </c>
      <c r="D640" s="14" t="s">
        <v>2773</v>
      </c>
    </row>
    <row r="641">
      <c r="A641" s="2" t="s">
        <v>3450</v>
      </c>
      <c r="B641" s="2" t="s">
        <v>3451</v>
      </c>
      <c r="C641" s="2" t="s">
        <v>3457</v>
      </c>
      <c r="D641" s="14" t="s">
        <v>2775</v>
      </c>
    </row>
    <row r="642">
      <c r="A642" s="2" t="s">
        <v>3450</v>
      </c>
      <c r="B642" s="2" t="s">
        <v>3451</v>
      </c>
      <c r="C642" s="2" t="s">
        <v>2777</v>
      </c>
      <c r="D642" s="14" t="s">
        <v>2778</v>
      </c>
    </row>
    <row r="643">
      <c r="A643" s="2" t="s">
        <v>3450</v>
      </c>
      <c r="B643" s="2" t="s">
        <v>3451</v>
      </c>
      <c r="C643" s="2" t="s">
        <v>2780</v>
      </c>
      <c r="D643" s="14" t="s">
        <v>2781</v>
      </c>
    </row>
    <row r="644">
      <c r="A644" s="2" t="s">
        <v>3450</v>
      </c>
      <c r="B644" s="2" t="s">
        <v>3451</v>
      </c>
      <c r="C644" s="2" t="s">
        <v>2783</v>
      </c>
      <c r="D644" s="14" t="s">
        <v>2784</v>
      </c>
    </row>
    <row r="645">
      <c r="A645" s="2" t="s">
        <v>3450</v>
      </c>
      <c r="B645" s="2" t="s">
        <v>3451</v>
      </c>
      <c r="C645" s="2" t="s">
        <v>2787</v>
      </c>
      <c r="D645" s="14" t="s">
        <v>2789</v>
      </c>
    </row>
    <row r="646">
      <c r="A646" s="2" t="s">
        <v>3450</v>
      </c>
      <c r="B646" s="2" t="s">
        <v>3451</v>
      </c>
      <c r="C646" s="2" t="s">
        <v>1269</v>
      </c>
      <c r="D646" s="14" t="s">
        <v>2793</v>
      </c>
    </row>
    <row r="647">
      <c r="A647" s="2" t="s">
        <v>3450</v>
      </c>
      <c r="B647" s="2" t="s">
        <v>3451</v>
      </c>
      <c r="C647" s="2" t="s">
        <v>2796</v>
      </c>
      <c r="D647" s="14" t="s">
        <v>2797</v>
      </c>
    </row>
    <row r="648">
      <c r="A648" s="2" t="s">
        <v>3450</v>
      </c>
      <c r="B648" s="2" t="s">
        <v>3451</v>
      </c>
      <c r="C648" s="2" t="s">
        <v>2800</v>
      </c>
      <c r="D648" s="14" t="s">
        <v>2801</v>
      </c>
    </row>
    <row r="649">
      <c r="A649" s="2" t="s">
        <v>3450</v>
      </c>
      <c r="B649" s="2" t="s">
        <v>3451</v>
      </c>
      <c r="C649" s="2" t="s">
        <v>3468</v>
      </c>
      <c r="D649" s="14" t="s">
        <v>2804</v>
      </c>
    </row>
    <row r="650">
      <c r="A650" s="2" t="s">
        <v>3450</v>
      </c>
      <c r="B650" s="2" t="s">
        <v>3451</v>
      </c>
      <c r="C650" s="2" t="s">
        <v>2806</v>
      </c>
      <c r="D650" s="14" t="s">
        <v>2807</v>
      </c>
    </row>
    <row r="651">
      <c r="A651" s="2" t="s">
        <v>3450</v>
      </c>
      <c r="B651" s="2" t="s">
        <v>3451</v>
      </c>
      <c r="C651" s="2" t="s">
        <v>2809</v>
      </c>
      <c r="D651" s="14" t="s">
        <v>2810</v>
      </c>
    </row>
    <row r="652">
      <c r="A652" s="2" t="s">
        <v>3450</v>
      </c>
      <c r="B652" s="2" t="s">
        <v>3451</v>
      </c>
      <c r="C652" s="2" t="s">
        <v>3472</v>
      </c>
      <c r="D652" s="14" t="s">
        <v>2812</v>
      </c>
    </row>
    <row r="653">
      <c r="A653" s="2" t="s">
        <v>3450</v>
      </c>
      <c r="B653" s="2" t="s">
        <v>3474</v>
      </c>
      <c r="C653" s="2" t="s">
        <v>2815</v>
      </c>
      <c r="D653" s="14" t="s">
        <v>2816</v>
      </c>
    </row>
    <row r="654">
      <c r="A654" s="2" t="s">
        <v>3450</v>
      </c>
      <c r="B654" s="2" t="s">
        <v>3474</v>
      </c>
      <c r="C654" s="2" t="s">
        <v>2819</v>
      </c>
      <c r="D654" s="14" t="s">
        <v>2820</v>
      </c>
    </row>
    <row r="655">
      <c r="A655" s="2" t="s">
        <v>3450</v>
      </c>
      <c r="B655" s="2" t="s">
        <v>3474</v>
      </c>
      <c r="C655" s="2" t="s">
        <v>2821</v>
      </c>
      <c r="D655" s="14" t="s">
        <v>2822</v>
      </c>
    </row>
    <row r="656">
      <c r="A656" s="2" t="s">
        <v>3450</v>
      </c>
      <c r="B656" s="2" t="s">
        <v>3474</v>
      </c>
      <c r="C656" s="2" t="s">
        <v>2824</v>
      </c>
      <c r="D656" s="14" t="s">
        <v>2825</v>
      </c>
    </row>
    <row r="657">
      <c r="A657" s="2" t="s">
        <v>3450</v>
      </c>
      <c r="B657" s="2" t="s">
        <v>3474</v>
      </c>
      <c r="C657" s="2" t="s">
        <v>2827</v>
      </c>
      <c r="D657" s="14" t="s">
        <v>2828</v>
      </c>
    </row>
    <row r="658">
      <c r="A658" s="2" t="s">
        <v>3450</v>
      </c>
      <c r="B658" s="2" t="s">
        <v>3474</v>
      </c>
      <c r="C658" s="2" t="s">
        <v>2829</v>
      </c>
      <c r="D658" s="14" t="s">
        <v>2830</v>
      </c>
    </row>
    <row r="659">
      <c r="A659" s="2" t="s">
        <v>3450</v>
      </c>
      <c r="B659" s="2" t="s">
        <v>3474</v>
      </c>
      <c r="C659" s="2" t="s">
        <v>2832</v>
      </c>
      <c r="D659" s="14" t="s">
        <v>2833</v>
      </c>
    </row>
    <row r="660">
      <c r="A660" s="2" t="s">
        <v>3450</v>
      </c>
      <c r="B660" s="2" t="s">
        <v>3474</v>
      </c>
      <c r="C660" s="2" t="s">
        <v>2836</v>
      </c>
      <c r="D660" s="14" t="s">
        <v>2837</v>
      </c>
    </row>
    <row r="661">
      <c r="A661" s="2" t="s">
        <v>3450</v>
      </c>
      <c r="B661" s="2" t="s">
        <v>3474</v>
      </c>
      <c r="C661" s="2" t="s">
        <v>2839</v>
      </c>
      <c r="D661" s="14" t="s">
        <v>2840</v>
      </c>
    </row>
    <row r="662">
      <c r="A662" s="2" t="s">
        <v>3450</v>
      </c>
      <c r="B662" s="2" t="s">
        <v>3483</v>
      </c>
      <c r="C662" s="2" t="s">
        <v>2844</v>
      </c>
      <c r="D662" s="14" t="s">
        <v>2845</v>
      </c>
    </row>
    <row r="663">
      <c r="A663" s="2" t="s">
        <v>3450</v>
      </c>
      <c r="B663" s="2" t="s">
        <v>3483</v>
      </c>
      <c r="C663" s="2" t="s">
        <v>2846</v>
      </c>
      <c r="D663" s="14" t="s">
        <v>2847</v>
      </c>
    </row>
    <row r="664">
      <c r="A664" s="2" t="s">
        <v>3486</v>
      </c>
      <c r="B664" s="2" t="s">
        <v>3487</v>
      </c>
      <c r="C664" s="2" t="s">
        <v>2849</v>
      </c>
      <c r="D664" s="14" t="s">
        <v>2850</v>
      </c>
    </row>
    <row r="665">
      <c r="A665" s="2" t="s">
        <v>3486</v>
      </c>
      <c r="B665" s="2" t="s">
        <v>3487</v>
      </c>
      <c r="C665" s="2" t="s">
        <v>2851</v>
      </c>
      <c r="D665" s="14" t="s">
        <v>2852</v>
      </c>
    </row>
    <row r="666">
      <c r="A666" s="2" t="s">
        <v>3486</v>
      </c>
      <c r="B666" s="2" t="s">
        <v>3487</v>
      </c>
      <c r="C666" s="2" t="s">
        <v>2853</v>
      </c>
      <c r="D666" s="14" t="s">
        <v>2854</v>
      </c>
    </row>
    <row r="667">
      <c r="A667" s="2" t="s">
        <v>3486</v>
      </c>
      <c r="B667" s="2" t="s">
        <v>3487</v>
      </c>
      <c r="C667" s="2" t="s">
        <v>2855</v>
      </c>
      <c r="D667" s="14" t="s">
        <v>2856</v>
      </c>
    </row>
    <row r="668">
      <c r="A668" s="2" t="s">
        <v>3493</v>
      </c>
      <c r="B668" s="2" t="s">
        <v>3494</v>
      </c>
      <c r="C668" s="2" t="s">
        <v>2858</v>
      </c>
      <c r="D668" s="14" t="s">
        <v>2859</v>
      </c>
    </row>
    <row r="669">
      <c r="A669" s="2" t="s">
        <v>3493</v>
      </c>
      <c r="B669" s="2" t="s">
        <v>3494</v>
      </c>
      <c r="C669" s="2" t="s">
        <v>2860</v>
      </c>
      <c r="D669" s="14" t="s">
        <v>2861</v>
      </c>
    </row>
    <row r="670">
      <c r="A670" s="2" t="s">
        <v>3493</v>
      </c>
      <c r="B670" s="2" t="s">
        <v>3494</v>
      </c>
      <c r="C670" s="2" t="s">
        <v>2862</v>
      </c>
      <c r="D670" s="14" t="s">
        <v>2863</v>
      </c>
    </row>
    <row r="671">
      <c r="A671" s="2" t="s">
        <v>3493</v>
      </c>
      <c r="B671" s="2" t="s">
        <v>3494</v>
      </c>
      <c r="C671" s="2" t="s">
        <v>2864</v>
      </c>
      <c r="D671" s="14" t="s">
        <v>2865</v>
      </c>
    </row>
    <row r="672">
      <c r="A672" s="2" t="s">
        <v>3493</v>
      </c>
      <c r="B672" s="2" t="s">
        <v>3494</v>
      </c>
      <c r="C672" s="2" t="s">
        <v>2866</v>
      </c>
      <c r="D672" s="14" t="s">
        <v>2867</v>
      </c>
    </row>
    <row r="673">
      <c r="A673" s="2" t="s">
        <v>3493</v>
      </c>
      <c r="B673" s="2" t="s">
        <v>3494</v>
      </c>
      <c r="C673" s="2" t="s">
        <v>2868</v>
      </c>
      <c r="D673" s="14" t="s">
        <v>2869</v>
      </c>
    </row>
    <row r="674">
      <c r="A674" s="2" t="s">
        <v>3493</v>
      </c>
      <c r="B674" s="2" t="s">
        <v>3494</v>
      </c>
      <c r="C674" s="2" t="s">
        <v>2870</v>
      </c>
      <c r="D674" s="14" t="s">
        <v>2871</v>
      </c>
    </row>
    <row r="675">
      <c r="A675" s="2" t="s">
        <v>3493</v>
      </c>
      <c r="B675" s="2" t="s">
        <v>3494</v>
      </c>
      <c r="C675" s="2" t="s">
        <v>2872</v>
      </c>
      <c r="D675" s="14" t="s">
        <v>2873</v>
      </c>
    </row>
    <row r="676">
      <c r="A676" s="2" t="s">
        <v>3493</v>
      </c>
      <c r="B676" s="2" t="s">
        <v>3494</v>
      </c>
      <c r="C676" s="2" t="s">
        <v>2874</v>
      </c>
      <c r="D676" s="14" t="s">
        <v>2875</v>
      </c>
    </row>
    <row r="677">
      <c r="A677" s="2" t="s">
        <v>3493</v>
      </c>
      <c r="B677" s="2" t="s">
        <v>3494</v>
      </c>
      <c r="C677" s="2" t="s">
        <v>2876</v>
      </c>
      <c r="D677" s="14" t="s">
        <v>2877</v>
      </c>
    </row>
    <row r="678">
      <c r="A678" s="2" t="s">
        <v>3493</v>
      </c>
      <c r="B678" s="2" t="s">
        <v>3504</v>
      </c>
      <c r="C678" s="2" t="s">
        <v>2878</v>
      </c>
      <c r="D678" s="14" t="s">
        <v>2879</v>
      </c>
    </row>
    <row r="679">
      <c r="A679" s="2" t="s">
        <v>3493</v>
      </c>
      <c r="B679" s="2" t="s">
        <v>3504</v>
      </c>
      <c r="C679" s="2" t="s">
        <v>2880</v>
      </c>
      <c r="D679" s="14" t="s">
        <v>2881</v>
      </c>
    </row>
    <row r="680">
      <c r="A680" s="2" t="s">
        <v>3493</v>
      </c>
      <c r="B680" s="2" t="s">
        <v>3504</v>
      </c>
      <c r="C680" s="2" t="s">
        <v>2882</v>
      </c>
      <c r="D680" s="14" t="s">
        <v>2883</v>
      </c>
    </row>
    <row r="681">
      <c r="A681" s="2" t="s">
        <v>3493</v>
      </c>
      <c r="B681" s="2" t="s">
        <v>3504</v>
      </c>
      <c r="C681" s="2" t="s">
        <v>2884</v>
      </c>
      <c r="D681" s="14" t="s">
        <v>2885</v>
      </c>
    </row>
    <row r="682">
      <c r="A682" s="2" t="s">
        <v>3493</v>
      </c>
      <c r="B682" s="2" t="s">
        <v>3504</v>
      </c>
      <c r="C682" s="2" t="s">
        <v>2888</v>
      </c>
      <c r="D682" s="14" t="s">
        <v>2889</v>
      </c>
    </row>
    <row r="683">
      <c r="A683" s="2" t="s">
        <v>3493</v>
      </c>
      <c r="B683" s="2" t="s">
        <v>3504</v>
      </c>
      <c r="C683" s="2" t="s">
        <v>2892</v>
      </c>
      <c r="D683" s="14" t="s">
        <v>2893</v>
      </c>
    </row>
    <row r="684">
      <c r="A684" s="2" t="s">
        <v>3493</v>
      </c>
      <c r="B684" s="2" t="s">
        <v>3504</v>
      </c>
      <c r="C684" s="2" t="s">
        <v>2896</v>
      </c>
      <c r="D684" s="14" t="s">
        <v>2897</v>
      </c>
    </row>
    <row r="685">
      <c r="A685" s="2" t="s">
        <v>3493</v>
      </c>
      <c r="B685" s="2" t="s">
        <v>3504</v>
      </c>
      <c r="C685" s="2" t="s">
        <v>2900</v>
      </c>
      <c r="D685" s="14" t="s">
        <v>2901</v>
      </c>
    </row>
    <row r="686">
      <c r="A686" s="2" t="s">
        <v>3493</v>
      </c>
      <c r="B686" s="2" t="s">
        <v>3504</v>
      </c>
      <c r="C686" s="2" t="s">
        <v>2903</v>
      </c>
      <c r="D686" s="14" t="s">
        <v>2904</v>
      </c>
    </row>
    <row r="687">
      <c r="A687" s="2" t="s">
        <v>3493</v>
      </c>
      <c r="B687" s="2" t="s">
        <v>3504</v>
      </c>
      <c r="C687" s="2" t="s">
        <v>2907</v>
      </c>
      <c r="D687" s="14" t="s">
        <v>2908</v>
      </c>
    </row>
    <row r="688">
      <c r="A688" s="2" t="s">
        <v>3493</v>
      </c>
      <c r="B688" s="2" t="s">
        <v>3504</v>
      </c>
      <c r="C688" s="2" t="s">
        <v>2911</v>
      </c>
      <c r="D688" s="14" t="s">
        <v>2912</v>
      </c>
    </row>
    <row r="689">
      <c r="A689" s="2" t="s">
        <v>3493</v>
      </c>
      <c r="B689" s="2" t="s">
        <v>3504</v>
      </c>
      <c r="C689" s="2" t="s">
        <v>2915</v>
      </c>
      <c r="D689" s="14" t="s">
        <v>2916</v>
      </c>
    </row>
    <row r="690">
      <c r="A690" s="2" t="s">
        <v>3493</v>
      </c>
      <c r="B690" s="2" t="s">
        <v>3504</v>
      </c>
      <c r="C690" s="2" t="s">
        <v>2919</v>
      </c>
      <c r="D690" s="14" t="s">
        <v>2920</v>
      </c>
    </row>
    <row r="691">
      <c r="A691" s="2" t="s">
        <v>3493</v>
      </c>
      <c r="B691" s="2" t="s">
        <v>3504</v>
      </c>
      <c r="C691" s="2" t="s">
        <v>2922</v>
      </c>
      <c r="D691" s="14" t="s">
        <v>2923</v>
      </c>
    </row>
    <row r="692">
      <c r="A692" s="2" t="s">
        <v>3493</v>
      </c>
      <c r="B692" s="2" t="s">
        <v>3504</v>
      </c>
      <c r="C692" s="2" t="s">
        <v>2926</v>
      </c>
      <c r="D692" s="14" t="s">
        <v>2927</v>
      </c>
    </row>
    <row r="693">
      <c r="A693" s="2" t="s">
        <v>3493</v>
      </c>
      <c r="B693" s="2" t="s">
        <v>3504</v>
      </c>
      <c r="C693" s="2" t="s">
        <v>2930</v>
      </c>
      <c r="D693" s="14" t="s">
        <v>2931</v>
      </c>
    </row>
    <row r="694">
      <c r="A694" s="2" t="s">
        <v>3493</v>
      </c>
      <c r="B694" s="2" t="s">
        <v>3519</v>
      </c>
      <c r="C694" s="2" t="s">
        <v>2934</v>
      </c>
      <c r="D694" s="14" t="s">
        <v>2935</v>
      </c>
    </row>
    <row r="695">
      <c r="A695" s="2" t="s">
        <v>3493</v>
      </c>
      <c r="B695" s="2" t="s">
        <v>3519</v>
      </c>
      <c r="C695" s="2" t="s">
        <v>2936</v>
      </c>
      <c r="D695" s="14" t="s">
        <v>2937</v>
      </c>
    </row>
    <row r="696">
      <c r="A696" s="2" t="s">
        <v>3493</v>
      </c>
      <c r="B696" s="2" t="s">
        <v>3519</v>
      </c>
      <c r="C696" s="2" t="s">
        <v>2938</v>
      </c>
      <c r="D696" s="14" t="s">
        <v>2939</v>
      </c>
    </row>
    <row r="697">
      <c r="A697" s="2" t="s">
        <v>3493</v>
      </c>
      <c r="B697" s="2" t="s">
        <v>3519</v>
      </c>
      <c r="C697" s="2" t="s">
        <v>2940</v>
      </c>
      <c r="D697" s="14" t="s">
        <v>2941</v>
      </c>
    </row>
    <row r="698">
      <c r="A698" s="2" t="s">
        <v>3493</v>
      </c>
      <c r="B698" s="2" t="s">
        <v>3519</v>
      </c>
      <c r="C698" s="2" t="s">
        <v>2942</v>
      </c>
      <c r="D698" s="14" t="s">
        <v>2943</v>
      </c>
    </row>
    <row r="699">
      <c r="A699" s="2" t="s">
        <v>3493</v>
      </c>
      <c r="B699" s="2" t="s">
        <v>3519</v>
      </c>
      <c r="C699" s="2" t="s">
        <v>2944</v>
      </c>
      <c r="D699" s="14" t="s">
        <v>2945</v>
      </c>
    </row>
    <row r="700">
      <c r="A700" s="2" t="s">
        <v>3493</v>
      </c>
      <c r="B700" s="2" t="s">
        <v>3526</v>
      </c>
      <c r="C700" s="2" t="s">
        <v>2946</v>
      </c>
      <c r="D700" s="14" t="s">
        <v>2947</v>
      </c>
    </row>
    <row r="701">
      <c r="A701" s="2" t="s">
        <v>3493</v>
      </c>
      <c r="B701" s="2" t="s">
        <v>3526</v>
      </c>
      <c r="C701" s="2" t="s">
        <v>2948</v>
      </c>
      <c r="D701" s="14" t="s">
        <v>2949</v>
      </c>
    </row>
    <row r="702">
      <c r="A702" s="2" t="s">
        <v>3493</v>
      </c>
      <c r="B702" s="2" t="s">
        <v>3526</v>
      </c>
      <c r="C702" s="2" t="s">
        <v>2950</v>
      </c>
      <c r="D702" s="14" t="s">
        <v>2951</v>
      </c>
    </row>
    <row r="703">
      <c r="A703" s="2" t="s">
        <v>3493</v>
      </c>
      <c r="B703" s="2" t="s">
        <v>3526</v>
      </c>
      <c r="C703" s="2" t="s">
        <v>2952</v>
      </c>
      <c r="D703" s="14" t="s">
        <v>2953</v>
      </c>
    </row>
    <row r="704">
      <c r="A704" s="2" t="s">
        <v>3493</v>
      </c>
      <c r="B704" s="2" t="s">
        <v>3526</v>
      </c>
      <c r="C704" s="2" t="s">
        <v>2954</v>
      </c>
      <c r="D704" s="14" t="s">
        <v>2955</v>
      </c>
    </row>
    <row r="705">
      <c r="A705" s="2" t="s">
        <v>3493</v>
      </c>
      <c r="B705" s="2" t="s">
        <v>3526</v>
      </c>
      <c r="C705" s="2" t="s">
        <v>2956</v>
      </c>
      <c r="D705" s="14" t="s">
        <v>2957</v>
      </c>
    </row>
    <row r="706">
      <c r="A706" s="2" t="s">
        <v>3493</v>
      </c>
      <c r="B706" s="2" t="s">
        <v>3526</v>
      </c>
      <c r="C706" s="2" t="s">
        <v>2958</v>
      </c>
      <c r="D706" s="14" t="s">
        <v>2959</v>
      </c>
    </row>
    <row r="707">
      <c r="A707" s="2" t="s">
        <v>3493</v>
      </c>
      <c r="B707" s="2" t="s">
        <v>3526</v>
      </c>
      <c r="C707" s="2" t="s">
        <v>2960</v>
      </c>
      <c r="D707" s="14" t="s">
        <v>2961</v>
      </c>
    </row>
    <row r="708">
      <c r="A708" s="2" t="s">
        <v>3493</v>
      </c>
      <c r="B708" s="2" t="s">
        <v>3526</v>
      </c>
      <c r="C708" s="2" t="s">
        <v>2962</v>
      </c>
      <c r="D708" s="14" t="s">
        <v>2963</v>
      </c>
    </row>
    <row r="709">
      <c r="A709" s="2" t="s">
        <v>3493</v>
      </c>
      <c r="B709" s="2" t="s">
        <v>3526</v>
      </c>
      <c r="C709" s="2" t="s">
        <v>2964</v>
      </c>
      <c r="D709" s="14" t="s">
        <v>2965</v>
      </c>
    </row>
    <row r="710">
      <c r="A710" s="2" t="s">
        <v>3493</v>
      </c>
      <c r="B710" s="2" t="s">
        <v>3526</v>
      </c>
      <c r="C710" s="2" t="s">
        <v>2966</v>
      </c>
      <c r="D710" s="14" t="s">
        <v>2967</v>
      </c>
    </row>
    <row r="711">
      <c r="A711" s="2" t="s">
        <v>3493</v>
      </c>
      <c r="B711" s="2" t="s">
        <v>3526</v>
      </c>
      <c r="C711" s="2" t="s">
        <v>2968</v>
      </c>
      <c r="D711" s="14" t="s">
        <v>2969</v>
      </c>
    </row>
    <row r="712">
      <c r="A712" s="2" t="s">
        <v>3493</v>
      </c>
      <c r="B712" s="2" t="s">
        <v>3544</v>
      </c>
      <c r="C712" s="2" t="s">
        <v>2970</v>
      </c>
      <c r="D712" s="14" t="s">
        <v>2971</v>
      </c>
    </row>
    <row r="713">
      <c r="A713" s="2" t="s">
        <v>3493</v>
      </c>
      <c r="B713" s="2" t="s">
        <v>3544</v>
      </c>
      <c r="C713" s="2" t="s">
        <v>2972</v>
      </c>
      <c r="D713" s="14" t="s">
        <v>2973</v>
      </c>
    </row>
    <row r="714">
      <c r="A714" s="2" t="s">
        <v>3493</v>
      </c>
      <c r="B714" s="2" t="s">
        <v>3544</v>
      </c>
      <c r="C714" s="2" t="s">
        <v>2974</v>
      </c>
      <c r="D714" s="14" t="s">
        <v>2975</v>
      </c>
    </row>
    <row r="715">
      <c r="A715" s="2" t="s">
        <v>3493</v>
      </c>
      <c r="B715" s="2" t="s">
        <v>3544</v>
      </c>
      <c r="C715" s="2" t="s">
        <v>2976</v>
      </c>
      <c r="D715" s="14" t="s">
        <v>2977</v>
      </c>
    </row>
    <row r="716">
      <c r="A716" s="2" t="s">
        <v>3493</v>
      </c>
      <c r="B716" s="2" t="s">
        <v>3544</v>
      </c>
      <c r="C716" s="2" t="s">
        <v>2978</v>
      </c>
      <c r="D716" s="14" t="s">
        <v>2979</v>
      </c>
    </row>
    <row r="717">
      <c r="A717" s="2" t="s">
        <v>3493</v>
      </c>
      <c r="B717" s="2" t="s">
        <v>3544</v>
      </c>
      <c r="C717" s="2" t="s">
        <v>2980</v>
      </c>
      <c r="D717" s="14" t="s">
        <v>2981</v>
      </c>
    </row>
    <row r="718">
      <c r="A718" s="2" t="s">
        <v>3493</v>
      </c>
      <c r="B718" s="2" t="s">
        <v>3544</v>
      </c>
      <c r="C718" s="2" t="s">
        <v>2982</v>
      </c>
      <c r="D718" s="14" t="s">
        <v>2983</v>
      </c>
    </row>
    <row r="719">
      <c r="A719" s="2" t="s">
        <v>3493</v>
      </c>
      <c r="B719" s="2" t="s">
        <v>3544</v>
      </c>
      <c r="C719" s="2" t="s">
        <v>2984</v>
      </c>
      <c r="D719" s="14" t="s">
        <v>2985</v>
      </c>
    </row>
    <row r="720">
      <c r="A720" s="2" t="s">
        <v>3493</v>
      </c>
      <c r="B720" s="2" t="s">
        <v>3559</v>
      </c>
      <c r="C720" s="2" t="s">
        <v>2986</v>
      </c>
      <c r="D720" s="14" t="s">
        <v>2987</v>
      </c>
    </row>
    <row r="721">
      <c r="A721" s="2" t="s">
        <v>3493</v>
      </c>
      <c r="B721" s="2" t="s">
        <v>3559</v>
      </c>
      <c r="C721" s="2" t="s">
        <v>2988</v>
      </c>
      <c r="D721" s="14" t="s">
        <v>2989</v>
      </c>
    </row>
    <row r="722">
      <c r="A722" s="2" t="s">
        <v>3493</v>
      </c>
      <c r="B722" s="2" t="s">
        <v>3559</v>
      </c>
      <c r="C722" s="2" t="s">
        <v>2990</v>
      </c>
      <c r="D722" s="14" t="s">
        <v>2991</v>
      </c>
    </row>
    <row r="723">
      <c r="A723" s="2" t="s">
        <v>3493</v>
      </c>
      <c r="B723" s="2" t="s">
        <v>3559</v>
      </c>
      <c r="C723" s="2" t="s">
        <v>2992</v>
      </c>
      <c r="D723" s="14" t="s">
        <v>2993</v>
      </c>
    </row>
    <row r="724">
      <c r="A724" s="2" t="s">
        <v>3493</v>
      </c>
      <c r="B724" s="2" t="s">
        <v>3559</v>
      </c>
      <c r="C724" s="2" t="s">
        <v>2994</v>
      </c>
      <c r="D724" s="14" t="s">
        <v>2995</v>
      </c>
    </row>
    <row r="725">
      <c r="A725" s="2" t="s">
        <v>3493</v>
      </c>
      <c r="B725" s="2" t="s">
        <v>3559</v>
      </c>
      <c r="C725" s="2" t="s">
        <v>2996</v>
      </c>
      <c r="D725" s="14" t="s">
        <v>2997</v>
      </c>
    </row>
    <row r="726">
      <c r="A726" s="2" t="s">
        <v>3493</v>
      </c>
      <c r="B726" s="2" t="s">
        <v>3559</v>
      </c>
      <c r="C726" s="2" t="s">
        <v>2998</v>
      </c>
      <c r="D726" s="14" t="s">
        <v>2999</v>
      </c>
    </row>
    <row r="727">
      <c r="A727" s="2" t="s">
        <v>3493</v>
      </c>
      <c r="B727" s="2" t="s">
        <v>3559</v>
      </c>
      <c r="C727" s="2" t="s">
        <v>3000</v>
      </c>
      <c r="D727" s="14" t="s">
        <v>3001</v>
      </c>
    </row>
    <row r="728">
      <c r="A728" s="2" t="s">
        <v>3493</v>
      </c>
      <c r="B728" s="2" t="s">
        <v>3582</v>
      </c>
      <c r="C728" s="2" t="s">
        <v>3002</v>
      </c>
      <c r="D728" s="14" t="s">
        <v>3003</v>
      </c>
    </row>
    <row r="729">
      <c r="A729" s="2" t="s">
        <v>3493</v>
      </c>
      <c r="B729" s="2" t="s">
        <v>3582</v>
      </c>
      <c r="C729" s="2" t="s">
        <v>3004</v>
      </c>
      <c r="D729" s="14" t="s">
        <v>3005</v>
      </c>
    </row>
    <row r="730">
      <c r="A730" s="2" t="s">
        <v>3493</v>
      </c>
      <c r="B730" s="2" t="s">
        <v>3582</v>
      </c>
      <c r="C730" s="2" t="s">
        <v>3006</v>
      </c>
      <c r="D730" s="14" t="s">
        <v>3007</v>
      </c>
    </row>
    <row r="731">
      <c r="A731" s="2" t="s">
        <v>3493</v>
      </c>
      <c r="B731" s="2" t="s">
        <v>3582</v>
      </c>
      <c r="C731" s="2" t="s">
        <v>3008</v>
      </c>
      <c r="D731" s="14" t="s">
        <v>3009</v>
      </c>
    </row>
    <row r="732">
      <c r="A732" s="2" t="s">
        <v>3493</v>
      </c>
      <c r="B732" s="2" t="s">
        <v>3582</v>
      </c>
      <c r="C732" s="2" t="s">
        <v>3010</v>
      </c>
      <c r="D732" s="14" t="s">
        <v>3011</v>
      </c>
    </row>
    <row r="733">
      <c r="A733" s="2" t="s">
        <v>3493</v>
      </c>
      <c r="B733" s="2" t="s">
        <v>3582</v>
      </c>
      <c r="C733" s="2" t="s">
        <v>3012</v>
      </c>
      <c r="D733" s="14" t="s">
        <v>3013</v>
      </c>
    </row>
    <row r="734">
      <c r="A734" s="2" t="s">
        <v>3493</v>
      </c>
      <c r="B734" s="2" t="s">
        <v>3582</v>
      </c>
      <c r="C734" s="2" t="s">
        <v>3014</v>
      </c>
      <c r="D734" s="14" t="s">
        <v>3015</v>
      </c>
    </row>
    <row r="735">
      <c r="A735" s="2" t="s">
        <v>3493</v>
      </c>
      <c r="B735" s="2" t="s">
        <v>3582</v>
      </c>
      <c r="C735" s="2" t="s">
        <v>3016</v>
      </c>
      <c r="D735" s="14" t="s">
        <v>3017</v>
      </c>
    </row>
    <row r="736">
      <c r="A736" s="2" t="s">
        <v>3493</v>
      </c>
      <c r="B736" s="2" t="s">
        <v>3582</v>
      </c>
      <c r="C736" s="2" t="s">
        <v>3018</v>
      </c>
      <c r="D736" s="14" t="s">
        <v>3019</v>
      </c>
    </row>
    <row r="737">
      <c r="A737" s="2" t="s">
        <v>3493</v>
      </c>
      <c r="B737" s="2" t="s">
        <v>3593</v>
      </c>
      <c r="C737" s="2" t="s">
        <v>3020</v>
      </c>
      <c r="D737" s="14" t="s">
        <v>3021</v>
      </c>
    </row>
    <row r="738">
      <c r="A738" s="2" t="s">
        <v>3493</v>
      </c>
      <c r="B738" s="2" t="s">
        <v>3593</v>
      </c>
      <c r="C738" s="2" t="s">
        <v>3022</v>
      </c>
      <c r="D738" s="14" t="s">
        <v>3023</v>
      </c>
    </row>
    <row r="739">
      <c r="A739" s="2" t="s">
        <v>3493</v>
      </c>
      <c r="B739" s="2" t="s">
        <v>3593</v>
      </c>
      <c r="C739" s="2" t="s">
        <v>3024</v>
      </c>
      <c r="D739" s="14" t="s">
        <v>3025</v>
      </c>
    </row>
    <row r="740">
      <c r="A740" s="2" t="s">
        <v>3493</v>
      </c>
      <c r="B740" s="2" t="s">
        <v>3593</v>
      </c>
      <c r="C740" s="2" t="s">
        <v>3026</v>
      </c>
      <c r="D740" s="14" t="s">
        <v>3027</v>
      </c>
    </row>
    <row r="741">
      <c r="A741" s="2" t="s">
        <v>3493</v>
      </c>
      <c r="B741" s="2" t="s">
        <v>3593</v>
      </c>
      <c r="C741" s="2" t="s">
        <v>3028</v>
      </c>
      <c r="D741" s="14" t="s">
        <v>3029</v>
      </c>
    </row>
    <row r="742">
      <c r="A742" s="2" t="s">
        <v>3493</v>
      </c>
      <c r="B742" s="2" t="s">
        <v>3593</v>
      </c>
      <c r="C742" s="2" t="s">
        <v>3030</v>
      </c>
      <c r="D742" s="14" t="s">
        <v>3031</v>
      </c>
    </row>
    <row r="743">
      <c r="A743" s="2" t="s">
        <v>3493</v>
      </c>
      <c r="B743" s="2" t="s">
        <v>3593</v>
      </c>
      <c r="C743" s="2" t="s">
        <v>3032</v>
      </c>
      <c r="D743" s="14" t="s">
        <v>3033</v>
      </c>
    </row>
    <row r="744">
      <c r="A744" s="2" t="s">
        <v>3493</v>
      </c>
      <c r="B744" s="2" t="s">
        <v>3593</v>
      </c>
      <c r="C744" s="2" t="s">
        <v>3035</v>
      </c>
      <c r="D744" s="14" t="s">
        <v>3036</v>
      </c>
    </row>
    <row r="745">
      <c r="A745" s="2" t="s">
        <v>3493</v>
      </c>
      <c r="B745" s="2" t="s">
        <v>3602</v>
      </c>
      <c r="C745" s="2" t="s">
        <v>3037</v>
      </c>
      <c r="D745" s="14" t="s">
        <v>3038</v>
      </c>
    </row>
    <row r="746">
      <c r="A746" s="2" t="s">
        <v>3493</v>
      </c>
      <c r="B746" s="2" t="s">
        <v>3604</v>
      </c>
      <c r="C746" s="2" t="s">
        <v>3039</v>
      </c>
      <c r="D746" s="14" t="s">
        <v>3040</v>
      </c>
    </row>
    <row r="747">
      <c r="A747" s="2" t="s">
        <v>3493</v>
      </c>
      <c r="B747" s="2" t="s">
        <v>3604</v>
      </c>
      <c r="C747" s="2" t="s">
        <v>3041</v>
      </c>
      <c r="D747" s="14" t="s">
        <v>3042</v>
      </c>
    </row>
    <row r="748">
      <c r="A748" s="2" t="s">
        <v>3493</v>
      </c>
      <c r="B748" s="2" t="s">
        <v>3604</v>
      </c>
      <c r="C748" s="2" t="s">
        <v>3044</v>
      </c>
      <c r="D748" s="14" t="s">
        <v>3045</v>
      </c>
    </row>
    <row r="749">
      <c r="A749" s="2" t="s">
        <v>3493</v>
      </c>
      <c r="B749" s="2" t="s">
        <v>3604</v>
      </c>
      <c r="C749" s="2" t="s">
        <v>3046</v>
      </c>
      <c r="D749" s="14" t="s">
        <v>3047</v>
      </c>
    </row>
    <row r="750">
      <c r="A750" s="2" t="s">
        <v>3493</v>
      </c>
      <c r="B750" s="2" t="s">
        <v>3604</v>
      </c>
      <c r="C750" s="2" t="s">
        <v>3049</v>
      </c>
      <c r="D750" s="14" t="s">
        <v>3050</v>
      </c>
    </row>
    <row r="751">
      <c r="A751" s="2" t="s">
        <v>3493</v>
      </c>
      <c r="B751" s="2" t="s">
        <v>3611</v>
      </c>
      <c r="C751" s="2" t="s">
        <v>3054</v>
      </c>
      <c r="D751" s="14" t="s">
        <v>3055</v>
      </c>
    </row>
    <row r="752">
      <c r="A752" s="2" t="s">
        <v>3493</v>
      </c>
      <c r="B752" s="2" t="s">
        <v>3611</v>
      </c>
      <c r="C752" s="2" t="s">
        <v>3057</v>
      </c>
      <c r="D752" s="14" t="s">
        <v>3058</v>
      </c>
    </row>
    <row r="753">
      <c r="A753" s="2" t="s">
        <v>3493</v>
      </c>
      <c r="B753" s="2" t="s">
        <v>3611</v>
      </c>
      <c r="C753" s="2" t="s">
        <v>3060</v>
      </c>
      <c r="D753" s="14" t="s">
        <v>3061</v>
      </c>
    </row>
    <row r="754">
      <c r="A754" s="2" t="s">
        <v>3493</v>
      </c>
      <c r="B754" s="2" t="s">
        <v>3611</v>
      </c>
      <c r="C754" s="2" t="s">
        <v>3063</v>
      </c>
      <c r="D754" s="14" t="s">
        <v>3064</v>
      </c>
    </row>
    <row r="755">
      <c r="A755" s="2" t="s">
        <v>3493</v>
      </c>
      <c r="B755" s="2" t="s">
        <v>3611</v>
      </c>
      <c r="C755" s="2" t="s">
        <v>3066</v>
      </c>
      <c r="D755" s="14" t="s">
        <v>3067</v>
      </c>
    </row>
    <row r="756">
      <c r="A756" s="2" t="s">
        <v>3493</v>
      </c>
      <c r="B756" s="2" t="s">
        <v>3611</v>
      </c>
      <c r="C756" s="2" t="s">
        <v>3069</v>
      </c>
      <c r="D756" s="14" t="s">
        <v>3070</v>
      </c>
    </row>
    <row r="757">
      <c r="A757" s="2" t="s">
        <v>3493</v>
      </c>
      <c r="B757" s="2" t="s">
        <v>3611</v>
      </c>
      <c r="C757" s="2" t="s">
        <v>3072</v>
      </c>
      <c r="D757" s="14" t="s">
        <v>3073</v>
      </c>
    </row>
    <row r="758">
      <c r="A758" s="2" t="s">
        <v>3493</v>
      </c>
      <c r="B758" s="2" t="s">
        <v>3611</v>
      </c>
      <c r="C758" s="2" t="s">
        <v>3074</v>
      </c>
      <c r="D758" s="14" t="s">
        <v>3076</v>
      </c>
    </row>
    <row r="759">
      <c r="A759" s="2" t="s">
        <v>3493</v>
      </c>
      <c r="B759" s="2" t="s">
        <v>3611</v>
      </c>
      <c r="C759" s="2" t="s">
        <v>3077</v>
      </c>
      <c r="D759" s="14" t="s">
        <v>3078</v>
      </c>
    </row>
    <row r="760">
      <c r="A760" s="2" t="s">
        <v>3493</v>
      </c>
      <c r="B760" s="2" t="s">
        <v>3622</v>
      </c>
      <c r="C760" s="2" t="s">
        <v>3079</v>
      </c>
      <c r="D760" s="14" t="s">
        <v>3080</v>
      </c>
    </row>
    <row r="761">
      <c r="A761" s="2" t="s">
        <v>3493</v>
      </c>
      <c r="B761" s="2" t="s">
        <v>3622</v>
      </c>
      <c r="C761" s="2" t="s">
        <v>3081</v>
      </c>
      <c r="D761" s="14" t="s">
        <v>3082</v>
      </c>
    </row>
    <row r="762">
      <c r="A762" s="2" t="s">
        <v>3493</v>
      </c>
      <c r="B762" s="2" t="s">
        <v>3622</v>
      </c>
      <c r="C762" s="2" t="s">
        <v>3083</v>
      </c>
      <c r="D762" s="14" t="s">
        <v>3084</v>
      </c>
    </row>
    <row r="763">
      <c r="A763" s="2" t="s">
        <v>3493</v>
      </c>
      <c r="B763" s="2" t="s">
        <v>3622</v>
      </c>
      <c r="C763" s="2" t="s">
        <v>3085</v>
      </c>
      <c r="D763" s="14" t="s">
        <v>3086</v>
      </c>
    </row>
    <row r="764">
      <c r="A764" s="2" t="s">
        <v>3493</v>
      </c>
      <c r="B764" s="2" t="s">
        <v>3622</v>
      </c>
      <c r="C764" s="2" t="s">
        <v>3087</v>
      </c>
      <c r="D764" s="14" t="s">
        <v>3088</v>
      </c>
    </row>
    <row r="765">
      <c r="A765" s="2" t="s">
        <v>3493</v>
      </c>
      <c r="B765" s="2" t="s">
        <v>3622</v>
      </c>
      <c r="C765" s="2" t="s">
        <v>3089</v>
      </c>
      <c r="D765" s="14" t="s">
        <v>3090</v>
      </c>
    </row>
    <row r="766">
      <c r="A766" s="2" t="s">
        <v>3493</v>
      </c>
      <c r="B766" s="2" t="s">
        <v>3622</v>
      </c>
      <c r="C766" s="2" t="s">
        <v>3091</v>
      </c>
      <c r="D766" s="14" t="s">
        <v>3092</v>
      </c>
    </row>
    <row r="767">
      <c r="A767" s="2" t="s">
        <v>3493</v>
      </c>
      <c r="B767" s="2" t="s">
        <v>3622</v>
      </c>
      <c r="C767" s="2" t="s">
        <v>3093</v>
      </c>
      <c r="D767" s="14" t="s">
        <v>3094</v>
      </c>
    </row>
    <row r="768">
      <c r="A768" s="2" t="s">
        <v>3493</v>
      </c>
      <c r="B768" s="2" t="s">
        <v>3633</v>
      </c>
      <c r="C768" s="2" t="s">
        <v>3095</v>
      </c>
      <c r="D768" s="14" t="s">
        <v>3096</v>
      </c>
    </row>
    <row r="769">
      <c r="A769" s="2" t="s">
        <v>3493</v>
      </c>
      <c r="B769" s="2" t="s">
        <v>3633</v>
      </c>
      <c r="C769" s="2" t="s">
        <v>3097</v>
      </c>
      <c r="D769" s="14" t="s">
        <v>3098</v>
      </c>
    </row>
    <row r="770">
      <c r="A770" s="2" t="s">
        <v>3493</v>
      </c>
      <c r="B770" s="2" t="s">
        <v>3633</v>
      </c>
      <c r="C770" s="2" t="s">
        <v>3099</v>
      </c>
      <c r="D770" s="14" t="s">
        <v>3100</v>
      </c>
    </row>
    <row r="771">
      <c r="A771" s="2" t="s">
        <v>3493</v>
      </c>
      <c r="B771" s="2" t="s">
        <v>3633</v>
      </c>
      <c r="C771" s="2" t="s">
        <v>3101</v>
      </c>
      <c r="D771" s="14" t="s">
        <v>3102</v>
      </c>
    </row>
    <row r="772">
      <c r="A772" s="2" t="s">
        <v>3493</v>
      </c>
      <c r="B772" s="2" t="s">
        <v>3633</v>
      </c>
      <c r="C772" s="2" t="s">
        <v>3103</v>
      </c>
      <c r="D772" s="14" t="s">
        <v>3104</v>
      </c>
    </row>
    <row r="773">
      <c r="A773" s="2" t="s">
        <v>3493</v>
      </c>
      <c r="B773" s="2" t="s">
        <v>3633</v>
      </c>
      <c r="C773" s="2" t="s">
        <v>3105</v>
      </c>
      <c r="D773" s="14" t="s">
        <v>3106</v>
      </c>
    </row>
    <row r="774">
      <c r="A774" s="2" t="s">
        <v>3493</v>
      </c>
      <c r="B774" s="2" t="s">
        <v>3633</v>
      </c>
      <c r="C774" s="2" t="s">
        <v>3107</v>
      </c>
      <c r="D774" s="14" t="s">
        <v>3108</v>
      </c>
    </row>
    <row r="775">
      <c r="A775" s="2" t="s">
        <v>3493</v>
      </c>
      <c r="B775" s="2" t="s">
        <v>3633</v>
      </c>
      <c r="C775" s="2" t="s">
        <v>3109</v>
      </c>
      <c r="D775" s="14" t="s">
        <v>3110</v>
      </c>
    </row>
    <row r="776">
      <c r="A776" s="2" t="s">
        <v>3493</v>
      </c>
      <c r="B776" s="2" t="s">
        <v>3647</v>
      </c>
      <c r="C776" s="2" t="s">
        <v>3111</v>
      </c>
      <c r="D776" s="14" t="s">
        <v>3112</v>
      </c>
    </row>
    <row r="777">
      <c r="A777" s="2" t="s">
        <v>3493</v>
      </c>
      <c r="B777" s="2" t="s">
        <v>3647</v>
      </c>
      <c r="C777" s="2" t="s">
        <v>3113</v>
      </c>
      <c r="D777" s="14" t="s">
        <v>3114</v>
      </c>
    </row>
    <row r="778">
      <c r="A778" s="2" t="s">
        <v>3493</v>
      </c>
      <c r="B778" s="2" t="s">
        <v>3647</v>
      </c>
      <c r="C778" s="2" t="s">
        <v>3115</v>
      </c>
      <c r="D778" s="14" t="s">
        <v>3116</v>
      </c>
    </row>
    <row r="779">
      <c r="A779" s="2" t="s">
        <v>3493</v>
      </c>
      <c r="B779" s="2" t="s">
        <v>3647</v>
      </c>
      <c r="C779" s="2" t="s">
        <v>3117</v>
      </c>
      <c r="D779" s="14" t="s">
        <v>3118</v>
      </c>
    </row>
    <row r="780">
      <c r="A780" s="2" t="s">
        <v>3493</v>
      </c>
      <c r="B780" s="2" t="s">
        <v>3647</v>
      </c>
      <c r="C780" s="2" t="s">
        <v>3119</v>
      </c>
      <c r="D780" s="14" t="s">
        <v>3120</v>
      </c>
    </row>
    <row r="781">
      <c r="A781" s="2" t="s">
        <v>3493</v>
      </c>
      <c r="B781" s="2" t="s">
        <v>3647</v>
      </c>
      <c r="C781" s="2" t="s">
        <v>3121</v>
      </c>
      <c r="D781" s="14" t="s">
        <v>3122</v>
      </c>
    </row>
    <row r="782">
      <c r="A782" s="2" t="s">
        <v>3493</v>
      </c>
      <c r="B782" s="2" t="s">
        <v>3647</v>
      </c>
      <c r="C782" s="2" t="s">
        <v>3660</v>
      </c>
      <c r="D782" s="14" t="s">
        <v>3661</v>
      </c>
    </row>
    <row r="783">
      <c r="A783" s="2" t="s">
        <v>3664</v>
      </c>
      <c r="B783" s="2" t="s">
        <v>3665</v>
      </c>
      <c r="C783" s="2" t="s">
        <v>3125</v>
      </c>
      <c r="D783" s="14" t="s">
        <v>3126</v>
      </c>
    </row>
    <row r="784">
      <c r="A784" s="2" t="s">
        <v>3127</v>
      </c>
      <c r="B784" s="2" t="s">
        <v>3668</v>
      </c>
      <c r="C784" s="2" t="s">
        <v>3128</v>
      </c>
      <c r="D784" s="14" t="s">
        <v>3129</v>
      </c>
    </row>
    <row r="785">
      <c r="A785" s="2" t="s">
        <v>3127</v>
      </c>
      <c r="B785" s="2" t="s">
        <v>3668</v>
      </c>
      <c r="C785" s="2" t="s">
        <v>3130</v>
      </c>
      <c r="D785" s="14" t="s">
        <v>3131</v>
      </c>
    </row>
    <row r="786">
      <c r="A786" s="2" t="s">
        <v>3127</v>
      </c>
      <c r="B786" s="2" t="s">
        <v>3668</v>
      </c>
      <c r="C786" s="2" t="s">
        <v>3132</v>
      </c>
      <c r="D786" s="14" t="s">
        <v>3133</v>
      </c>
    </row>
    <row r="787">
      <c r="A787" s="2" t="s">
        <v>3127</v>
      </c>
      <c r="B787" s="2" t="s">
        <v>3668</v>
      </c>
      <c r="C787" s="2" t="s">
        <v>3134</v>
      </c>
      <c r="D787" s="14" t="s">
        <v>3135</v>
      </c>
    </row>
    <row r="788">
      <c r="A788" s="2" t="s">
        <v>3127</v>
      </c>
      <c r="B788" s="2" t="s">
        <v>3668</v>
      </c>
      <c r="C788" s="2" t="s">
        <v>3136</v>
      </c>
      <c r="D788" s="14" t="s">
        <v>3137</v>
      </c>
    </row>
    <row r="789">
      <c r="A789" s="2" t="s">
        <v>3127</v>
      </c>
      <c r="B789" s="2" t="s">
        <v>3668</v>
      </c>
      <c r="C789" s="2" t="s">
        <v>3138</v>
      </c>
      <c r="D789" s="14" t="s">
        <v>3139</v>
      </c>
    </row>
    <row r="790">
      <c r="A790" s="2" t="s">
        <v>3127</v>
      </c>
      <c r="B790" s="2" t="s">
        <v>3668</v>
      </c>
      <c r="C790" s="2" t="s">
        <v>3140</v>
      </c>
      <c r="D790" s="14" t="s">
        <v>3141</v>
      </c>
    </row>
    <row r="791">
      <c r="A791" s="2" t="s">
        <v>3127</v>
      </c>
      <c r="B791" s="2" t="s">
        <v>3668</v>
      </c>
      <c r="C791" s="2" t="s">
        <v>3142</v>
      </c>
      <c r="D791" s="14" t="s">
        <v>3143</v>
      </c>
    </row>
    <row r="792">
      <c r="A792" s="2" t="s">
        <v>3127</v>
      </c>
      <c r="B792" s="2" t="s">
        <v>3668</v>
      </c>
      <c r="C792" s="2" t="s">
        <v>3144</v>
      </c>
      <c r="D792" s="14" t="s">
        <v>3145</v>
      </c>
    </row>
    <row r="793">
      <c r="A793" s="2" t="s">
        <v>3127</v>
      </c>
      <c r="B793" s="2" t="s">
        <v>3668</v>
      </c>
      <c r="C793" s="2" t="s">
        <v>3146</v>
      </c>
      <c r="D793" s="14" t="s">
        <v>3147</v>
      </c>
    </row>
    <row r="794">
      <c r="A794" s="2" t="s">
        <v>3127</v>
      </c>
      <c r="B794" s="2" t="s">
        <v>3668</v>
      </c>
      <c r="C794" s="2" t="s">
        <v>3148</v>
      </c>
      <c r="D794" s="14" t="s">
        <v>3149</v>
      </c>
    </row>
    <row r="795">
      <c r="A795" s="2" t="s">
        <v>3127</v>
      </c>
      <c r="B795" s="2" t="s">
        <v>3668</v>
      </c>
      <c r="C795" s="2" t="s">
        <v>3150</v>
      </c>
      <c r="D795" s="14" t="s">
        <v>3151</v>
      </c>
    </row>
    <row r="796">
      <c r="A796" s="2" t="s">
        <v>3127</v>
      </c>
      <c r="B796" s="2" t="s">
        <v>3668</v>
      </c>
      <c r="C796" s="2" t="s">
        <v>3152</v>
      </c>
      <c r="D796" s="14" t="s">
        <v>3153</v>
      </c>
    </row>
    <row r="797">
      <c r="A797" s="2" t="s">
        <v>3127</v>
      </c>
      <c r="B797" s="2" t="s">
        <v>3668</v>
      </c>
      <c r="C797" s="2" t="s">
        <v>3154</v>
      </c>
      <c r="D797" s="14" t="s">
        <v>3155</v>
      </c>
    </row>
    <row r="798">
      <c r="A798" s="2" t="s">
        <v>3127</v>
      </c>
      <c r="B798" s="2" t="s">
        <v>3668</v>
      </c>
      <c r="C798" s="2" t="s">
        <v>3156</v>
      </c>
      <c r="D798" s="14" t="s">
        <v>3157</v>
      </c>
    </row>
    <row r="799">
      <c r="A799" s="2" t="s">
        <v>3697</v>
      </c>
      <c r="B799" s="2" t="s">
        <v>3698</v>
      </c>
      <c r="C799" s="2" t="s">
        <v>3160</v>
      </c>
      <c r="D799" s="14" t="s">
        <v>3161</v>
      </c>
    </row>
    <row r="800">
      <c r="A800" s="2" t="s">
        <v>3697</v>
      </c>
      <c r="B800" s="2" t="s">
        <v>3698</v>
      </c>
      <c r="C800" s="2" t="s">
        <v>3163</v>
      </c>
      <c r="D800" s="14" t="s">
        <v>3164</v>
      </c>
    </row>
    <row r="801">
      <c r="A801" s="2" t="s">
        <v>3697</v>
      </c>
      <c r="B801" s="2" t="s">
        <v>3698</v>
      </c>
      <c r="C801" s="2" t="s">
        <v>3165</v>
      </c>
      <c r="D801" s="14" t="s">
        <v>3166</v>
      </c>
    </row>
    <row r="802">
      <c r="A802" s="2" t="s">
        <v>3697</v>
      </c>
      <c r="B802" s="2" t="s">
        <v>3698</v>
      </c>
      <c r="C802" s="2" t="s">
        <v>3168</v>
      </c>
      <c r="D802" s="14" t="s">
        <v>3169</v>
      </c>
    </row>
    <row r="803">
      <c r="A803" s="2" t="s">
        <v>3697</v>
      </c>
      <c r="B803" s="2" t="s">
        <v>3698</v>
      </c>
      <c r="C803" s="2" t="s">
        <v>3170</v>
      </c>
      <c r="D803" s="14" t="s">
        <v>3172</v>
      </c>
    </row>
    <row r="804">
      <c r="A804" s="2" t="s">
        <v>3697</v>
      </c>
      <c r="B804" s="2" t="s">
        <v>3705</v>
      </c>
      <c r="C804" s="2" t="s">
        <v>3173</v>
      </c>
      <c r="D804" s="14" t="s">
        <v>3174</v>
      </c>
    </row>
    <row r="805">
      <c r="A805" s="2" t="s">
        <v>3697</v>
      </c>
      <c r="B805" s="2" t="s">
        <v>3705</v>
      </c>
      <c r="C805" s="2" t="s">
        <v>3175</v>
      </c>
      <c r="D805" s="14" t="s">
        <v>3176</v>
      </c>
    </row>
    <row r="806">
      <c r="A806" s="2" t="s">
        <v>3697</v>
      </c>
      <c r="B806" s="2" t="s">
        <v>3705</v>
      </c>
      <c r="C806" s="2" t="s">
        <v>3177</v>
      </c>
      <c r="D806" s="14" t="s">
        <v>3178</v>
      </c>
    </row>
    <row r="807">
      <c r="A807" s="2" t="s">
        <v>3697</v>
      </c>
      <c r="B807" s="2" t="s">
        <v>3705</v>
      </c>
      <c r="C807" s="2" t="s">
        <v>3179</v>
      </c>
      <c r="D807" s="14" t="s">
        <v>3180</v>
      </c>
    </row>
    <row r="808">
      <c r="A808" s="2" t="s">
        <v>3697</v>
      </c>
      <c r="B808" s="2" t="s">
        <v>3705</v>
      </c>
      <c r="C808" s="2" t="s">
        <v>3182</v>
      </c>
      <c r="D808" s="14" t="s">
        <v>3183</v>
      </c>
    </row>
    <row r="809">
      <c r="A809" s="2" t="s">
        <v>3697</v>
      </c>
      <c r="B809" s="2" t="s">
        <v>3718</v>
      </c>
      <c r="C809" s="2" t="s">
        <v>3184</v>
      </c>
      <c r="D809" s="14" t="s">
        <v>3185</v>
      </c>
    </row>
    <row r="810">
      <c r="A810" s="2" t="s">
        <v>3697</v>
      </c>
      <c r="B810" s="2" t="s">
        <v>3718</v>
      </c>
      <c r="C810" s="2" t="s">
        <v>3187</v>
      </c>
      <c r="D810" s="14" t="s">
        <v>3188</v>
      </c>
    </row>
    <row r="811">
      <c r="A811" s="2" t="s">
        <v>3697</v>
      </c>
      <c r="B811" s="2" t="s">
        <v>3718</v>
      </c>
      <c r="C811" s="2" t="s">
        <v>3189</v>
      </c>
      <c r="D811" s="14" t="s">
        <v>3190</v>
      </c>
    </row>
    <row r="812">
      <c r="A812" s="2" t="s">
        <v>3697</v>
      </c>
      <c r="B812" s="2" t="s">
        <v>3718</v>
      </c>
      <c r="C812" s="2" t="s">
        <v>3191</v>
      </c>
      <c r="D812" s="14" t="s">
        <v>3192</v>
      </c>
    </row>
    <row r="813">
      <c r="A813" s="2" t="s">
        <v>3697</v>
      </c>
      <c r="B813" s="2" t="s">
        <v>3718</v>
      </c>
      <c r="C813" s="2" t="s">
        <v>3193</v>
      </c>
      <c r="D813" s="14" t="s">
        <v>3194</v>
      </c>
    </row>
    <row r="814">
      <c r="A814" s="2" t="s">
        <v>3731</v>
      </c>
      <c r="B814" s="2" t="s">
        <v>3732</v>
      </c>
      <c r="C814" s="2" t="s">
        <v>3196</v>
      </c>
      <c r="D814" s="14" t="s">
        <v>3197</v>
      </c>
    </row>
    <row r="815">
      <c r="A815" s="2" t="s">
        <v>3731</v>
      </c>
      <c r="B815" s="2" t="s">
        <v>3732</v>
      </c>
      <c r="C815" s="2" t="s">
        <v>3198</v>
      </c>
      <c r="D815" s="14" t="s">
        <v>3199</v>
      </c>
    </row>
    <row r="816">
      <c r="A816" s="2" t="s">
        <v>3731</v>
      </c>
      <c r="B816" s="2" t="s">
        <v>3732</v>
      </c>
      <c r="C816" s="2" t="s">
        <v>3200</v>
      </c>
      <c r="D816" s="14" t="s">
        <v>3201</v>
      </c>
    </row>
    <row r="817">
      <c r="A817" s="2" t="s">
        <v>3731</v>
      </c>
      <c r="B817" s="2" t="s">
        <v>3732</v>
      </c>
      <c r="C817" s="2" t="s">
        <v>3202</v>
      </c>
      <c r="D817" s="14" t="s">
        <v>3203</v>
      </c>
    </row>
    <row r="818">
      <c r="A818" s="2" t="s">
        <v>3731</v>
      </c>
      <c r="B818" s="2" t="s">
        <v>3732</v>
      </c>
      <c r="C818" s="2" t="s">
        <v>3205</v>
      </c>
      <c r="D818" s="14" t="s">
        <v>3206</v>
      </c>
    </row>
    <row r="819">
      <c r="A819" s="2" t="s">
        <v>3731</v>
      </c>
      <c r="B819" s="2" t="s">
        <v>3732</v>
      </c>
      <c r="C819" s="2" t="s">
        <v>3207</v>
      </c>
      <c r="D819" s="14" t="s">
        <v>3208</v>
      </c>
    </row>
    <row r="820">
      <c r="A820" s="2" t="s">
        <v>3731</v>
      </c>
      <c r="B820" s="2" t="s">
        <v>3732</v>
      </c>
      <c r="C820" s="2" t="s">
        <v>3210</v>
      </c>
      <c r="D820" s="14" t="s">
        <v>3211</v>
      </c>
    </row>
    <row r="821">
      <c r="A821" s="2" t="s">
        <v>3731</v>
      </c>
      <c r="B821" s="2" t="s">
        <v>3732</v>
      </c>
      <c r="C821" s="2" t="s">
        <v>3213</v>
      </c>
      <c r="D821" s="14" t="s">
        <v>3214</v>
      </c>
    </row>
    <row r="822">
      <c r="A822" s="2" t="s">
        <v>3731</v>
      </c>
      <c r="B822" s="2" t="s">
        <v>3732</v>
      </c>
      <c r="C822" s="2" t="s">
        <v>3216</v>
      </c>
      <c r="D822" s="14" t="s">
        <v>3217</v>
      </c>
    </row>
    <row r="823">
      <c r="A823" s="2" t="s">
        <v>3731</v>
      </c>
      <c r="B823" s="2" t="s">
        <v>3732</v>
      </c>
      <c r="C823" s="2" t="s">
        <v>3218</v>
      </c>
      <c r="D823" s="14" t="s">
        <v>3219</v>
      </c>
    </row>
    <row r="824">
      <c r="A824" s="2" t="s">
        <v>3731</v>
      </c>
      <c r="B824" s="2" t="s">
        <v>3732</v>
      </c>
      <c r="C824" s="2" t="s">
        <v>3221</v>
      </c>
      <c r="D824" s="14" t="s">
        <v>3222</v>
      </c>
    </row>
    <row r="825">
      <c r="A825" s="2" t="s">
        <v>3731</v>
      </c>
      <c r="B825" s="2" t="s">
        <v>3732</v>
      </c>
      <c r="C825" s="2" t="s">
        <v>3224</v>
      </c>
      <c r="D825" s="14" t="s">
        <v>3225</v>
      </c>
    </row>
    <row r="826">
      <c r="A826" s="2" t="s">
        <v>3731</v>
      </c>
      <c r="B826" s="2" t="s">
        <v>3732</v>
      </c>
      <c r="C826" s="2" t="s">
        <v>3226</v>
      </c>
      <c r="D826" s="14" t="s">
        <v>3227</v>
      </c>
    </row>
    <row r="827">
      <c r="A827" s="2" t="s">
        <v>3731</v>
      </c>
      <c r="B827" s="2" t="s">
        <v>3732</v>
      </c>
      <c r="C827" s="2" t="s">
        <v>3228</v>
      </c>
      <c r="D827" s="14" t="s">
        <v>3230</v>
      </c>
    </row>
    <row r="828">
      <c r="A828" s="2" t="s">
        <v>3731</v>
      </c>
      <c r="B828" s="2" t="s">
        <v>3732</v>
      </c>
      <c r="C828" s="2" t="s">
        <v>3231</v>
      </c>
      <c r="D828" s="14" t="s">
        <v>3232</v>
      </c>
    </row>
    <row r="829">
      <c r="A829" s="2" t="s">
        <v>3731</v>
      </c>
      <c r="B829" s="2" t="s">
        <v>3732</v>
      </c>
      <c r="C829" s="2" t="s">
        <v>3233</v>
      </c>
      <c r="D829" s="14" t="s">
        <v>3234</v>
      </c>
    </row>
    <row r="830">
      <c r="A830" s="2" t="s">
        <v>3731</v>
      </c>
      <c r="B830" s="2" t="s">
        <v>3732</v>
      </c>
      <c r="C830" s="2" t="s">
        <v>3236</v>
      </c>
      <c r="D830" s="14" t="s">
        <v>3237</v>
      </c>
    </row>
    <row r="831">
      <c r="A831" s="2" t="s">
        <v>3731</v>
      </c>
      <c r="B831" s="2" t="s">
        <v>3732</v>
      </c>
      <c r="C831" s="2" t="s">
        <v>3240</v>
      </c>
      <c r="D831" s="14" t="s">
        <v>3241</v>
      </c>
    </row>
    <row r="832">
      <c r="A832" s="2" t="s">
        <v>3731</v>
      </c>
      <c r="B832" s="2" t="s">
        <v>3732</v>
      </c>
      <c r="C832" s="2" t="s">
        <v>3243</v>
      </c>
      <c r="D832" s="14" t="s">
        <v>3244</v>
      </c>
    </row>
    <row r="833">
      <c r="A833" s="2" t="s">
        <v>3731</v>
      </c>
      <c r="B833" s="2" t="s">
        <v>3732</v>
      </c>
      <c r="C833" s="2" t="s">
        <v>3246</v>
      </c>
      <c r="D833" s="14" t="s">
        <v>3247</v>
      </c>
    </row>
    <row r="834">
      <c r="A834" s="2" t="s">
        <v>3731</v>
      </c>
      <c r="B834" s="2" t="s">
        <v>3732</v>
      </c>
      <c r="C834" s="2" t="s">
        <v>3249</v>
      </c>
      <c r="D834" s="14" t="s">
        <v>3250</v>
      </c>
    </row>
    <row r="835">
      <c r="A835" s="2" t="s">
        <v>3731</v>
      </c>
      <c r="B835" s="2" t="s">
        <v>3732</v>
      </c>
      <c r="C835" s="2" t="s">
        <v>3252</v>
      </c>
      <c r="D835" s="14" t="s">
        <v>3253</v>
      </c>
    </row>
    <row r="836">
      <c r="A836" s="2" t="s">
        <v>3731</v>
      </c>
      <c r="B836" s="2" t="s">
        <v>3732</v>
      </c>
      <c r="C836" s="2" t="s">
        <v>3254</v>
      </c>
      <c r="D836" s="14" t="s">
        <v>3255</v>
      </c>
    </row>
    <row r="837">
      <c r="A837" s="2" t="s">
        <v>3731</v>
      </c>
      <c r="B837" s="2" t="s">
        <v>3732</v>
      </c>
      <c r="C837" s="2" t="s">
        <v>3257</v>
      </c>
      <c r="D837" s="14" t="s">
        <v>3258</v>
      </c>
    </row>
    <row r="838">
      <c r="A838" s="2" t="s">
        <v>3731</v>
      </c>
      <c r="B838" s="2" t="s">
        <v>3732</v>
      </c>
      <c r="C838" s="2" t="s">
        <v>3260</v>
      </c>
      <c r="D838" s="14" t="s">
        <v>3261</v>
      </c>
    </row>
    <row r="839">
      <c r="A839" s="2" t="s">
        <v>3731</v>
      </c>
      <c r="B839" s="2" t="s">
        <v>3732</v>
      </c>
      <c r="C839" s="2" t="s">
        <v>3262</v>
      </c>
      <c r="D839" s="14" t="s">
        <v>3263</v>
      </c>
    </row>
    <row r="840">
      <c r="A840" s="2" t="s">
        <v>3731</v>
      </c>
      <c r="B840" s="2" t="s">
        <v>3732</v>
      </c>
      <c r="C840" s="2" t="s">
        <v>3265</v>
      </c>
      <c r="D840" s="14" t="s">
        <v>3266</v>
      </c>
    </row>
    <row r="841">
      <c r="A841" s="2" t="s">
        <v>3731</v>
      </c>
      <c r="B841" s="2" t="s">
        <v>3732</v>
      </c>
      <c r="C841" s="2" t="s">
        <v>3267</v>
      </c>
      <c r="D841" s="14" t="s">
        <v>3268</v>
      </c>
    </row>
    <row r="842">
      <c r="A842" s="2" t="s">
        <v>3731</v>
      </c>
      <c r="B842" s="2" t="s">
        <v>3732</v>
      </c>
      <c r="C842" s="2" t="s">
        <v>3269</v>
      </c>
      <c r="D842" s="14" t="s">
        <v>3270</v>
      </c>
    </row>
    <row r="843">
      <c r="A843" s="2" t="s">
        <v>3731</v>
      </c>
      <c r="B843" s="2" t="s">
        <v>3732</v>
      </c>
      <c r="C843" s="2" t="s">
        <v>3272</v>
      </c>
      <c r="D843" s="14" t="s">
        <v>3273</v>
      </c>
    </row>
    <row r="844">
      <c r="A844" s="2" t="s">
        <v>3731</v>
      </c>
      <c r="B844" s="2" t="s">
        <v>3732</v>
      </c>
      <c r="C844" s="2" t="s">
        <v>3275</v>
      </c>
      <c r="D844" s="14" t="s">
        <v>3276</v>
      </c>
    </row>
    <row r="845">
      <c r="A845" s="2" t="s">
        <v>3731</v>
      </c>
      <c r="B845" s="2" t="s">
        <v>3732</v>
      </c>
      <c r="C845" s="2" t="s">
        <v>3278</v>
      </c>
      <c r="D845" s="14" t="s">
        <v>3279</v>
      </c>
    </row>
    <row r="846">
      <c r="A846" s="2" t="s">
        <v>3731</v>
      </c>
      <c r="B846" s="2" t="s">
        <v>3732</v>
      </c>
      <c r="C846" s="2" t="s">
        <v>3281</v>
      </c>
      <c r="D846" s="14" t="s">
        <v>3282</v>
      </c>
    </row>
    <row r="847">
      <c r="A847" s="2" t="s">
        <v>3731</v>
      </c>
      <c r="B847" s="2" t="s">
        <v>3732</v>
      </c>
      <c r="C847" s="2" t="s">
        <v>3283</v>
      </c>
      <c r="D847" s="14" t="s">
        <v>3284</v>
      </c>
    </row>
    <row r="848">
      <c r="A848" s="2" t="s">
        <v>3731</v>
      </c>
      <c r="B848" s="2" t="s">
        <v>3732</v>
      </c>
      <c r="C848" s="2" t="s">
        <v>3286</v>
      </c>
      <c r="D848" s="14" t="s">
        <v>3287</v>
      </c>
    </row>
    <row r="849">
      <c r="A849" s="2" t="s">
        <v>3731</v>
      </c>
      <c r="B849" s="2" t="s">
        <v>3732</v>
      </c>
      <c r="C849" s="2" t="s">
        <v>3288</v>
      </c>
      <c r="D849" s="14" t="s">
        <v>3289</v>
      </c>
    </row>
    <row r="850">
      <c r="A850" s="2" t="s">
        <v>3731</v>
      </c>
      <c r="B850" s="2" t="s">
        <v>3732</v>
      </c>
      <c r="C850" s="2" t="s">
        <v>3291</v>
      </c>
      <c r="D850" s="14" t="s">
        <v>3292</v>
      </c>
    </row>
    <row r="851">
      <c r="A851" s="2" t="s">
        <v>3731</v>
      </c>
      <c r="B851" s="2" t="s">
        <v>3732</v>
      </c>
      <c r="C851" s="2" t="s">
        <v>3293</v>
      </c>
      <c r="D851" s="14" t="s">
        <v>3294</v>
      </c>
    </row>
    <row r="852">
      <c r="A852" s="2" t="s">
        <v>3731</v>
      </c>
      <c r="B852" s="2" t="s">
        <v>3732</v>
      </c>
      <c r="C852" s="2" t="s">
        <v>3296</v>
      </c>
      <c r="D852" s="14" t="s">
        <v>3297</v>
      </c>
    </row>
    <row r="853">
      <c r="A853" s="2" t="s">
        <v>3731</v>
      </c>
      <c r="B853" s="2" t="s">
        <v>3732</v>
      </c>
      <c r="C853" s="2" t="s">
        <v>3299</v>
      </c>
      <c r="D853" s="14" t="s">
        <v>3300</v>
      </c>
    </row>
    <row r="854">
      <c r="A854" s="2" t="s">
        <v>3731</v>
      </c>
      <c r="B854" s="2" t="s">
        <v>3732</v>
      </c>
      <c r="C854" s="2" t="s">
        <v>3302</v>
      </c>
      <c r="D854" s="14" t="s">
        <v>3303</v>
      </c>
    </row>
    <row r="855">
      <c r="A855" s="2" t="s">
        <v>3731</v>
      </c>
      <c r="B855" s="2" t="s">
        <v>3732</v>
      </c>
      <c r="C855" s="2" t="s">
        <v>3305</v>
      </c>
      <c r="D855" s="14" t="s">
        <v>3306</v>
      </c>
    </row>
    <row r="856">
      <c r="A856" s="2" t="s">
        <v>3731</v>
      </c>
      <c r="B856" s="2" t="s">
        <v>3732</v>
      </c>
      <c r="C856" s="2" t="s">
        <v>3307</v>
      </c>
      <c r="D856" s="14" t="s">
        <v>3309</v>
      </c>
    </row>
    <row r="857">
      <c r="A857" s="2" t="s">
        <v>3731</v>
      </c>
      <c r="B857" s="2" t="s">
        <v>3732</v>
      </c>
      <c r="C857" s="2" t="s">
        <v>3310</v>
      </c>
      <c r="D857" s="14" t="s">
        <v>3311</v>
      </c>
    </row>
    <row r="858">
      <c r="A858" s="2" t="s">
        <v>3731</v>
      </c>
      <c r="B858" s="2" t="s">
        <v>3732</v>
      </c>
      <c r="C858" s="2" t="s">
        <v>3313</v>
      </c>
      <c r="D858" s="14" t="s">
        <v>3314</v>
      </c>
    </row>
    <row r="859">
      <c r="A859" s="2" t="s">
        <v>3731</v>
      </c>
      <c r="B859" s="2" t="s">
        <v>3732</v>
      </c>
      <c r="C859" s="2" t="s">
        <v>3316</v>
      </c>
      <c r="D859" s="14" t="s">
        <v>3317</v>
      </c>
    </row>
    <row r="860">
      <c r="A860" s="2" t="s">
        <v>3731</v>
      </c>
      <c r="B860" s="2" t="s">
        <v>3732</v>
      </c>
      <c r="C860" s="2" t="s">
        <v>3319</v>
      </c>
      <c r="D860" s="14" t="s">
        <v>3320</v>
      </c>
    </row>
    <row r="861">
      <c r="A861" s="2" t="s">
        <v>3731</v>
      </c>
      <c r="B861" s="2" t="s">
        <v>3732</v>
      </c>
      <c r="C861" s="2" t="s">
        <v>3323</v>
      </c>
      <c r="D861" s="14" t="s">
        <v>3324</v>
      </c>
    </row>
    <row r="862">
      <c r="A862" s="2" t="s">
        <v>3731</v>
      </c>
      <c r="B862" s="2" t="s">
        <v>3732</v>
      </c>
      <c r="C862" s="2" t="s">
        <v>3326</v>
      </c>
      <c r="D862" s="14" t="s">
        <v>3327</v>
      </c>
    </row>
    <row r="863">
      <c r="A863" s="2" t="s">
        <v>3731</v>
      </c>
      <c r="B863" s="2" t="s">
        <v>3732</v>
      </c>
      <c r="C863" s="2" t="s">
        <v>3329</v>
      </c>
      <c r="D863" s="14" t="s">
        <v>3331</v>
      </c>
    </row>
    <row r="864">
      <c r="A864" s="2" t="s">
        <v>3731</v>
      </c>
      <c r="B864" s="2" t="s">
        <v>3732</v>
      </c>
      <c r="C864" s="2" t="s">
        <v>3332</v>
      </c>
      <c r="D864" s="14" t="s">
        <v>3333</v>
      </c>
    </row>
    <row r="865">
      <c r="A865" s="2" t="s">
        <v>3731</v>
      </c>
      <c r="B865" s="2" t="s">
        <v>3732</v>
      </c>
      <c r="C865" s="2" t="s">
        <v>3334</v>
      </c>
      <c r="D865" s="14" t="s">
        <v>3335</v>
      </c>
    </row>
    <row r="866">
      <c r="A866" s="2" t="s">
        <v>3731</v>
      </c>
      <c r="B866" s="2" t="s">
        <v>3732</v>
      </c>
      <c r="C866" s="2" t="s">
        <v>3337</v>
      </c>
      <c r="D866" s="14" t="s">
        <v>3338</v>
      </c>
    </row>
    <row r="867">
      <c r="A867" s="2" t="s">
        <v>3731</v>
      </c>
      <c r="B867" s="2" t="s">
        <v>3732</v>
      </c>
      <c r="C867" s="2" t="s">
        <v>3339</v>
      </c>
      <c r="D867" s="14" t="s">
        <v>3341</v>
      </c>
    </row>
    <row r="868">
      <c r="A868" s="2" t="s">
        <v>3731</v>
      </c>
      <c r="B868" s="2" t="s">
        <v>3732</v>
      </c>
      <c r="C868" s="2" t="s">
        <v>3342</v>
      </c>
      <c r="D868" s="14" t="s">
        <v>3343</v>
      </c>
    </row>
    <row r="869">
      <c r="A869" s="2" t="s">
        <v>3731</v>
      </c>
      <c r="B869" s="2" t="s">
        <v>3732</v>
      </c>
      <c r="C869" s="2" t="s">
        <v>3345</v>
      </c>
      <c r="D869" s="14" t="s">
        <v>3346</v>
      </c>
    </row>
    <row r="870">
      <c r="A870" s="2" t="s">
        <v>3731</v>
      </c>
      <c r="B870" s="2" t="s">
        <v>3732</v>
      </c>
      <c r="C870" s="2" t="s">
        <v>3347</v>
      </c>
      <c r="D870" s="14" t="s">
        <v>3348</v>
      </c>
    </row>
    <row r="871">
      <c r="A871" s="2" t="s">
        <v>3731</v>
      </c>
      <c r="B871" s="2" t="s">
        <v>3732</v>
      </c>
      <c r="C871" s="2" t="s">
        <v>3350</v>
      </c>
      <c r="D871" s="14" t="s">
        <v>3351</v>
      </c>
    </row>
    <row r="872">
      <c r="A872" s="2" t="s">
        <v>3731</v>
      </c>
      <c r="B872" s="2" t="s">
        <v>3732</v>
      </c>
      <c r="C872" s="2" t="s">
        <v>3354</v>
      </c>
      <c r="D872" s="14" t="s">
        <v>3355</v>
      </c>
    </row>
    <row r="873">
      <c r="A873" s="2" t="s">
        <v>3731</v>
      </c>
      <c r="B873" s="2" t="s">
        <v>3732</v>
      </c>
      <c r="C873" s="2" t="s">
        <v>3356</v>
      </c>
      <c r="D873" s="14" t="s">
        <v>3357</v>
      </c>
    </row>
    <row r="874">
      <c r="A874" s="2" t="s">
        <v>3731</v>
      </c>
      <c r="B874" s="2" t="s">
        <v>3732</v>
      </c>
      <c r="C874" s="2" t="s">
        <v>3358</v>
      </c>
      <c r="D874" s="14" t="s">
        <v>3359</v>
      </c>
    </row>
    <row r="875">
      <c r="A875" s="2" t="s">
        <v>3731</v>
      </c>
      <c r="B875" s="2" t="s">
        <v>3732</v>
      </c>
      <c r="C875" s="2" t="s">
        <v>3360</v>
      </c>
      <c r="D875" s="14" t="s">
        <v>3361</v>
      </c>
    </row>
    <row r="876">
      <c r="A876" s="2" t="s">
        <v>3731</v>
      </c>
      <c r="B876" s="2" t="s">
        <v>3732</v>
      </c>
      <c r="C876" s="2" t="s">
        <v>3363</v>
      </c>
      <c r="D876" s="14" t="s">
        <v>3364</v>
      </c>
    </row>
    <row r="877">
      <c r="A877" s="2" t="s">
        <v>3731</v>
      </c>
      <c r="B877" s="2" t="s">
        <v>3824</v>
      </c>
      <c r="C877" s="2" t="s">
        <v>3366</v>
      </c>
      <c r="D877" s="14" t="s">
        <v>3367</v>
      </c>
    </row>
    <row r="878">
      <c r="A878" s="2" t="s">
        <v>3731</v>
      </c>
      <c r="B878" s="2" t="s">
        <v>3824</v>
      </c>
      <c r="C878" s="2" t="s">
        <v>3368</v>
      </c>
      <c r="D878" s="14" t="s">
        <v>3369</v>
      </c>
    </row>
    <row r="879">
      <c r="A879" s="2" t="s">
        <v>3731</v>
      </c>
      <c r="B879" s="2" t="s">
        <v>3824</v>
      </c>
      <c r="C879" s="2" t="s">
        <v>3371</v>
      </c>
      <c r="D879" s="14" t="s">
        <v>3372</v>
      </c>
    </row>
    <row r="880">
      <c r="A880" s="2" t="s">
        <v>3731</v>
      </c>
      <c r="B880" s="2" t="s">
        <v>3824</v>
      </c>
      <c r="C880" s="2" t="s">
        <v>3373</v>
      </c>
      <c r="D880" s="14" t="s">
        <v>3374</v>
      </c>
    </row>
    <row r="881">
      <c r="A881" s="2" t="s">
        <v>3731</v>
      </c>
      <c r="B881" s="2" t="s">
        <v>3824</v>
      </c>
      <c r="C881" s="2" t="s">
        <v>3375</v>
      </c>
      <c r="D881" s="14" t="s">
        <v>3376</v>
      </c>
    </row>
    <row r="882">
      <c r="A882" s="2" t="s">
        <v>3731</v>
      </c>
      <c r="B882" s="2" t="s">
        <v>3824</v>
      </c>
      <c r="C882" s="2" t="s">
        <v>3377</v>
      </c>
      <c r="D882" s="14" t="s">
        <v>3378</v>
      </c>
    </row>
    <row r="883">
      <c r="A883" s="2" t="s">
        <v>3731</v>
      </c>
      <c r="B883" s="2" t="s">
        <v>3824</v>
      </c>
      <c r="C883" s="2" t="s">
        <v>3379</v>
      </c>
      <c r="D883" s="14" t="s">
        <v>3380</v>
      </c>
    </row>
    <row r="884">
      <c r="A884" s="2" t="s">
        <v>3731</v>
      </c>
      <c r="B884" s="2" t="s">
        <v>3824</v>
      </c>
      <c r="C884" s="2" t="s">
        <v>3382</v>
      </c>
      <c r="D884" s="14" t="s">
        <v>3383</v>
      </c>
    </row>
    <row r="885">
      <c r="A885" s="2" t="s">
        <v>3731</v>
      </c>
      <c r="B885" s="2" t="s">
        <v>3824</v>
      </c>
      <c r="C885" s="2" t="s">
        <v>3385</v>
      </c>
      <c r="D885" s="14" t="s">
        <v>3386</v>
      </c>
    </row>
    <row r="886">
      <c r="A886" s="2" t="s">
        <v>3731</v>
      </c>
      <c r="B886" s="2" t="s">
        <v>3824</v>
      </c>
      <c r="C886" s="2" t="s">
        <v>3387</v>
      </c>
      <c r="D886" s="14" t="s">
        <v>3388</v>
      </c>
    </row>
    <row r="887">
      <c r="A887" s="2" t="s">
        <v>3731</v>
      </c>
      <c r="B887" s="2" t="s">
        <v>3824</v>
      </c>
      <c r="C887" s="2" t="s">
        <v>3390</v>
      </c>
      <c r="D887" s="14" t="s">
        <v>3391</v>
      </c>
    </row>
    <row r="888">
      <c r="A888" s="2" t="s">
        <v>3731</v>
      </c>
      <c r="B888" s="2" t="s">
        <v>3824</v>
      </c>
      <c r="C888" s="2" t="s">
        <v>3392</v>
      </c>
      <c r="D888" s="14" t="s">
        <v>3393</v>
      </c>
    </row>
    <row r="889">
      <c r="A889" s="2" t="s">
        <v>3731</v>
      </c>
      <c r="B889" s="2" t="s">
        <v>3824</v>
      </c>
      <c r="C889" s="2" t="s">
        <v>3394</v>
      </c>
      <c r="D889" s="14" t="s">
        <v>3395</v>
      </c>
    </row>
    <row r="890">
      <c r="A890" s="2" t="s">
        <v>3731</v>
      </c>
      <c r="B890" s="2" t="s">
        <v>3824</v>
      </c>
      <c r="C890" s="2" t="s">
        <v>3396</v>
      </c>
      <c r="D890" s="14" t="s">
        <v>3397</v>
      </c>
    </row>
    <row r="891">
      <c r="A891" s="2" t="s">
        <v>3731</v>
      </c>
      <c r="B891" s="2" t="s">
        <v>3824</v>
      </c>
      <c r="C891" s="2" t="s">
        <v>3398</v>
      </c>
      <c r="D891" s="14" t="s">
        <v>3399</v>
      </c>
    </row>
    <row r="892">
      <c r="A892" s="2" t="s">
        <v>3731</v>
      </c>
      <c r="B892" s="2" t="s">
        <v>3824</v>
      </c>
      <c r="C892" s="2" t="s">
        <v>3400</v>
      </c>
      <c r="D892" s="14" t="s">
        <v>3401</v>
      </c>
    </row>
    <row r="893">
      <c r="A893" s="2" t="s">
        <v>3731</v>
      </c>
      <c r="B893" s="2" t="s">
        <v>3824</v>
      </c>
      <c r="C893" s="2" t="s">
        <v>3402</v>
      </c>
      <c r="D893" s="14" t="s">
        <v>3403</v>
      </c>
    </row>
    <row r="894">
      <c r="A894" s="2" t="s">
        <v>3731</v>
      </c>
      <c r="B894" s="2" t="s">
        <v>3824</v>
      </c>
      <c r="C894" s="2" t="s">
        <v>3404</v>
      </c>
      <c r="D894" s="14" t="s">
        <v>3405</v>
      </c>
    </row>
    <row r="895">
      <c r="A895" s="2" t="s">
        <v>3731</v>
      </c>
      <c r="B895" s="2" t="s">
        <v>3824</v>
      </c>
      <c r="C895" s="2" t="s">
        <v>3406</v>
      </c>
      <c r="D895" s="14" t="s">
        <v>3407</v>
      </c>
    </row>
    <row r="896">
      <c r="A896" s="2" t="s">
        <v>3731</v>
      </c>
      <c r="B896" s="2" t="s">
        <v>3824</v>
      </c>
      <c r="C896" s="2" t="s">
        <v>3408</v>
      </c>
      <c r="D896" s="14" t="s">
        <v>3409</v>
      </c>
    </row>
    <row r="897">
      <c r="A897" s="2" t="s">
        <v>3731</v>
      </c>
      <c r="B897" s="2" t="s">
        <v>3824</v>
      </c>
      <c r="C897" s="2" t="s">
        <v>3411</v>
      </c>
      <c r="D897" s="14" t="s">
        <v>3412</v>
      </c>
    </row>
    <row r="898">
      <c r="A898" s="2" t="s">
        <v>3731</v>
      </c>
      <c r="B898" s="2" t="s">
        <v>3824</v>
      </c>
      <c r="C898" s="2" t="s">
        <v>3414</v>
      </c>
      <c r="D898" s="14" t="s">
        <v>3415</v>
      </c>
    </row>
    <row r="899">
      <c r="A899" s="2" t="s">
        <v>3731</v>
      </c>
      <c r="B899" s="2" t="s">
        <v>3824</v>
      </c>
      <c r="C899" s="2" t="s">
        <v>3416</v>
      </c>
      <c r="D899" s="14" t="s">
        <v>3417</v>
      </c>
    </row>
    <row r="900">
      <c r="A900" s="2" t="s">
        <v>3731</v>
      </c>
      <c r="B900" s="2" t="s">
        <v>3824</v>
      </c>
      <c r="C900" s="2" t="s">
        <v>3419</v>
      </c>
      <c r="D900" s="14" t="s">
        <v>3420</v>
      </c>
    </row>
    <row r="901">
      <c r="A901" s="2" t="s">
        <v>3731</v>
      </c>
      <c r="B901" s="2" t="s">
        <v>3824</v>
      </c>
      <c r="C901" s="2" t="s">
        <v>3421</v>
      </c>
      <c r="D901" s="14" t="s">
        <v>3422</v>
      </c>
    </row>
    <row r="902">
      <c r="A902" s="2" t="s">
        <v>3731</v>
      </c>
      <c r="B902" s="2" t="s">
        <v>3872</v>
      </c>
      <c r="C902" s="2" t="s">
        <v>3423</v>
      </c>
      <c r="D902" s="14" t="s">
        <v>3424</v>
      </c>
    </row>
    <row r="903">
      <c r="A903" s="2" t="s">
        <v>3731</v>
      </c>
      <c r="B903" s="2" t="s">
        <v>3872</v>
      </c>
      <c r="C903" s="2" t="s">
        <v>3425</v>
      </c>
      <c r="D903" s="14" t="s">
        <v>3426</v>
      </c>
    </row>
    <row r="904">
      <c r="A904" s="2" t="s">
        <v>3731</v>
      </c>
      <c r="B904" s="2" t="s">
        <v>3872</v>
      </c>
      <c r="C904" s="2" t="s">
        <v>3427</v>
      </c>
      <c r="D904" s="14" t="s">
        <v>3428</v>
      </c>
    </row>
    <row r="905">
      <c r="A905" s="2" t="s">
        <v>3731</v>
      </c>
      <c r="B905" s="2" t="s">
        <v>3872</v>
      </c>
      <c r="C905" s="2" t="s">
        <v>3429</v>
      </c>
      <c r="D905" s="14" t="s">
        <v>3430</v>
      </c>
    </row>
    <row r="906">
      <c r="A906" s="2" t="s">
        <v>3731</v>
      </c>
      <c r="B906" s="2" t="s">
        <v>3872</v>
      </c>
      <c r="C906" s="2" t="s">
        <v>3431</v>
      </c>
      <c r="D906" s="14" t="s">
        <v>3432</v>
      </c>
    </row>
    <row r="907">
      <c r="A907" s="2" t="s">
        <v>3731</v>
      </c>
      <c r="B907" s="2" t="s">
        <v>3872</v>
      </c>
      <c r="C907" s="2" t="s">
        <v>3435</v>
      </c>
      <c r="D907" s="14" t="s">
        <v>3436</v>
      </c>
    </row>
    <row r="908">
      <c r="A908" s="2" t="s">
        <v>3731</v>
      </c>
      <c r="B908" s="2" t="s">
        <v>3872</v>
      </c>
      <c r="C908" s="2" t="s">
        <v>3437</v>
      </c>
      <c r="D908" s="14" t="s">
        <v>3438</v>
      </c>
    </row>
    <row r="909">
      <c r="A909" s="2" t="s">
        <v>3731</v>
      </c>
      <c r="B909" s="2" t="s">
        <v>3872</v>
      </c>
      <c r="C909" s="2" t="s">
        <v>3439</v>
      </c>
      <c r="D909" s="14" t="s">
        <v>3440</v>
      </c>
    </row>
    <row r="910">
      <c r="A910" s="2" t="s">
        <v>3731</v>
      </c>
      <c r="B910" s="2" t="s">
        <v>3872</v>
      </c>
      <c r="C910" s="2" t="s">
        <v>3441</v>
      </c>
      <c r="D910" s="14" t="s">
        <v>3442</v>
      </c>
    </row>
    <row r="911">
      <c r="A911" s="2" t="s">
        <v>3731</v>
      </c>
      <c r="B911" s="2" t="s">
        <v>3872</v>
      </c>
      <c r="C911" s="2" t="s">
        <v>3443</v>
      </c>
      <c r="D911" s="14" t="s">
        <v>3444</v>
      </c>
    </row>
    <row r="912">
      <c r="A912" s="2" t="s">
        <v>3731</v>
      </c>
      <c r="B912" s="2" t="s">
        <v>3872</v>
      </c>
      <c r="C912" s="2" t="s">
        <v>3446</v>
      </c>
      <c r="D912" s="14" t="s">
        <v>3447</v>
      </c>
    </row>
    <row r="913">
      <c r="A913" s="2" t="s">
        <v>3731</v>
      </c>
      <c r="B913" s="2" t="s">
        <v>3872</v>
      </c>
      <c r="C913" s="2" t="s">
        <v>3448</v>
      </c>
      <c r="D913" s="14" t="s">
        <v>3449</v>
      </c>
    </row>
    <row r="914">
      <c r="A914" s="2" t="s">
        <v>3731</v>
      </c>
      <c r="B914" s="2" t="s">
        <v>3872</v>
      </c>
      <c r="C914" s="2" t="s">
        <v>3452</v>
      </c>
      <c r="D914" s="14" t="s">
        <v>3453</v>
      </c>
    </row>
    <row r="915">
      <c r="A915" s="2" t="s">
        <v>3731</v>
      </c>
      <c r="B915" s="2" t="s">
        <v>3872</v>
      </c>
      <c r="C915" s="2" t="s">
        <v>3455</v>
      </c>
      <c r="D915" s="14" t="s">
        <v>3456</v>
      </c>
    </row>
    <row r="916">
      <c r="A916" s="2" t="s">
        <v>3731</v>
      </c>
      <c r="B916" s="2" t="s">
        <v>3872</v>
      </c>
      <c r="C916" s="2" t="s">
        <v>3458</v>
      </c>
      <c r="D916" s="14" t="s">
        <v>3459</v>
      </c>
    </row>
    <row r="917">
      <c r="A917" s="2" t="s">
        <v>3731</v>
      </c>
      <c r="B917" s="2" t="s">
        <v>3872</v>
      </c>
      <c r="C917" s="2" t="s">
        <v>3460</v>
      </c>
      <c r="D917" s="14" t="s">
        <v>3461</v>
      </c>
    </row>
    <row r="918">
      <c r="A918" s="2" t="s">
        <v>3731</v>
      </c>
      <c r="B918" s="2" t="s">
        <v>3872</v>
      </c>
      <c r="C918" s="2" t="s">
        <v>3462</v>
      </c>
      <c r="D918" s="14" t="s">
        <v>3463</v>
      </c>
    </row>
    <row r="919">
      <c r="A919" s="2" t="s">
        <v>3731</v>
      </c>
      <c r="B919" s="2" t="s">
        <v>3872</v>
      </c>
      <c r="C919" s="2" t="s">
        <v>3464</v>
      </c>
      <c r="D919" s="14" t="s">
        <v>3465</v>
      </c>
    </row>
    <row r="920">
      <c r="A920" s="2" t="s">
        <v>3914</v>
      </c>
      <c r="B920" s="2" t="s">
        <v>3915</v>
      </c>
      <c r="C920" s="2" t="s">
        <v>3918</v>
      </c>
      <c r="D920" s="14" t="s">
        <v>3467</v>
      </c>
    </row>
    <row r="921">
      <c r="A921" s="2" t="s">
        <v>3914</v>
      </c>
      <c r="B921" s="2" t="s">
        <v>3915</v>
      </c>
      <c r="C921" s="2" t="s">
        <v>459</v>
      </c>
      <c r="D921" s="14" t="s">
        <v>3469</v>
      </c>
    </row>
    <row r="922">
      <c r="A922" s="2" t="s">
        <v>3914</v>
      </c>
      <c r="B922" s="2" t="s">
        <v>3915</v>
      </c>
      <c r="C922" s="2" t="s">
        <v>3921</v>
      </c>
      <c r="D922" s="14" t="s">
        <v>3470</v>
      </c>
    </row>
    <row r="923">
      <c r="A923" s="2" t="s">
        <v>3914</v>
      </c>
      <c r="B923" s="2" t="s">
        <v>3915</v>
      </c>
      <c r="C923" s="2" t="s">
        <v>3924</v>
      </c>
      <c r="D923" s="14" t="s">
        <v>3471</v>
      </c>
    </row>
    <row r="924">
      <c r="A924" s="2" t="s">
        <v>3914</v>
      </c>
      <c r="B924" s="2" t="s">
        <v>3915</v>
      </c>
      <c r="C924" s="2" t="s">
        <v>3927</v>
      </c>
      <c r="D924" s="14" t="s">
        <v>3473</v>
      </c>
    </row>
    <row r="925">
      <c r="A925" s="2" t="s">
        <v>3914</v>
      </c>
      <c r="B925" s="2" t="s">
        <v>3915</v>
      </c>
      <c r="C925" s="2" t="s">
        <v>3930</v>
      </c>
      <c r="D925" s="14" t="s">
        <v>3475</v>
      </c>
    </row>
    <row r="926">
      <c r="A926" s="2" t="s">
        <v>3914</v>
      </c>
      <c r="B926" s="2" t="s">
        <v>3915</v>
      </c>
      <c r="C926" s="2" t="s">
        <v>475</v>
      </c>
      <c r="D926" s="14" t="s">
        <v>3476</v>
      </c>
    </row>
    <row r="927">
      <c r="A927" s="2" t="s">
        <v>3914</v>
      </c>
      <c r="B927" s="2" t="s">
        <v>3915</v>
      </c>
      <c r="C927" s="2" t="s">
        <v>3935</v>
      </c>
      <c r="D927" s="14" t="s">
        <v>3477</v>
      </c>
    </row>
    <row r="928">
      <c r="A928" s="2" t="s">
        <v>3914</v>
      </c>
      <c r="B928" s="2" t="s">
        <v>3915</v>
      </c>
      <c r="C928" s="2" t="s">
        <v>3938</v>
      </c>
      <c r="D928" s="14" t="s">
        <v>3478</v>
      </c>
    </row>
    <row r="929">
      <c r="A929" s="2" t="s">
        <v>3914</v>
      </c>
      <c r="B929" s="2" t="s">
        <v>3915</v>
      </c>
      <c r="C929" s="2" t="s">
        <v>493</v>
      </c>
      <c r="D929" s="14" t="s">
        <v>3479</v>
      </c>
    </row>
    <row r="930">
      <c r="A930" s="2" t="s">
        <v>3914</v>
      </c>
      <c r="B930" s="2" t="s">
        <v>3915</v>
      </c>
      <c r="C930" s="2" t="s">
        <v>3943</v>
      </c>
      <c r="D930" s="14" t="s">
        <v>3480</v>
      </c>
    </row>
    <row r="931">
      <c r="A931" s="2" t="s">
        <v>3914</v>
      </c>
      <c r="B931" s="2" t="s">
        <v>3915</v>
      </c>
      <c r="C931" s="2" t="s">
        <v>3946</v>
      </c>
      <c r="D931" s="14" t="s">
        <v>3481</v>
      </c>
    </row>
    <row r="932">
      <c r="A932" s="2" t="s">
        <v>3914</v>
      </c>
      <c r="B932" s="2" t="s">
        <v>3915</v>
      </c>
      <c r="C932" s="2" t="s">
        <v>3951</v>
      </c>
      <c r="D932" s="14" t="s">
        <v>3482</v>
      </c>
    </row>
    <row r="933">
      <c r="A933" s="2" t="s">
        <v>3914</v>
      </c>
      <c r="B933" s="2" t="s">
        <v>3915</v>
      </c>
      <c r="C933" s="2" t="s">
        <v>3954</v>
      </c>
      <c r="D933" s="14" t="s">
        <v>3484</v>
      </c>
    </row>
    <row r="934">
      <c r="A934" s="2" t="s">
        <v>3914</v>
      </c>
      <c r="B934" s="2" t="s">
        <v>3915</v>
      </c>
      <c r="C934" s="2" t="s">
        <v>3956</v>
      </c>
      <c r="D934" s="14" t="s">
        <v>3485</v>
      </c>
    </row>
    <row r="935">
      <c r="A935" s="2" t="s">
        <v>3914</v>
      </c>
      <c r="B935" s="2" t="s">
        <v>3915</v>
      </c>
      <c r="C935" s="2" t="s">
        <v>3959</v>
      </c>
      <c r="D935" s="14" t="s">
        <v>3488</v>
      </c>
    </row>
    <row r="936">
      <c r="A936" s="2" t="s">
        <v>3914</v>
      </c>
      <c r="B936" s="2" t="s">
        <v>3915</v>
      </c>
      <c r="C936" s="2" t="s">
        <v>3962</v>
      </c>
      <c r="D936" s="14" t="s">
        <v>3489</v>
      </c>
    </row>
    <row r="937">
      <c r="A937" s="2" t="s">
        <v>3914</v>
      </c>
      <c r="B937" s="2" t="s">
        <v>3915</v>
      </c>
      <c r="C937" s="2" t="s">
        <v>3965</v>
      </c>
      <c r="D937" s="14" t="s">
        <v>3490</v>
      </c>
    </row>
    <row r="938">
      <c r="A938" s="2" t="s">
        <v>3914</v>
      </c>
      <c r="B938" s="2" t="s">
        <v>3915</v>
      </c>
      <c r="C938" s="2" t="s">
        <v>503</v>
      </c>
      <c r="D938" s="14" t="s">
        <v>3491</v>
      </c>
    </row>
    <row r="939">
      <c r="A939" s="2" t="s">
        <v>3914</v>
      </c>
      <c r="B939" s="2" t="s">
        <v>3915</v>
      </c>
      <c r="C939" s="2" t="s">
        <v>3968</v>
      </c>
      <c r="D939" s="14" t="s">
        <v>3492</v>
      </c>
    </row>
    <row r="940">
      <c r="A940" s="2" t="s">
        <v>3914</v>
      </c>
      <c r="B940" s="2" t="s">
        <v>3915</v>
      </c>
      <c r="C940" s="2" t="s">
        <v>3970</v>
      </c>
      <c r="D940" s="14" t="s">
        <v>3495</v>
      </c>
    </row>
    <row r="941">
      <c r="A941" s="2" t="s">
        <v>3914</v>
      </c>
      <c r="B941" s="2" t="s">
        <v>3915</v>
      </c>
      <c r="C941" s="2" t="s">
        <v>3971</v>
      </c>
      <c r="D941" s="14" t="s">
        <v>3496</v>
      </c>
    </row>
    <row r="942">
      <c r="A942" s="2" t="s">
        <v>3914</v>
      </c>
      <c r="B942" s="2" t="s">
        <v>3915</v>
      </c>
      <c r="C942" s="2" t="s">
        <v>3973</v>
      </c>
      <c r="D942" s="14" t="s">
        <v>3497</v>
      </c>
    </row>
    <row r="943">
      <c r="A943" s="2" t="s">
        <v>3914</v>
      </c>
      <c r="B943" s="2" t="s">
        <v>3915</v>
      </c>
      <c r="C943" s="2" t="s">
        <v>3976</v>
      </c>
      <c r="D943" s="14" t="s">
        <v>3498</v>
      </c>
    </row>
    <row r="944">
      <c r="A944" s="2" t="s">
        <v>3914</v>
      </c>
      <c r="B944" s="2" t="s">
        <v>3915</v>
      </c>
      <c r="C944" s="2" t="s">
        <v>3979</v>
      </c>
      <c r="D944" s="14" t="s">
        <v>3499</v>
      </c>
    </row>
    <row r="945">
      <c r="A945" s="2" t="s">
        <v>3914</v>
      </c>
      <c r="B945" s="2" t="s">
        <v>3915</v>
      </c>
      <c r="C945" s="2" t="s">
        <v>3981</v>
      </c>
      <c r="D945" s="14" t="s">
        <v>3500</v>
      </c>
    </row>
    <row r="946">
      <c r="A946" s="2" t="s">
        <v>3914</v>
      </c>
      <c r="B946" s="2" t="s">
        <v>3915</v>
      </c>
      <c r="C946" s="2" t="s">
        <v>3984</v>
      </c>
      <c r="D946" s="14" t="s">
        <v>3501</v>
      </c>
    </row>
    <row r="947">
      <c r="A947" s="2" t="s">
        <v>3914</v>
      </c>
      <c r="B947" s="2" t="s">
        <v>3915</v>
      </c>
      <c r="C947" s="2" t="s">
        <v>3990</v>
      </c>
      <c r="D947" s="14" t="s">
        <v>3502</v>
      </c>
    </row>
    <row r="948">
      <c r="A948" s="2" t="s">
        <v>3914</v>
      </c>
      <c r="B948" s="2" t="s">
        <v>3915</v>
      </c>
      <c r="C948" s="2" t="s">
        <v>3995</v>
      </c>
      <c r="D948" s="14" t="s">
        <v>3503</v>
      </c>
    </row>
    <row r="949">
      <c r="A949" s="2" t="s">
        <v>3914</v>
      </c>
      <c r="B949" s="2" t="s">
        <v>3915</v>
      </c>
      <c r="C949" s="2" t="s">
        <v>3997</v>
      </c>
      <c r="D949" s="14" t="s">
        <v>3505</v>
      </c>
    </row>
    <row r="950">
      <c r="A950" s="2" t="s">
        <v>3914</v>
      </c>
      <c r="B950" s="2" t="s">
        <v>3915</v>
      </c>
      <c r="C950" s="2" t="s">
        <v>3999</v>
      </c>
      <c r="D950" s="14" t="s">
        <v>3506</v>
      </c>
    </row>
    <row r="951">
      <c r="A951" s="2" t="s">
        <v>3914</v>
      </c>
      <c r="B951" s="2" t="s">
        <v>3915</v>
      </c>
      <c r="C951" s="2" t="s">
        <v>4001</v>
      </c>
      <c r="D951" s="14" t="s">
        <v>3507</v>
      </c>
    </row>
    <row r="952">
      <c r="A952" s="2" t="s">
        <v>3914</v>
      </c>
      <c r="B952" s="2" t="s">
        <v>3915</v>
      </c>
      <c r="C952" s="2" t="s">
        <v>4003</v>
      </c>
      <c r="D952" s="14" t="s">
        <v>3508</v>
      </c>
    </row>
    <row r="953">
      <c r="A953" s="2" t="s">
        <v>3914</v>
      </c>
      <c r="B953" s="2" t="s">
        <v>3915</v>
      </c>
      <c r="C953" s="2" t="s">
        <v>4006</v>
      </c>
      <c r="D953" s="14" t="s">
        <v>3509</v>
      </c>
    </row>
    <row r="954">
      <c r="A954" s="2" t="s">
        <v>3914</v>
      </c>
      <c r="B954" s="2" t="s">
        <v>3915</v>
      </c>
      <c r="C954" s="2" t="s">
        <v>4009</v>
      </c>
      <c r="D954" s="14" t="s">
        <v>3510</v>
      </c>
    </row>
    <row r="955">
      <c r="A955" s="2" t="s">
        <v>3914</v>
      </c>
      <c r="B955" s="2" t="s">
        <v>3915</v>
      </c>
      <c r="C955" s="2" t="s">
        <v>4012</v>
      </c>
      <c r="D955" s="14" t="s">
        <v>3511</v>
      </c>
    </row>
    <row r="956">
      <c r="A956" s="2" t="s">
        <v>3914</v>
      </c>
      <c r="B956" s="2" t="s">
        <v>3915</v>
      </c>
      <c r="C956" s="2" t="s">
        <v>3512</v>
      </c>
      <c r="D956" s="14" t="s">
        <v>3513</v>
      </c>
    </row>
    <row r="957">
      <c r="A957" s="2" t="s">
        <v>3914</v>
      </c>
      <c r="B957" s="2" t="s">
        <v>3915</v>
      </c>
      <c r="C957" s="2" t="s">
        <v>3514</v>
      </c>
      <c r="D957" s="14" t="s">
        <v>3515</v>
      </c>
    </row>
    <row r="958">
      <c r="A958" s="2" t="s">
        <v>3914</v>
      </c>
      <c r="B958" s="2" t="s">
        <v>3915</v>
      </c>
      <c r="C958" s="2" t="s">
        <v>4016</v>
      </c>
      <c r="D958" s="14" t="s">
        <v>3516</v>
      </c>
    </row>
    <row r="959">
      <c r="A959" s="2" t="s">
        <v>3914</v>
      </c>
      <c r="B959" s="2" t="s">
        <v>3915</v>
      </c>
      <c r="C959" s="2" t="s">
        <v>4018</v>
      </c>
      <c r="D959" s="14" t="s">
        <v>3517</v>
      </c>
    </row>
    <row r="960">
      <c r="A960" s="2" t="s">
        <v>3914</v>
      </c>
      <c r="B960" s="2" t="s">
        <v>3915</v>
      </c>
      <c r="C960" s="2" t="s">
        <v>4021</v>
      </c>
      <c r="D960" s="14" t="s">
        <v>3518</v>
      </c>
    </row>
    <row r="961">
      <c r="A961" s="2" t="s">
        <v>3914</v>
      </c>
      <c r="B961" s="2" t="s">
        <v>3915</v>
      </c>
      <c r="C961" s="2" t="s">
        <v>4024</v>
      </c>
      <c r="D961" s="14" t="s">
        <v>3520</v>
      </c>
    </row>
    <row r="962">
      <c r="A962" s="2" t="s">
        <v>3914</v>
      </c>
      <c r="B962" s="2" t="s">
        <v>3915</v>
      </c>
      <c r="C962" s="2" t="s">
        <v>4026</v>
      </c>
      <c r="D962" s="14" t="s">
        <v>3521</v>
      </c>
    </row>
    <row r="963">
      <c r="A963" s="2" t="s">
        <v>3914</v>
      </c>
      <c r="B963" s="2" t="s">
        <v>3915</v>
      </c>
      <c r="C963" s="2" t="s">
        <v>4028</v>
      </c>
      <c r="D963" s="14" t="s">
        <v>3522</v>
      </c>
    </row>
    <row r="964">
      <c r="A964" s="2" t="s">
        <v>3914</v>
      </c>
      <c r="B964" s="2" t="s">
        <v>3915</v>
      </c>
      <c r="C964" s="2" t="s">
        <v>4031</v>
      </c>
      <c r="D964" s="14" t="s">
        <v>3523</v>
      </c>
    </row>
    <row r="965">
      <c r="A965" s="2" t="s">
        <v>3914</v>
      </c>
      <c r="B965" s="2" t="s">
        <v>3915</v>
      </c>
      <c r="C965" s="2" t="s">
        <v>4033</v>
      </c>
      <c r="D965" s="14" t="s">
        <v>3524</v>
      </c>
    </row>
    <row r="966">
      <c r="A966" s="2" t="s">
        <v>3914</v>
      </c>
      <c r="B966" s="2" t="s">
        <v>3915</v>
      </c>
      <c r="C966" s="2" t="s">
        <v>4035</v>
      </c>
      <c r="D966" s="14" t="s">
        <v>3525</v>
      </c>
    </row>
    <row r="967">
      <c r="A967" s="2" t="s">
        <v>3914</v>
      </c>
      <c r="B967" s="2" t="s">
        <v>3915</v>
      </c>
      <c r="C967" s="2" t="s">
        <v>4040</v>
      </c>
      <c r="D967" s="14" t="s">
        <v>3527</v>
      </c>
    </row>
    <row r="968">
      <c r="A968" s="2" t="s">
        <v>3914</v>
      </c>
      <c r="B968" s="2" t="s">
        <v>3915</v>
      </c>
      <c r="C968" s="2" t="s">
        <v>3528</v>
      </c>
      <c r="D968" s="14" t="s">
        <v>3529</v>
      </c>
    </row>
    <row r="969">
      <c r="A969" s="2" t="s">
        <v>3914</v>
      </c>
      <c r="B969" s="2" t="s">
        <v>3915</v>
      </c>
      <c r="C969" s="2" t="s">
        <v>3530</v>
      </c>
      <c r="D969" s="14" t="s">
        <v>3531</v>
      </c>
    </row>
    <row r="970">
      <c r="A970" s="2" t="s">
        <v>3914</v>
      </c>
      <c r="B970" s="2" t="s">
        <v>3915</v>
      </c>
      <c r="C970" s="2" t="s">
        <v>4049</v>
      </c>
      <c r="D970" s="14" t="s">
        <v>3532</v>
      </c>
    </row>
    <row r="971">
      <c r="A971" s="2" t="s">
        <v>3914</v>
      </c>
      <c r="B971" s="2" t="s">
        <v>3915</v>
      </c>
      <c r="C971" s="2" t="s">
        <v>4052</v>
      </c>
      <c r="D971" s="14" t="s">
        <v>3533</v>
      </c>
    </row>
    <row r="972">
      <c r="A972" s="2" t="s">
        <v>3914</v>
      </c>
      <c r="B972" s="2" t="s">
        <v>3915</v>
      </c>
      <c r="C972" s="2" t="s">
        <v>3534</v>
      </c>
      <c r="D972" s="14" t="s">
        <v>3535</v>
      </c>
    </row>
    <row r="973">
      <c r="A973" s="2" t="s">
        <v>3914</v>
      </c>
      <c r="B973" s="2" t="s">
        <v>3915</v>
      </c>
      <c r="C973" s="2" t="s">
        <v>3536</v>
      </c>
      <c r="D973" s="14" t="s">
        <v>3537</v>
      </c>
    </row>
    <row r="974">
      <c r="A974" s="2" t="s">
        <v>3914</v>
      </c>
      <c r="B974" s="2" t="s">
        <v>3915</v>
      </c>
      <c r="C974" s="2" t="s">
        <v>3538</v>
      </c>
      <c r="D974" s="14" t="s">
        <v>3539</v>
      </c>
    </row>
    <row r="975">
      <c r="A975" s="2" t="s">
        <v>3914</v>
      </c>
      <c r="B975" s="2" t="s">
        <v>3915</v>
      </c>
      <c r="C975" s="2" t="s">
        <v>3540</v>
      </c>
      <c r="D975" s="14" t="s">
        <v>3541</v>
      </c>
    </row>
    <row r="976">
      <c r="A976" s="2" t="s">
        <v>3914</v>
      </c>
      <c r="B976" s="2" t="s">
        <v>3915</v>
      </c>
      <c r="C976" s="2" t="s">
        <v>4061</v>
      </c>
      <c r="D976" s="14" t="s">
        <v>3542</v>
      </c>
    </row>
    <row r="977">
      <c r="A977" s="2" t="s">
        <v>3914</v>
      </c>
      <c r="B977" s="2" t="s">
        <v>3915</v>
      </c>
      <c r="C977" s="2" t="s">
        <v>4064</v>
      </c>
      <c r="D977" s="14" t="s">
        <v>3543</v>
      </c>
    </row>
    <row r="978">
      <c r="A978" s="2" t="s">
        <v>3914</v>
      </c>
      <c r="B978" s="2" t="s">
        <v>3915</v>
      </c>
      <c r="C978" s="2" t="s">
        <v>4067</v>
      </c>
      <c r="D978" s="14" t="s">
        <v>3545</v>
      </c>
    </row>
    <row r="979">
      <c r="A979" s="2" t="s">
        <v>3914</v>
      </c>
      <c r="B979" s="2" t="s">
        <v>3915</v>
      </c>
      <c r="C979" s="2" t="s">
        <v>4070</v>
      </c>
      <c r="D979" s="14" t="s">
        <v>3546</v>
      </c>
    </row>
    <row r="980">
      <c r="A980" s="2" t="s">
        <v>3914</v>
      </c>
      <c r="B980" s="2" t="s">
        <v>3915</v>
      </c>
      <c r="C980" s="2" t="s">
        <v>3547</v>
      </c>
      <c r="D980" s="14" t="s">
        <v>3548</v>
      </c>
    </row>
    <row r="981">
      <c r="A981" s="2" t="s">
        <v>3914</v>
      </c>
      <c r="B981" s="2" t="s">
        <v>3915</v>
      </c>
      <c r="C981" s="2" t="s">
        <v>3549</v>
      </c>
      <c r="D981" s="14" t="s">
        <v>3550</v>
      </c>
    </row>
    <row r="982">
      <c r="A982" s="2" t="s">
        <v>3914</v>
      </c>
      <c r="B982" s="2" t="s">
        <v>3915</v>
      </c>
      <c r="C982" s="2" t="s">
        <v>3551</v>
      </c>
      <c r="D982" s="14" t="s">
        <v>3552</v>
      </c>
    </row>
    <row r="983">
      <c r="A983" s="2" t="s">
        <v>3914</v>
      </c>
      <c r="B983" s="2" t="s">
        <v>3915</v>
      </c>
      <c r="C983" s="2" t="s">
        <v>3553</v>
      </c>
      <c r="D983" s="14" t="s">
        <v>3554</v>
      </c>
    </row>
    <row r="984">
      <c r="A984" s="2" t="s">
        <v>3914</v>
      </c>
      <c r="B984" s="2" t="s">
        <v>3915</v>
      </c>
      <c r="C984" s="2" t="s">
        <v>3555</v>
      </c>
      <c r="D984" s="14" t="s">
        <v>3556</v>
      </c>
    </row>
    <row r="985">
      <c r="A985" s="2" t="s">
        <v>3914</v>
      </c>
      <c r="B985" s="2" t="s">
        <v>3915</v>
      </c>
      <c r="C985" s="2" t="s">
        <v>3557</v>
      </c>
      <c r="D985" s="14" t="s">
        <v>3558</v>
      </c>
    </row>
    <row r="986">
      <c r="A986" s="2" t="s">
        <v>3914</v>
      </c>
      <c r="B986" s="2" t="s">
        <v>3915</v>
      </c>
      <c r="C986" s="2" t="s">
        <v>4084</v>
      </c>
      <c r="D986" s="14" t="s">
        <v>3560</v>
      </c>
    </row>
    <row r="987">
      <c r="A987" s="2" t="s">
        <v>3914</v>
      </c>
      <c r="B987" s="2" t="s">
        <v>3915</v>
      </c>
      <c r="C987" s="2" t="s">
        <v>4087</v>
      </c>
      <c r="D987" s="14" t="s">
        <v>3561</v>
      </c>
    </row>
    <row r="988">
      <c r="A988" s="2" t="s">
        <v>3914</v>
      </c>
      <c r="B988" s="2" t="s">
        <v>3915</v>
      </c>
      <c r="C988" s="2" t="s">
        <v>3562</v>
      </c>
      <c r="D988" s="14" t="s">
        <v>3563</v>
      </c>
    </row>
    <row r="989">
      <c r="A989" s="2" t="s">
        <v>3914</v>
      </c>
      <c r="B989" s="2" t="s">
        <v>3915</v>
      </c>
      <c r="C989" s="2" t="s">
        <v>3564</v>
      </c>
      <c r="D989" s="14" t="s">
        <v>3565</v>
      </c>
    </row>
    <row r="990">
      <c r="A990" s="2" t="s">
        <v>3914</v>
      </c>
      <c r="B990" s="2" t="s">
        <v>3915</v>
      </c>
      <c r="C990" s="2" t="s">
        <v>3566</v>
      </c>
      <c r="D990" s="14" t="s">
        <v>3567</v>
      </c>
    </row>
    <row r="991">
      <c r="A991" s="2" t="s">
        <v>3914</v>
      </c>
      <c r="B991" s="2" t="s">
        <v>3915</v>
      </c>
      <c r="C991" s="2" t="s">
        <v>3568</v>
      </c>
      <c r="D991" s="14" t="s">
        <v>3569</v>
      </c>
    </row>
    <row r="992">
      <c r="A992" s="2" t="s">
        <v>3914</v>
      </c>
      <c r="B992" s="2" t="s">
        <v>3915</v>
      </c>
      <c r="C992" s="2" t="s">
        <v>3570</v>
      </c>
      <c r="D992" s="14" t="s">
        <v>3571</v>
      </c>
    </row>
    <row r="993">
      <c r="A993" s="2" t="s">
        <v>3914</v>
      </c>
      <c r="B993" s="2" t="s">
        <v>3915</v>
      </c>
      <c r="C993" s="2" t="s">
        <v>3572</v>
      </c>
      <c r="D993" s="14" t="s">
        <v>3573</v>
      </c>
    </row>
    <row r="994">
      <c r="A994" s="2" t="s">
        <v>3914</v>
      </c>
      <c r="B994" s="2" t="s">
        <v>3915</v>
      </c>
      <c r="C994" s="2" t="s">
        <v>3574</v>
      </c>
      <c r="D994" s="14" t="s">
        <v>3575</v>
      </c>
    </row>
    <row r="995">
      <c r="A995" s="2" t="s">
        <v>3914</v>
      </c>
      <c r="B995" s="2" t="s">
        <v>3915</v>
      </c>
      <c r="C995" s="2" t="s">
        <v>3576</v>
      </c>
      <c r="D995" s="14" t="s">
        <v>3577</v>
      </c>
    </row>
    <row r="996">
      <c r="A996" s="2" t="s">
        <v>3914</v>
      </c>
      <c r="B996" s="2" t="s">
        <v>3915</v>
      </c>
      <c r="C996" s="2" t="s">
        <v>3578</v>
      </c>
      <c r="D996" s="14" t="s">
        <v>3579</v>
      </c>
    </row>
    <row r="997">
      <c r="A997" s="2" t="s">
        <v>3914</v>
      </c>
      <c r="B997" s="2" t="s">
        <v>3915</v>
      </c>
      <c r="C997" s="2" t="s">
        <v>3580</v>
      </c>
      <c r="D997" s="14" t="s">
        <v>3581</v>
      </c>
    </row>
    <row r="998">
      <c r="A998" s="2" t="s">
        <v>3914</v>
      </c>
      <c r="B998" s="2" t="s">
        <v>3915</v>
      </c>
      <c r="C998" s="2" t="s">
        <v>3583</v>
      </c>
      <c r="D998" s="14" t="s">
        <v>3584</v>
      </c>
    </row>
    <row r="999">
      <c r="A999" s="2" t="s">
        <v>3914</v>
      </c>
      <c r="B999" s="2" t="s">
        <v>3915</v>
      </c>
      <c r="C999" s="2" t="s">
        <v>3585</v>
      </c>
      <c r="D999" s="14" t="s">
        <v>3586</v>
      </c>
    </row>
    <row r="1000">
      <c r="A1000" s="2" t="s">
        <v>3914</v>
      </c>
      <c r="B1000" s="2" t="s">
        <v>4124</v>
      </c>
      <c r="C1000" s="2" t="s">
        <v>4125</v>
      </c>
      <c r="D1000" s="14" t="s">
        <v>3587</v>
      </c>
    </row>
    <row r="1001">
      <c r="A1001" s="2" t="s">
        <v>3914</v>
      </c>
      <c r="B1001" s="2" t="s">
        <v>4124</v>
      </c>
      <c r="C1001" s="2" t="s">
        <v>4128</v>
      </c>
      <c r="D1001" s="14" t="s">
        <v>3588</v>
      </c>
    </row>
    <row r="1002">
      <c r="A1002" s="2" t="s">
        <v>3914</v>
      </c>
      <c r="B1002" s="2" t="s">
        <v>4124</v>
      </c>
      <c r="C1002" s="2" t="s">
        <v>4131</v>
      </c>
      <c r="D1002" s="14" t="s">
        <v>3589</v>
      </c>
    </row>
    <row r="1003">
      <c r="A1003" s="2" t="s">
        <v>3914</v>
      </c>
      <c r="B1003" s="2" t="s">
        <v>4124</v>
      </c>
      <c r="C1003" s="2" t="s">
        <v>4134</v>
      </c>
      <c r="D1003" s="14" t="s">
        <v>3590</v>
      </c>
    </row>
    <row r="1004">
      <c r="A1004" s="2" t="s">
        <v>3914</v>
      </c>
      <c r="B1004" s="2" t="s">
        <v>4124</v>
      </c>
      <c r="C1004" s="2" t="s">
        <v>4137</v>
      </c>
      <c r="D1004" s="14" t="s">
        <v>3591</v>
      </c>
    </row>
    <row r="1005">
      <c r="A1005" s="2" t="s">
        <v>3914</v>
      </c>
      <c r="B1005" s="2" t="s">
        <v>4124</v>
      </c>
      <c r="C1005" s="2" t="s">
        <v>4140</v>
      </c>
      <c r="D1005" s="14" t="s">
        <v>3592</v>
      </c>
    </row>
    <row r="1006">
      <c r="A1006" s="2" t="s">
        <v>3914</v>
      </c>
      <c r="B1006" s="2" t="s">
        <v>4124</v>
      </c>
      <c r="C1006" s="2" t="s">
        <v>4143</v>
      </c>
      <c r="D1006" s="14" t="s">
        <v>3594</v>
      </c>
    </row>
    <row r="1007">
      <c r="A1007" s="2" t="s">
        <v>3914</v>
      </c>
      <c r="B1007" s="2" t="s">
        <v>4124</v>
      </c>
      <c r="C1007" s="2" t="s">
        <v>4145</v>
      </c>
      <c r="D1007" s="14" t="s">
        <v>3595</v>
      </c>
    </row>
    <row r="1008">
      <c r="A1008" s="2" t="s">
        <v>3914</v>
      </c>
      <c r="B1008" s="2" t="s">
        <v>4124</v>
      </c>
      <c r="C1008" s="2" t="s">
        <v>4148</v>
      </c>
      <c r="D1008" s="14" t="s">
        <v>3596</v>
      </c>
    </row>
    <row r="1009">
      <c r="A1009" s="2" t="s">
        <v>3914</v>
      </c>
      <c r="B1009" s="2" t="s">
        <v>4124</v>
      </c>
      <c r="C1009" s="2" t="s">
        <v>4151</v>
      </c>
      <c r="D1009" s="14" t="s">
        <v>3597</v>
      </c>
    </row>
    <row r="1010">
      <c r="A1010" s="2" t="s">
        <v>3914</v>
      </c>
      <c r="B1010" s="2" t="s">
        <v>4124</v>
      </c>
      <c r="C1010" s="2" t="s">
        <v>4152</v>
      </c>
      <c r="D1010" s="14" t="s">
        <v>3598</v>
      </c>
    </row>
    <row r="1011">
      <c r="A1011" s="2" t="s">
        <v>3914</v>
      </c>
      <c r="B1011" s="2" t="s">
        <v>4124</v>
      </c>
      <c r="C1011" s="2" t="s">
        <v>4153</v>
      </c>
      <c r="D1011" s="14" t="s">
        <v>3599</v>
      </c>
    </row>
    <row r="1012">
      <c r="A1012" s="2" t="s">
        <v>3914</v>
      </c>
      <c r="B1012" s="2" t="s">
        <v>4124</v>
      </c>
      <c r="C1012" s="2" t="s">
        <v>4155</v>
      </c>
      <c r="D1012" s="14" t="s">
        <v>3600</v>
      </c>
    </row>
    <row r="1013">
      <c r="A1013" s="2" t="s">
        <v>3914</v>
      </c>
      <c r="B1013" s="2" t="s">
        <v>4124</v>
      </c>
      <c r="C1013" s="2" t="s">
        <v>4156</v>
      </c>
      <c r="D1013" s="14" t="s">
        <v>3601</v>
      </c>
    </row>
    <row r="1014">
      <c r="A1014" s="2" t="s">
        <v>3914</v>
      </c>
      <c r="B1014" s="2" t="s">
        <v>4124</v>
      </c>
      <c r="C1014" s="2" t="s">
        <v>4159</v>
      </c>
      <c r="D1014" s="14" t="s">
        <v>3603</v>
      </c>
    </row>
    <row r="1015">
      <c r="A1015" s="2" t="s">
        <v>3914</v>
      </c>
      <c r="B1015" s="2" t="s">
        <v>4124</v>
      </c>
      <c r="C1015" s="2" t="s">
        <v>4160</v>
      </c>
      <c r="D1015" s="14" t="s">
        <v>3605</v>
      </c>
    </row>
    <row r="1016">
      <c r="A1016" s="2" t="s">
        <v>3914</v>
      </c>
      <c r="B1016" s="2" t="s">
        <v>4124</v>
      </c>
      <c r="C1016" s="2" t="s">
        <v>4163</v>
      </c>
      <c r="D1016" s="14" t="s">
        <v>3606</v>
      </c>
    </row>
    <row r="1017">
      <c r="A1017" s="2" t="s">
        <v>3914</v>
      </c>
      <c r="B1017" s="2" t="s">
        <v>4124</v>
      </c>
      <c r="C1017" s="2" t="s">
        <v>4164</v>
      </c>
      <c r="D1017" s="14" t="s">
        <v>3607</v>
      </c>
    </row>
    <row r="1018">
      <c r="A1018" s="2" t="s">
        <v>3914</v>
      </c>
      <c r="B1018" s="2" t="s">
        <v>4124</v>
      </c>
      <c r="C1018" s="2" t="s">
        <v>4165</v>
      </c>
      <c r="D1018" s="14" t="s">
        <v>3608</v>
      </c>
    </row>
    <row r="1019">
      <c r="A1019" s="2" t="s">
        <v>3914</v>
      </c>
      <c r="B1019" s="2" t="s">
        <v>4124</v>
      </c>
      <c r="C1019" s="2" t="s">
        <v>3609</v>
      </c>
      <c r="D1019" s="14" t="s">
        <v>3610</v>
      </c>
    </row>
    <row r="1020">
      <c r="A1020" s="2" t="s">
        <v>3914</v>
      </c>
      <c r="B1020" s="2" t="s">
        <v>4124</v>
      </c>
      <c r="C1020" s="2" t="s">
        <v>4168</v>
      </c>
      <c r="D1020" s="14" t="s">
        <v>3612</v>
      </c>
    </row>
    <row r="1021">
      <c r="A1021" s="2" t="s">
        <v>3914</v>
      </c>
      <c r="B1021" s="2" t="s">
        <v>4124</v>
      </c>
      <c r="C1021" s="2" t="s">
        <v>3613</v>
      </c>
      <c r="D1021" s="14" t="s">
        <v>3614</v>
      </c>
    </row>
    <row r="1022">
      <c r="A1022" s="2" t="s">
        <v>3914</v>
      </c>
      <c r="B1022" s="2" t="s">
        <v>4124</v>
      </c>
      <c r="C1022" s="2" t="s">
        <v>3615</v>
      </c>
      <c r="D1022" s="14" t="s">
        <v>3616</v>
      </c>
    </row>
    <row r="1023">
      <c r="A1023" s="2" t="s">
        <v>3914</v>
      </c>
      <c r="B1023" s="2" t="s">
        <v>4124</v>
      </c>
      <c r="C1023" s="2" t="s">
        <v>4171</v>
      </c>
      <c r="D1023" s="14" t="s">
        <v>3617</v>
      </c>
    </row>
    <row r="1024">
      <c r="A1024" s="2" t="s">
        <v>3914</v>
      </c>
      <c r="B1024" s="2" t="s">
        <v>4124</v>
      </c>
      <c r="C1024" s="2" t="s">
        <v>4172</v>
      </c>
      <c r="D1024" s="14" t="s">
        <v>3618</v>
      </c>
    </row>
    <row r="1025">
      <c r="A1025" s="2" t="s">
        <v>3914</v>
      </c>
      <c r="B1025" s="2" t="s">
        <v>4124</v>
      </c>
      <c r="C1025" s="2" t="s">
        <v>4173</v>
      </c>
      <c r="D1025" s="14" t="s">
        <v>3619</v>
      </c>
    </row>
    <row r="1026">
      <c r="A1026" s="2" t="s">
        <v>3914</v>
      </c>
      <c r="B1026" s="2" t="s">
        <v>4124</v>
      </c>
      <c r="C1026" s="2" t="s">
        <v>4174</v>
      </c>
      <c r="D1026" s="14" t="s">
        <v>3620</v>
      </c>
    </row>
    <row r="1027">
      <c r="A1027" s="2" t="s">
        <v>3914</v>
      </c>
      <c r="B1027" s="2" t="s">
        <v>4124</v>
      </c>
      <c r="C1027" s="2" t="s">
        <v>4175</v>
      </c>
      <c r="D1027" s="14" t="s">
        <v>3621</v>
      </c>
    </row>
    <row r="1028">
      <c r="A1028" s="2" t="s">
        <v>3914</v>
      </c>
      <c r="B1028" s="2" t="s">
        <v>4124</v>
      </c>
      <c r="C1028" s="2" t="s">
        <v>4176</v>
      </c>
      <c r="D1028" s="14" t="s">
        <v>3623</v>
      </c>
    </row>
    <row r="1029">
      <c r="A1029" s="2" t="s">
        <v>3914</v>
      </c>
      <c r="B1029" s="2" t="s">
        <v>4124</v>
      </c>
      <c r="C1029" s="2" t="s">
        <v>3624</v>
      </c>
      <c r="D1029" s="14" t="s">
        <v>3625</v>
      </c>
    </row>
    <row r="1030">
      <c r="A1030" s="2" t="s">
        <v>3914</v>
      </c>
      <c r="B1030" s="2" t="s">
        <v>4124</v>
      </c>
      <c r="C1030" s="2" t="s">
        <v>4178</v>
      </c>
      <c r="D1030" s="14" t="s">
        <v>3626</v>
      </c>
    </row>
    <row r="1031">
      <c r="A1031" s="2" t="s">
        <v>3914</v>
      </c>
      <c r="B1031" s="2" t="s">
        <v>4124</v>
      </c>
      <c r="C1031" s="2" t="s">
        <v>3627</v>
      </c>
      <c r="D1031" s="14" t="s">
        <v>3628</v>
      </c>
    </row>
    <row r="1032">
      <c r="A1032" s="2" t="s">
        <v>3914</v>
      </c>
      <c r="B1032" s="2" t="s">
        <v>4124</v>
      </c>
      <c r="C1032" s="2" t="s">
        <v>3629</v>
      </c>
      <c r="D1032" s="14" t="s">
        <v>3630</v>
      </c>
    </row>
    <row r="1033">
      <c r="A1033" s="2" t="s">
        <v>3914</v>
      </c>
      <c r="B1033" s="2" t="s">
        <v>4124</v>
      </c>
      <c r="C1033" s="2" t="s">
        <v>4180</v>
      </c>
      <c r="D1033" s="14" t="s">
        <v>3631</v>
      </c>
    </row>
    <row r="1034">
      <c r="A1034" s="2" t="s">
        <v>3914</v>
      </c>
      <c r="B1034" s="2" t="s">
        <v>4124</v>
      </c>
      <c r="C1034" s="2" t="s">
        <v>4181</v>
      </c>
      <c r="D1034" s="14" t="s">
        <v>3632</v>
      </c>
    </row>
    <row r="1035">
      <c r="A1035" s="2" t="s">
        <v>3914</v>
      </c>
      <c r="B1035" s="2" t="s">
        <v>4124</v>
      </c>
      <c r="C1035" s="2" t="s">
        <v>4182</v>
      </c>
      <c r="D1035" s="14" t="s">
        <v>3634</v>
      </c>
    </row>
    <row r="1036">
      <c r="A1036" s="2" t="s">
        <v>3914</v>
      </c>
      <c r="B1036" s="2" t="s">
        <v>4124</v>
      </c>
      <c r="C1036" s="2" t="s">
        <v>4183</v>
      </c>
      <c r="D1036" s="14" t="s">
        <v>3635</v>
      </c>
    </row>
    <row r="1037">
      <c r="A1037" s="2" t="s">
        <v>3914</v>
      </c>
      <c r="B1037" s="2" t="s">
        <v>4124</v>
      </c>
      <c r="C1037" s="2" t="s">
        <v>4184</v>
      </c>
      <c r="D1037" s="14" t="s">
        <v>3636</v>
      </c>
    </row>
    <row r="1038">
      <c r="A1038" s="2" t="s">
        <v>3914</v>
      </c>
      <c r="B1038" s="2" t="s">
        <v>4124</v>
      </c>
      <c r="C1038" s="2" t="s">
        <v>3637</v>
      </c>
      <c r="D1038" s="14" t="s">
        <v>3638</v>
      </c>
    </row>
    <row r="1039">
      <c r="A1039" s="2" t="s">
        <v>3914</v>
      </c>
      <c r="B1039" s="2" t="s">
        <v>4124</v>
      </c>
      <c r="C1039" s="2" t="s">
        <v>3639</v>
      </c>
      <c r="D1039" s="14" t="s">
        <v>3640</v>
      </c>
    </row>
    <row r="1040">
      <c r="A1040" s="2" t="s">
        <v>3914</v>
      </c>
      <c r="B1040" s="2" t="s">
        <v>4124</v>
      </c>
      <c r="C1040" s="2" t="s">
        <v>4185</v>
      </c>
      <c r="D1040" s="14" t="s">
        <v>3641</v>
      </c>
    </row>
    <row r="1041">
      <c r="A1041" s="2" t="s">
        <v>3914</v>
      </c>
      <c r="B1041" s="2" t="s">
        <v>4124</v>
      </c>
      <c r="C1041" s="2" t="s">
        <v>3642</v>
      </c>
      <c r="D1041" s="14" t="s">
        <v>3643</v>
      </c>
    </row>
    <row r="1042">
      <c r="A1042" s="2" t="s">
        <v>3914</v>
      </c>
      <c r="B1042" s="2" t="s">
        <v>4124</v>
      </c>
      <c r="C1042" s="2" t="s">
        <v>4186</v>
      </c>
      <c r="D1042" s="14" t="s">
        <v>3644</v>
      </c>
    </row>
    <row r="1043">
      <c r="A1043" s="2" t="s">
        <v>3914</v>
      </c>
      <c r="B1043" s="2" t="s">
        <v>4124</v>
      </c>
      <c r="C1043" s="2" t="s">
        <v>3645</v>
      </c>
      <c r="D1043" s="14" t="s">
        <v>3646</v>
      </c>
    </row>
    <row r="1044">
      <c r="A1044" s="2" t="s">
        <v>3914</v>
      </c>
      <c r="B1044" s="2" t="s">
        <v>4124</v>
      </c>
      <c r="C1044" s="2" t="s">
        <v>3648</v>
      </c>
      <c r="D1044" s="14" t="s">
        <v>3649</v>
      </c>
    </row>
    <row r="1045">
      <c r="A1045" s="2" t="s">
        <v>3914</v>
      </c>
      <c r="B1045" s="2" t="s">
        <v>4124</v>
      </c>
      <c r="C1045" s="2" t="s">
        <v>3650</v>
      </c>
      <c r="D1045" s="14" t="s">
        <v>3651</v>
      </c>
    </row>
    <row r="1046">
      <c r="A1046" s="2" t="s">
        <v>3914</v>
      </c>
      <c r="B1046" s="2" t="s">
        <v>4124</v>
      </c>
      <c r="C1046" s="2" t="s">
        <v>3652</v>
      </c>
      <c r="D1046" s="14" t="s">
        <v>3653</v>
      </c>
    </row>
    <row r="1047">
      <c r="A1047" s="2" t="s">
        <v>3914</v>
      </c>
      <c r="B1047" s="2" t="s">
        <v>4124</v>
      </c>
      <c r="C1047" s="2" t="s">
        <v>3654</v>
      </c>
      <c r="D1047" s="14" t="s">
        <v>3655</v>
      </c>
    </row>
    <row r="1048">
      <c r="A1048" s="2" t="s">
        <v>3914</v>
      </c>
      <c r="B1048" s="2" t="s">
        <v>4124</v>
      </c>
      <c r="C1048" s="2" t="s">
        <v>3656</v>
      </c>
      <c r="D1048" s="14" t="s">
        <v>3657</v>
      </c>
    </row>
    <row r="1049">
      <c r="A1049" s="2" t="s">
        <v>3914</v>
      </c>
      <c r="B1049" s="2" t="s">
        <v>4124</v>
      </c>
      <c r="C1049" s="2" t="s">
        <v>3658</v>
      </c>
      <c r="D1049" s="14" t="s">
        <v>3659</v>
      </c>
    </row>
    <row r="1050">
      <c r="A1050" s="2" t="s">
        <v>3914</v>
      </c>
      <c r="B1050" s="2" t="s">
        <v>4124</v>
      </c>
      <c r="C1050" s="2" t="s">
        <v>3662</v>
      </c>
      <c r="D1050" s="14" t="s">
        <v>3663</v>
      </c>
    </row>
    <row r="1051">
      <c r="A1051" s="2" t="s">
        <v>3914</v>
      </c>
      <c r="B1051" s="2" t="s">
        <v>4124</v>
      </c>
      <c r="C1051" s="2" t="s">
        <v>3666</v>
      </c>
      <c r="D1051" s="14" t="s">
        <v>3667</v>
      </c>
    </row>
    <row r="1052">
      <c r="A1052" s="2" t="s">
        <v>3914</v>
      </c>
      <c r="B1052" s="2" t="s">
        <v>4124</v>
      </c>
      <c r="C1052" s="2" t="s">
        <v>3669</v>
      </c>
      <c r="D1052" s="14" t="s">
        <v>3670</v>
      </c>
    </row>
    <row r="1053">
      <c r="A1053" s="2" t="s">
        <v>3914</v>
      </c>
      <c r="B1053" s="2" t="s">
        <v>4124</v>
      </c>
      <c r="C1053" s="2" t="s">
        <v>3671</v>
      </c>
      <c r="D1053" s="14" t="s">
        <v>3672</v>
      </c>
    </row>
    <row r="1054">
      <c r="A1054" s="2" t="s">
        <v>3914</v>
      </c>
      <c r="B1054" s="2" t="s">
        <v>4124</v>
      </c>
      <c r="C1054" s="2" t="s">
        <v>3673</v>
      </c>
      <c r="D1054" s="14" t="s">
        <v>3674</v>
      </c>
    </row>
    <row r="1055">
      <c r="A1055" s="2" t="s">
        <v>3914</v>
      </c>
      <c r="B1055" s="2" t="s">
        <v>4124</v>
      </c>
      <c r="C1055" s="2" t="s">
        <v>3675</v>
      </c>
      <c r="D1055" s="14" t="s">
        <v>3676</v>
      </c>
    </row>
    <row r="1056">
      <c r="A1056" s="2" t="s">
        <v>3914</v>
      </c>
      <c r="B1056" s="2" t="s">
        <v>4124</v>
      </c>
      <c r="C1056" s="2" t="s">
        <v>3677</v>
      </c>
      <c r="D1056" s="14" t="s">
        <v>3678</v>
      </c>
    </row>
    <row r="1057">
      <c r="A1057" s="2" t="s">
        <v>3914</v>
      </c>
      <c r="B1057" s="2" t="s">
        <v>4124</v>
      </c>
      <c r="C1057" s="2" t="s">
        <v>3679</v>
      </c>
      <c r="D1057" s="14" t="s">
        <v>3680</v>
      </c>
    </row>
    <row r="1058">
      <c r="A1058" s="2" t="s">
        <v>3914</v>
      </c>
      <c r="B1058" s="2" t="s">
        <v>4124</v>
      </c>
      <c r="C1058" s="2" t="s">
        <v>3681</v>
      </c>
      <c r="D1058" s="14" t="s">
        <v>3682</v>
      </c>
    </row>
    <row r="1059">
      <c r="A1059" s="2" t="s">
        <v>3914</v>
      </c>
      <c r="B1059" s="2" t="s">
        <v>4124</v>
      </c>
      <c r="C1059" s="2" t="s">
        <v>3683</v>
      </c>
      <c r="D1059" s="14" t="s">
        <v>3684</v>
      </c>
    </row>
    <row r="1060">
      <c r="A1060" s="2" t="s">
        <v>3914</v>
      </c>
      <c r="B1060" s="2" t="s">
        <v>4124</v>
      </c>
      <c r="C1060" s="2" t="s">
        <v>3685</v>
      </c>
      <c r="D1060" s="14" t="s">
        <v>3686</v>
      </c>
    </row>
    <row r="1061">
      <c r="A1061" s="2" t="s">
        <v>3914</v>
      </c>
      <c r="B1061" s="2" t="s">
        <v>4124</v>
      </c>
      <c r="C1061" s="2" t="s">
        <v>3687</v>
      </c>
      <c r="D1061" s="14" t="s">
        <v>3688</v>
      </c>
    </row>
    <row r="1062">
      <c r="A1062" s="2" t="s">
        <v>3914</v>
      </c>
      <c r="B1062" s="2" t="s">
        <v>4124</v>
      </c>
      <c r="C1062" s="2" t="s">
        <v>3689</v>
      </c>
      <c r="D1062" s="14" t="s">
        <v>3690</v>
      </c>
    </row>
    <row r="1063">
      <c r="A1063" s="2" t="s">
        <v>3914</v>
      </c>
      <c r="B1063" s="2" t="s">
        <v>4124</v>
      </c>
      <c r="C1063" s="2" t="s">
        <v>3691</v>
      </c>
      <c r="D1063" s="14" t="s">
        <v>3692</v>
      </c>
    </row>
    <row r="1064">
      <c r="A1064" s="2" t="s">
        <v>3914</v>
      </c>
      <c r="B1064" s="2" t="s">
        <v>4124</v>
      </c>
      <c r="C1064" s="2" t="s">
        <v>3693</v>
      </c>
      <c r="D1064" s="14" t="s">
        <v>3694</v>
      </c>
    </row>
    <row r="1065">
      <c r="A1065" s="2" t="s">
        <v>3914</v>
      </c>
      <c r="B1065" s="2" t="s">
        <v>4124</v>
      </c>
      <c r="C1065" s="2" t="s">
        <v>3695</v>
      </c>
      <c r="D1065" s="14" t="s">
        <v>3696</v>
      </c>
    </row>
    <row r="1066">
      <c r="A1066" s="2" t="s">
        <v>3914</v>
      </c>
      <c r="B1066" s="2" t="s">
        <v>4124</v>
      </c>
      <c r="C1066" s="2" t="s">
        <v>3699</v>
      </c>
      <c r="D1066" s="14" t="s">
        <v>3700</v>
      </c>
    </row>
    <row r="1067">
      <c r="A1067" s="2" t="s">
        <v>3914</v>
      </c>
      <c r="B1067" s="2" t="s">
        <v>4124</v>
      </c>
      <c r="C1067" s="2" t="s">
        <v>4210</v>
      </c>
      <c r="D1067" s="14" t="s">
        <v>3706</v>
      </c>
    </row>
    <row r="1068">
      <c r="A1068" s="2" t="s">
        <v>3914</v>
      </c>
      <c r="B1068" s="2" t="s">
        <v>4124</v>
      </c>
      <c r="C1068" s="2" t="s">
        <v>4212</v>
      </c>
      <c r="D1068" s="14" t="s">
        <v>3707</v>
      </c>
    </row>
    <row r="1069">
      <c r="A1069" s="2" t="s">
        <v>3914</v>
      </c>
      <c r="B1069" s="2" t="s">
        <v>4124</v>
      </c>
      <c r="C1069" s="2" t="s">
        <v>4215</v>
      </c>
      <c r="D1069" s="14" t="s">
        <v>3708</v>
      </c>
    </row>
    <row r="1070">
      <c r="A1070" s="2" t="s">
        <v>3914</v>
      </c>
      <c r="B1070" s="2" t="s">
        <v>4124</v>
      </c>
      <c r="C1070" s="2" t="s">
        <v>4217</v>
      </c>
      <c r="D1070" s="14" t="s">
        <v>3709</v>
      </c>
    </row>
    <row r="1071">
      <c r="A1071" s="2" t="s">
        <v>3914</v>
      </c>
      <c r="B1071" s="2" t="s">
        <v>4124</v>
      </c>
      <c r="C1071" s="2" t="s">
        <v>3710</v>
      </c>
      <c r="D1071" s="14" t="s">
        <v>3711</v>
      </c>
    </row>
    <row r="1072">
      <c r="A1072" s="2" t="s">
        <v>3914</v>
      </c>
      <c r="B1072" s="2" t="s">
        <v>4124</v>
      </c>
      <c r="C1072" s="2" t="s">
        <v>3712</v>
      </c>
      <c r="D1072" s="14" t="s">
        <v>3713</v>
      </c>
    </row>
    <row r="1073">
      <c r="A1073" s="2" t="s">
        <v>3914</v>
      </c>
      <c r="B1073" s="2" t="s">
        <v>4124</v>
      </c>
      <c r="C1073" s="2" t="s">
        <v>3714</v>
      </c>
      <c r="D1073" s="14" t="s">
        <v>3715</v>
      </c>
    </row>
    <row r="1074">
      <c r="A1074" s="2" t="s">
        <v>3914</v>
      </c>
      <c r="B1074" s="2" t="s">
        <v>4124</v>
      </c>
      <c r="C1074" s="2" t="s">
        <v>3716</v>
      </c>
      <c r="D1074" s="14" t="s">
        <v>3717</v>
      </c>
    </row>
    <row r="1075">
      <c r="A1075" s="2" t="s">
        <v>3914</v>
      </c>
      <c r="B1075" s="2" t="s">
        <v>4124</v>
      </c>
      <c r="C1075" s="2" t="s">
        <v>3719</v>
      </c>
      <c r="D1075" s="14" t="s">
        <v>3720</v>
      </c>
    </row>
    <row r="1076">
      <c r="A1076" s="2" t="s">
        <v>3914</v>
      </c>
      <c r="B1076" s="2" t="s">
        <v>4124</v>
      </c>
      <c r="C1076" s="2" t="s">
        <v>3721</v>
      </c>
      <c r="D1076" s="14" t="s">
        <v>3722</v>
      </c>
    </row>
    <row r="1077">
      <c r="A1077" s="2" t="s">
        <v>3914</v>
      </c>
      <c r="B1077" s="2" t="s">
        <v>4124</v>
      </c>
      <c r="C1077" s="2" t="s">
        <v>3723</v>
      </c>
      <c r="D1077" s="14" t="s">
        <v>3724</v>
      </c>
    </row>
    <row r="1078">
      <c r="A1078" s="2" t="s">
        <v>3914</v>
      </c>
      <c r="B1078" s="2" t="s">
        <v>4124</v>
      </c>
      <c r="C1078" s="2" t="s">
        <v>3725</v>
      </c>
      <c r="D1078" s="14" t="s">
        <v>3726</v>
      </c>
    </row>
    <row r="1079">
      <c r="A1079" s="2" t="s">
        <v>3914</v>
      </c>
      <c r="B1079" s="2" t="s">
        <v>4124</v>
      </c>
      <c r="C1079" s="2" t="s">
        <v>3727</v>
      </c>
      <c r="D1079" s="14" t="s">
        <v>3728</v>
      </c>
    </row>
    <row r="1080">
      <c r="A1080" s="2" t="s">
        <v>3914</v>
      </c>
      <c r="B1080" s="2" t="s">
        <v>4124</v>
      </c>
      <c r="C1080" s="2" t="s">
        <v>3729</v>
      </c>
      <c r="D1080" s="14" t="s">
        <v>3730</v>
      </c>
    </row>
    <row r="1081">
      <c r="A1081" s="2" t="s">
        <v>3914</v>
      </c>
      <c r="B1081" s="2" t="s">
        <v>4124</v>
      </c>
      <c r="C1081" s="2" t="s">
        <v>3733</v>
      </c>
      <c r="D1081" s="14" t="s">
        <v>3734</v>
      </c>
    </row>
    <row r="1082">
      <c r="A1082" s="2" t="s">
        <v>3914</v>
      </c>
      <c r="B1082" s="2" t="s">
        <v>4124</v>
      </c>
      <c r="C1082" s="2" t="s">
        <v>3735</v>
      </c>
      <c r="D1082" s="14" t="s">
        <v>3736</v>
      </c>
    </row>
    <row r="1083">
      <c r="A1083" s="2" t="s">
        <v>3914</v>
      </c>
      <c r="B1083" s="2" t="s">
        <v>4124</v>
      </c>
      <c r="C1083" s="2" t="s">
        <v>3737</v>
      </c>
      <c r="D1083" s="14" t="s">
        <v>3738</v>
      </c>
    </row>
    <row r="1084">
      <c r="A1084" s="2" t="s">
        <v>3914</v>
      </c>
      <c r="B1084" s="2" t="s">
        <v>4124</v>
      </c>
      <c r="C1084" s="2" t="s">
        <v>3739</v>
      </c>
      <c r="D1084" s="14" t="s">
        <v>3740</v>
      </c>
    </row>
    <row r="1085">
      <c r="A1085" s="2" t="s">
        <v>3914</v>
      </c>
      <c r="B1085" s="2" t="s">
        <v>4124</v>
      </c>
      <c r="C1085" s="2" t="s">
        <v>3741</v>
      </c>
      <c r="D1085" s="14" t="s">
        <v>3742</v>
      </c>
    </row>
    <row r="1086">
      <c r="A1086" s="2" t="s">
        <v>3914</v>
      </c>
      <c r="B1086" s="2" t="s">
        <v>4124</v>
      </c>
      <c r="C1086" s="2" t="s">
        <v>3743</v>
      </c>
      <c r="D1086" s="14" t="s">
        <v>3744</v>
      </c>
    </row>
    <row r="1087">
      <c r="A1087" s="2" t="s">
        <v>3914</v>
      </c>
      <c r="B1087" s="2" t="s">
        <v>4124</v>
      </c>
      <c r="C1087" s="2" t="s">
        <v>3745</v>
      </c>
      <c r="D1087" s="14" t="s">
        <v>3746</v>
      </c>
    </row>
    <row r="1088">
      <c r="A1088" s="2" t="s">
        <v>3914</v>
      </c>
      <c r="B1088" s="2" t="s">
        <v>4124</v>
      </c>
      <c r="C1088" s="2" t="s">
        <v>3747</v>
      </c>
      <c r="D1088" s="14" t="s">
        <v>3748</v>
      </c>
    </row>
    <row r="1089">
      <c r="A1089" s="2" t="s">
        <v>3914</v>
      </c>
      <c r="B1089" s="2" t="s">
        <v>4124</v>
      </c>
      <c r="C1089" s="2" t="s">
        <v>3749</v>
      </c>
      <c r="D1089" s="14" t="s">
        <v>3750</v>
      </c>
    </row>
    <row r="1090">
      <c r="A1090" s="2" t="s">
        <v>3914</v>
      </c>
      <c r="B1090" s="2" t="s">
        <v>4124</v>
      </c>
      <c r="C1090" s="2" t="s">
        <v>3751</v>
      </c>
      <c r="D1090" s="14" t="s">
        <v>3752</v>
      </c>
    </row>
    <row r="1091">
      <c r="A1091" s="2" t="s">
        <v>3914</v>
      </c>
      <c r="B1091" s="2" t="s">
        <v>4124</v>
      </c>
      <c r="C1091" s="2" t="s">
        <v>3753</v>
      </c>
      <c r="D1091" s="14" t="s">
        <v>3754</v>
      </c>
    </row>
    <row r="1092">
      <c r="A1092" s="2" t="s">
        <v>3914</v>
      </c>
      <c r="B1092" s="2" t="s">
        <v>4124</v>
      </c>
      <c r="C1092" s="2" t="s">
        <v>3755</v>
      </c>
      <c r="D1092" s="14" t="s">
        <v>3756</v>
      </c>
    </row>
    <row r="1093">
      <c r="A1093" s="2" t="s">
        <v>3914</v>
      </c>
      <c r="B1093" s="2" t="s">
        <v>4124</v>
      </c>
      <c r="C1093" s="2" t="s">
        <v>3757</v>
      </c>
      <c r="D1093" s="14" t="s">
        <v>3758</v>
      </c>
    </row>
    <row r="1094">
      <c r="A1094" s="2" t="s">
        <v>3914</v>
      </c>
      <c r="B1094" s="2" t="s">
        <v>4124</v>
      </c>
      <c r="C1094" s="2" t="s">
        <v>3759</v>
      </c>
      <c r="D1094" s="14" t="s">
        <v>3760</v>
      </c>
    </row>
    <row r="1095">
      <c r="A1095" s="2" t="s">
        <v>3914</v>
      </c>
      <c r="B1095" s="2" t="s">
        <v>4124</v>
      </c>
      <c r="C1095" s="2" t="s">
        <v>3761</v>
      </c>
      <c r="D1095" s="14" t="s">
        <v>3762</v>
      </c>
    </row>
    <row r="1096">
      <c r="A1096" s="2" t="s">
        <v>3914</v>
      </c>
      <c r="B1096" s="2" t="s">
        <v>4124</v>
      </c>
      <c r="C1096" s="2" t="s">
        <v>3763</v>
      </c>
      <c r="D1096" s="14" t="s">
        <v>3764</v>
      </c>
    </row>
    <row r="1097">
      <c r="A1097" s="2" t="s">
        <v>3914</v>
      </c>
      <c r="B1097" s="2" t="s">
        <v>4124</v>
      </c>
      <c r="C1097" s="2" t="s">
        <v>3765</v>
      </c>
      <c r="D1097" s="14" t="s">
        <v>3766</v>
      </c>
    </row>
    <row r="1098">
      <c r="A1098" s="2" t="s">
        <v>3914</v>
      </c>
      <c r="B1098" s="2" t="s">
        <v>4124</v>
      </c>
      <c r="C1098" s="2" t="s">
        <v>3767</v>
      </c>
      <c r="D1098" s="14" t="s">
        <v>3768</v>
      </c>
    </row>
    <row r="1099">
      <c r="A1099" s="2" t="s">
        <v>3914</v>
      </c>
      <c r="B1099" s="2" t="s">
        <v>4124</v>
      </c>
      <c r="C1099" s="2" t="s">
        <v>4259</v>
      </c>
      <c r="D1099" s="14" t="s">
        <v>3769</v>
      </c>
    </row>
    <row r="1100">
      <c r="A1100" s="2" t="s">
        <v>3914</v>
      </c>
      <c r="B1100" s="2" t="s">
        <v>4262</v>
      </c>
      <c r="C1100" s="2" t="s">
        <v>4263</v>
      </c>
      <c r="D1100" s="14" t="s">
        <v>3770</v>
      </c>
    </row>
    <row r="1101">
      <c r="A1101" s="2" t="s">
        <v>3914</v>
      </c>
      <c r="B1101" s="2" t="s">
        <v>4262</v>
      </c>
      <c r="C1101" s="2" t="s">
        <v>4264</v>
      </c>
      <c r="D1101" s="14" t="s">
        <v>3771</v>
      </c>
    </row>
    <row r="1102">
      <c r="A1102" s="2" t="s">
        <v>3914</v>
      </c>
      <c r="B1102" s="2" t="s">
        <v>4262</v>
      </c>
      <c r="C1102" s="2" t="s">
        <v>4265</v>
      </c>
      <c r="D1102" s="14" t="s">
        <v>3772</v>
      </c>
    </row>
    <row r="1103">
      <c r="A1103" s="2" t="s">
        <v>3914</v>
      </c>
      <c r="B1103" s="2" t="s">
        <v>4262</v>
      </c>
      <c r="C1103" s="2" t="s">
        <v>4268</v>
      </c>
      <c r="D1103" s="14" t="s">
        <v>3773</v>
      </c>
    </row>
    <row r="1104">
      <c r="A1104" s="2" t="s">
        <v>3914</v>
      </c>
      <c r="B1104" s="2" t="s">
        <v>4262</v>
      </c>
      <c r="C1104" s="2" t="s">
        <v>4269</v>
      </c>
      <c r="D1104" s="14" t="s">
        <v>3774</v>
      </c>
    </row>
    <row r="1105">
      <c r="A1105" s="2" t="s">
        <v>3914</v>
      </c>
      <c r="B1105" s="2" t="s">
        <v>4262</v>
      </c>
      <c r="C1105" s="2" t="s">
        <v>4272</v>
      </c>
      <c r="D1105" s="14" t="s">
        <v>3775</v>
      </c>
    </row>
    <row r="1106">
      <c r="A1106" s="2" t="s">
        <v>3914</v>
      </c>
      <c r="B1106" s="2" t="s">
        <v>4262</v>
      </c>
      <c r="C1106" s="2" t="s">
        <v>4273</v>
      </c>
      <c r="D1106" s="14" t="s">
        <v>3776</v>
      </c>
    </row>
    <row r="1107">
      <c r="A1107" s="2" t="s">
        <v>3914</v>
      </c>
      <c r="B1107" s="2" t="s">
        <v>4262</v>
      </c>
      <c r="C1107" s="2" t="s">
        <v>4276</v>
      </c>
      <c r="D1107" s="14" t="s">
        <v>3777</v>
      </c>
    </row>
    <row r="1108">
      <c r="A1108" s="2" t="s">
        <v>3914</v>
      </c>
      <c r="B1108" s="2" t="s">
        <v>4262</v>
      </c>
      <c r="C1108" s="2" t="s">
        <v>4277</v>
      </c>
      <c r="D1108" s="14" t="s">
        <v>3778</v>
      </c>
    </row>
    <row r="1109">
      <c r="A1109" s="2" t="s">
        <v>3914</v>
      </c>
      <c r="B1109" s="2" t="s">
        <v>4262</v>
      </c>
      <c r="C1109" s="2" t="s">
        <v>4279</v>
      </c>
      <c r="D1109" s="14" t="s">
        <v>3779</v>
      </c>
    </row>
    <row r="1110">
      <c r="A1110" s="2" t="s">
        <v>3914</v>
      </c>
      <c r="B1110" s="2" t="s">
        <v>4262</v>
      </c>
      <c r="C1110" s="2" t="s">
        <v>4281</v>
      </c>
      <c r="D1110" s="14" t="s">
        <v>3780</v>
      </c>
    </row>
    <row r="1111">
      <c r="A1111" s="2" t="s">
        <v>3914</v>
      </c>
      <c r="B1111" s="2" t="s">
        <v>4262</v>
      </c>
      <c r="C1111" s="2" t="s">
        <v>4282</v>
      </c>
      <c r="D1111" s="14" t="s">
        <v>3781</v>
      </c>
    </row>
    <row r="1112">
      <c r="A1112" s="2" t="s">
        <v>3914</v>
      </c>
      <c r="B1112" s="2" t="s">
        <v>4262</v>
      </c>
      <c r="C1112" s="2" t="s">
        <v>4285</v>
      </c>
      <c r="D1112" s="14" t="s">
        <v>3782</v>
      </c>
    </row>
    <row r="1113">
      <c r="A1113" s="2" t="s">
        <v>3914</v>
      </c>
      <c r="B1113" s="2" t="s">
        <v>4262</v>
      </c>
      <c r="C1113" s="2" t="s">
        <v>4286</v>
      </c>
      <c r="D1113" s="14" t="s">
        <v>3783</v>
      </c>
    </row>
    <row r="1114">
      <c r="A1114" s="2" t="s">
        <v>3914</v>
      </c>
      <c r="B1114" s="2" t="s">
        <v>4262</v>
      </c>
      <c r="C1114" s="2" t="s">
        <v>4289</v>
      </c>
      <c r="D1114" s="14" t="s">
        <v>3784</v>
      </c>
    </row>
    <row r="1115">
      <c r="A1115" s="2" t="s">
        <v>3914</v>
      </c>
      <c r="B1115" s="2" t="s">
        <v>4262</v>
      </c>
      <c r="C1115" s="2" t="s">
        <v>4290</v>
      </c>
      <c r="D1115" s="14" t="s">
        <v>3785</v>
      </c>
    </row>
    <row r="1116">
      <c r="A1116" s="2" t="s">
        <v>3914</v>
      </c>
      <c r="B1116" s="2" t="s">
        <v>4262</v>
      </c>
      <c r="C1116" s="2" t="s">
        <v>4292</v>
      </c>
      <c r="D1116" s="14" t="s">
        <v>3786</v>
      </c>
    </row>
    <row r="1117">
      <c r="A1117" s="2" t="s">
        <v>3914</v>
      </c>
      <c r="B1117" s="2" t="s">
        <v>4262</v>
      </c>
      <c r="C1117" s="2" t="s">
        <v>4294</v>
      </c>
      <c r="D1117" s="14" t="s">
        <v>3787</v>
      </c>
    </row>
    <row r="1118">
      <c r="A1118" s="2" t="s">
        <v>3914</v>
      </c>
      <c r="B1118" s="2" t="s">
        <v>4262</v>
      </c>
      <c r="C1118" s="2" t="s">
        <v>4295</v>
      </c>
      <c r="D1118" s="14" t="s">
        <v>3788</v>
      </c>
    </row>
    <row r="1119">
      <c r="A1119" s="2" t="s">
        <v>3914</v>
      </c>
      <c r="B1119" s="2" t="s">
        <v>4262</v>
      </c>
      <c r="C1119" s="2" t="s">
        <v>4297</v>
      </c>
      <c r="D1119" s="14" t="s">
        <v>3789</v>
      </c>
    </row>
    <row r="1120">
      <c r="A1120" s="2" t="s">
        <v>3914</v>
      </c>
      <c r="B1120" s="2" t="s">
        <v>4262</v>
      </c>
      <c r="C1120" s="2" t="s">
        <v>4298</v>
      </c>
      <c r="D1120" s="14" t="s">
        <v>3790</v>
      </c>
    </row>
    <row r="1121">
      <c r="A1121" s="2" t="s">
        <v>3914</v>
      </c>
      <c r="B1121" s="2" t="s">
        <v>4262</v>
      </c>
      <c r="C1121" s="2" t="s">
        <v>4301</v>
      </c>
      <c r="D1121" s="14" t="s">
        <v>3791</v>
      </c>
    </row>
    <row r="1122">
      <c r="A1122" s="2" t="s">
        <v>3914</v>
      </c>
      <c r="B1122" s="2" t="s">
        <v>4262</v>
      </c>
      <c r="C1122" s="2" t="s">
        <v>4302</v>
      </c>
      <c r="D1122" s="14" t="s">
        <v>3792</v>
      </c>
    </row>
    <row r="1123">
      <c r="A1123" s="2" t="s">
        <v>3914</v>
      </c>
      <c r="B1123" s="2" t="s">
        <v>4262</v>
      </c>
      <c r="C1123" s="2" t="s">
        <v>4305</v>
      </c>
      <c r="D1123" s="14" t="s">
        <v>3793</v>
      </c>
    </row>
    <row r="1124">
      <c r="A1124" s="2" t="s">
        <v>3914</v>
      </c>
      <c r="B1124" s="2" t="s">
        <v>4306</v>
      </c>
      <c r="C1124" s="2" t="s">
        <v>3794</v>
      </c>
      <c r="D1124" s="14" t="s">
        <v>3795</v>
      </c>
    </row>
    <row r="1125">
      <c r="A1125" s="2" t="s">
        <v>3914</v>
      </c>
      <c r="B1125" s="2" t="s">
        <v>4306</v>
      </c>
      <c r="C1125" s="2" t="s">
        <v>3796</v>
      </c>
      <c r="D1125" s="14" t="s">
        <v>3797</v>
      </c>
    </row>
    <row r="1126">
      <c r="A1126" s="2" t="s">
        <v>3914</v>
      </c>
      <c r="B1126" s="2" t="s">
        <v>4306</v>
      </c>
      <c r="C1126" s="2" t="s">
        <v>3798</v>
      </c>
      <c r="D1126" s="14" t="s">
        <v>3799</v>
      </c>
    </row>
    <row r="1127">
      <c r="A1127" s="2" t="s">
        <v>3914</v>
      </c>
      <c r="B1127" s="2" t="s">
        <v>4306</v>
      </c>
      <c r="C1127" s="2" t="s">
        <v>3800</v>
      </c>
      <c r="D1127" s="14" t="s">
        <v>3801</v>
      </c>
    </row>
    <row r="1128">
      <c r="A1128" s="2" t="s">
        <v>3914</v>
      </c>
      <c r="B1128" s="2" t="s">
        <v>4306</v>
      </c>
      <c r="C1128" s="2" t="s">
        <v>3802</v>
      </c>
      <c r="D1128" s="14" t="s">
        <v>3803</v>
      </c>
    </row>
    <row r="1129">
      <c r="A1129" s="2" t="s">
        <v>3914</v>
      </c>
      <c r="B1129" s="2" t="s">
        <v>4306</v>
      </c>
      <c r="C1129" s="2" t="s">
        <v>3804</v>
      </c>
      <c r="D1129" s="14" t="s">
        <v>3805</v>
      </c>
    </row>
    <row r="1130">
      <c r="A1130" s="2" t="s">
        <v>3914</v>
      </c>
      <c r="B1130" s="2" t="s">
        <v>4306</v>
      </c>
      <c r="C1130" s="2" t="s">
        <v>3806</v>
      </c>
      <c r="D1130" s="14" t="s">
        <v>3807</v>
      </c>
    </row>
    <row r="1131">
      <c r="A1131" s="2" t="s">
        <v>3914</v>
      </c>
      <c r="B1131" s="2" t="s">
        <v>4306</v>
      </c>
      <c r="C1131" s="2" t="s">
        <v>3808</v>
      </c>
      <c r="D1131" s="14" t="s">
        <v>3809</v>
      </c>
    </row>
    <row r="1132">
      <c r="A1132" s="2" t="s">
        <v>3914</v>
      </c>
      <c r="B1132" s="2" t="s">
        <v>4306</v>
      </c>
      <c r="C1132" s="2" t="s">
        <v>3810</v>
      </c>
      <c r="D1132" s="14" t="s">
        <v>3811</v>
      </c>
    </row>
    <row r="1133">
      <c r="A1133" s="2" t="s">
        <v>3914</v>
      </c>
      <c r="B1133" s="2" t="s">
        <v>4306</v>
      </c>
      <c r="C1133" s="2" t="s">
        <v>3812</v>
      </c>
      <c r="D1133" s="14" t="s">
        <v>3813</v>
      </c>
    </row>
    <row r="1134">
      <c r="A1134" s="2" t="s">
        <v>3914</v>
      </c>
      <c r="B1134" s="2" t="s">
        <v>4306</v>
      </c>
      <c r="C1134" s="2" t="s">
        <v>3814</v>
      </c>
      <c r="D1134" s="14" t="s">
        <v>3815</v>
      </c>
    </row>
    <row r="1135">
      <c r="A1135" s="2" t="s">
        <v>3914</v>
      </c>
      <c r="B1135" s="2" t="s">
        <v>4306</v>
      </c>
      <c r="C1135" s="2" t="s">
        <v>3816</v>
      </c>
      <c r="D1135" s="14" t="s">
        <v>3817</v>
      </c>
    </row>
    <row r="1136">
      <c r="A1136" s="2" t="s">
        <v>3914</v>
      </c>
      <c r="B1136" s="2" t="s">
        <v>4306</v>
      </c>
      <c r="C1136" s="2" t="s">
        <v>3818</v>
      </c>
      <c r="D1136" s="14" t="s">
        <v>3819</v>
      </c>
    </row>
    <row r="1137">
      <c r="A1137" s="2" t="s">
        <v>3914</v>
      </c>
      <c r="B1137" s="2" t="s">
        <v>4306</v>
      </c>
      <c r="C1137" s="2" t="s">
        <v>3820</v>
      </c>
      <c r="D1137" s="14" t="s">
        <v>3821</v>
      </c>
    </row>
    <row r="1138">
      <c r="A1138" s="2" t="s">
        <v>3914</v>
      </c>
      <c r="B1138" s="2" t="s">
        <v>4306</v>
      </c>
      <c r="C1138" s="2" t="s">
        <v>3822</v>
      </c>
      <c r="D1138" s="14" t="s">
        <v>3823</v>
      </c>
    </row>
    <row r="1139">
      <c r="A1139" s="2" t="s">
        <v>3914</v>
      </c>
      <c r="B1139" s="2" t="s">
        <v>4306</v>
      </c>
      <c r="C1139" s="2" t="s">
        <v>3825</v>
      </c>
      <c r="D1139" s="14" t="s">
        <v>3826</v>
      </c>
    </row>
    <row r="1140">
      <c r="A1140" s="2" t="s">
        <v>3914</v>
      </c>
      <c r="B1140" s="2" t="s">
        <v>4306</v>
      </c>
      <c r="C1140" s="2" t="s">
        <v>3827</v>
      </c>
      <c r="D1140" s="14" t="s">
        <v>3828</v>
      </c>
    </row>
    <row r="1141">
      <c r="A1141" s="2" t="s">
        <v>3914</v>
      </c>
      <c r="B1141" s="2" t="s">
        <v>4306</v>
      </c>
      <c r="C1141" s="2" t="s">
        <v>3829</v>
      </c>
      <c r="D1141" s="14" t="s">
        <v>3830</v>
      </c>
    </row>
    <row r="1142">
      <c r="A1142" s="2" t="s">
        <v>3914</v>
      </c>
      <c r="B1142" s="2" t="s">
        <v>4306</v>
      </c>
      <c r="C1142" s="2" t="s">
        <v>3831</v>
      </c>
      <c r="D1142" s="14" t="s">
        <v>3832</v>
      </c>
    </row>
    <row r="1143">
      <c r="A1143" s="2" t="s">
        <v>3914</v>
      </c>
      <c r="B1143" s="2" t="s">
        <v>4306</v>
      </c>
      <c r="C1143" s="2" t="s">
        <v>3833</v>
      </c>
      <c r="D1143" s="14" t="s">
        <v>3834</v>
      </c>
    </row>
    <row r="1144">
      <c r="A1144" s="2" t="s">
        <v>3914</v>
      </c>
      <c r="B1144" s="2" t="s">
        <v>4306</v>
      </c>
      <c r="C1144" s="2" t="s">
        <v>3835</v>
      </c>
      <c r="D1144" s="14" t="s">
        <v>3836</v>
      </c>
    </row>
    <row r="1145">
      <c r="A1145" s="2" t="s">
        <v>3914</v>
      </c>
      <c r="B1145" s="2" t="s">
        <v>4306</v>
      </c>
      <c r="C1145" s="2" t="s">
        <v>3837</v>
      </c>
      <c r="D1145" s="14" t="s">
        <v>3838</v>
      </c>
    </row>
    <row r="1146">
      <c r="A1146" s="2" t="s">
        <v>3914</v>
      </c>
      <c r="B1146" s="2" t="s">
        <v>4306</v>
      </c>
      <c r="C1146" s="2" t="s">
        <v>3839</v>
      </c>
      <c r="D1146" s="14" t="s">
        <v>3840</v>
      </c>
    </row>
    <row r="1147">
      <c r="A1147" s="2" t="s">
        <v>3914</v>
      </c>
      <c r="B1147" s="2" t="s">
        <v>4306</v>
      </c>
      <c r="C1147" s="2" t="s">
        <v>3841</v>
      </c>
      <c r="D1147" s="14" t="s">
        <v>3842</v>
      </c>
    </row>
    <row r="1148">
      <c r="A1148" s="2" t="s">
        <v>3914</v>
      </c>
      <c r="B1148" s="2" t="s">
        <v>4337</v>
      </c>
      <c r="C1148" s="2" t="s">
        <v>3844</v>
      </c>
      <c r="D1148" s="14" t="s">
        <v>3845</v>
      </c>
    </row>
    <row r="1149">
      <c r="A1149" s="2" t="s">
        <v>3914</v>
      </c>
      <c r="B1149" s="2" t="s">
        <v>4337</v>
      </c>
      <c r="C1149" s="2" t="s">
        <v>3846</v>
      </c>
      <c r="D1149" s="14" t="s">
        <v>3847</v>
      </c>
    </row>
    <row r="1150">
      <c r="A1150" s="2" t="s">
        <v>3914</v>
      </c>
      <c r="B1150" s="2" t="s">
        <v>4337</v>
      </c>
      <c r="C1150" s="2" t="s">
        <v>3848</v>
      </c>
      <c r="D1150" s="14" t="s">
        <v>3849</v>
      </c>
    </row>
    <row r="1151">
      <c r="A1151" s="2" t="s">
        <v>3914</v>
      </c>
      <c r="B1151" s="2" t="s">
        <v>4337</v>
      </c>
      <c r="C1151" s="2" t="s">
        <v>3850</v>
      </c>
      <c r="D1151" s="14" t="s">
        <v>3851</v>
      </c>
    </row>
    <row r="1152">
      <c r="A1152" s="2" t="s">
        <v>3914</v>
      </c>
      <c r="B1152" s="2" t="s">
        <v>4337</v>
      </c>
      <c r="C1152" s="2" t="s">
        <v>3852</v>
      </c>
      <c r="D1152" s="14" t="s">
        <v>3853</v>
      </c>
    </row>
    <row r="1153">
      <c r="A1153" s="2" t="s">
        <v>3914</v>
      </c>
      <c r="B1153" s="2" t="s">
        <v>4337</v>
      </c>
      <c r="C1153" s="2" t="s">
        <v>3854</v>
      </c>
      <c r="D1153" s="14" t="s">
        <v>3855</v>
      </c>
    </row>
    <row r="1154">
      <c r="A1154" s="2" t="s">
        <v>3914</v>
      </c>
      <c r="B1154" s="2" t="s">
        <v>4337</v>
      </c>
      <c r="C1154" s="2" t="s">
        <v>3856</v>
      </c>
      <c r="D1154" s="14" t="s">
        <v>3857</v>
      </c>
    </row>
    <row r="1155">
      <c r="A1155" s="2" t="s">
        <v>3914</v>
      </c>
      <c r="B1155" s="2" t="s">
        <v>4337</v>
      </c>
      <c r="C1155" s="2" t="s">
        <v>3858</v>
      </c>
      <c r="D1155" s="14" t="s">
        <v>3859</v>
      </c>
    </row>
    <row r="1156">
      <c r="A1156" s="2" t="s">
        <v>3914</v>
      </c>
      <c r="B1156" s="2" t="s">
        <v>4337</v>
      </c>
      <c r="C1156" s="2" t="s">
        <v>3860</v>
      </c>
      <c r="D1156" s="14" t="s">
        <v>3861</v>
      </c>
    </row>
    <row r="1157">
      <c r="A1157" s="2" t="s">
        <v>3914</v>
      </c>
      <c r="B1157" s="2" t="s">
        <v>4337</v>
      </c>
      <c r="C1157" s="2" t="s">
        <v>3862</v>
      </c>
      <c r="D1157" s="14" t="s">
        <v>3863</v>
      </c>
    </row>
    <row r="1158">
      <c r="A1158" s="2" t="s">
        <v>3914</v>
      </c>
      <c r="B1158" s="2" t="s">
        <v>4337</v>
      </c>
      <c r="C1158" s="2" t="s">
        <v>3864</v>
      </c>
      <c r="D1158" s="17" t="s">
        <v>3865</v>
      </c>
    </row>
    <row r="1159">
      <c r="A1159" s="2" t="s">
        <v>3914</v>
      </c>
      <c r="B1159" s="2" t="s">
        <v>4337</v>
      </c>
      <c r="C1159" s="2" t="s">
        <v>3866</v>
      </c>
      <c r="D1159" s="14" t="s">
        <v>3867</v>
      </c>
    </row>
    <row r="1160">
      <c r="A1160" s="2" t="s">
        <v>3914</v>
      </c>
      <c r="B1160" s="2" t="s">
        <v>4337</v>
      </c>
      <c r="C1160" s="2" t="s">
        <v>3868</v>
      </c>
      <c r="D1160" s="14" t="s">
        <v>3869</v>
      </c>
    </row>
    <row r="1161">
      <c r="A1161" s="2" t="s">
        <v>3914</v>
      </c>
      <c r="B1161" s="2" t="s">
        <v>4337</v>
      </c>
      <c r="C1161" s="2" t="s">
        <v>3870</v>
      </c>
      <c r="D1161" s="14" t="s">
        <v>3871</v>
      </c>
    </row>
    <row r="1162">
      <c r="A1162" s="2" t="s">
        <v>3914</v>
      </c>
      <c r="B1162" s="2" t="s">
        <v>4337</v>
      </c>
      <c r="C1162" s="2" t="s">
        <v>3873</v>
      </c>
      <c r="D1162" s="14" t="s">
        <v>3874</v>
      </c>
    </row>
    <row r="1163">
      <c r="A1163" s="2" t="s">
        <v>3914</v>
      </c>
      <c r="B1163" s="2" t="s">
        <v>4337</v>
      </c>
      <c r="C1163" s="2" t="s">
        <v>3875</v>
      </c>
      <c r="D1163" s="14" t="s">
        <v>3876</v>
      </c>
    </row>
    <row r="1164">
      <c r="A1164" s="2" t="s">
        <v>3914</v>
      </c>
      <c r="B1164" s="2" t="s">
        <v>4337</v>
      </c>
      <c r="C1164" s="2" t="s">
        <v>3877</v>
      </c>
      <c r="D1164" s="14" t="s">
        <v>3878</v>
      </c>
    </row>
    <row r="1165">
      <c r="A1165" s="2" t="s">
        <v>3914</v>
      </c>
      <c r="B1165" s="2" t="s">
        <v>4337</v>
      </c>
      <c r="C1165" s="2" t="s">
        <v>3879</v>
      </c>
      <c r="D1165" s="14" t="s">
        <v>3880</v>
      </c>
    </row>
    <row r="1166">
      <c r="A1166" s="2" t="s">
        <v>3914</v>
      </c>
      <c r="B1166" s="2" t="s">
        <v>4337</v>
      </c>
      <c r="C1166" s="2" t="s">
        <v>3881</v>
      </c>
      <c r="D1166" s="14" t="s">
        <v>3882</v>
      </c>
    </row>
    <row r="1167">
      <c r="A1167" s="2" t="s">
        <v>3914</v>
      </c>
      <c r="B1167" s="2" t="s">
        <v>4337</v>
      </c>
      <c r="C1167" s="2" t="s">
        <v>3883</v>
      </c>
      <c r="D1167" s="14" t="s">
        <v>3884</v>
      </c>
    </row>
    <row r="1168">
      <c r="A1168" s="2" t="s">
        <v>3914</v>
      </c>
      <c r="B1168" s="2" t="s">
        <v>4337</v>
      </c>
      <c r="C1168" s="2" t="s">
        <v>3885</v>
      </c>
      <c r="D1168" s="14" t="s">
        <v>3886</v>
      </c>
    </row>
    <row r="1169">
      <c r="A1169" s="2" t="s">
        <v>3914</v>
      </c>
      <c r="B1169" s="2" t="s">
        <v>4337</v>
      </c>
      <c r="C1169" s="2" t="s">
        <v>3887</v>
      </c>
      <c r="D1169" s="14" t="s">
        <v>3888</v>
      </c>
    </row>
    <row r="1170">
      <c r="A1170" s="2" t="s">
        <v>3914</v>
      </c>
      <c r="B1170" s="2" t="s">
        <v>4337</v>
      </c>
      <c r="C1170" s="2" t="s">
        <v>3889</v>
      </c>
      <c r="D1170" s="14" t="s">
        <v>3890</v>
      </c>
    </row>
    <row r="1171">
      <c r="A1171" s="2" t="s">
        <v>3914</v>
      </c>
      <c r="B1171" s="2" t="s">
        <v>4337</v>
      </c>
      <c r="C1171" s="2" t="s">
        <v>3891</v>
      </c>
      <c r="D1171" s="14" t="s">
        <v>3892</v>
      </c>
    </row>
    <row r="1172">
      <c r="A1172" s="2" t="s">
        <v>3914</v>
      </c>
      <c r="B1172" s="2" t="s">
        <v>4337</v>
      </c>
      <c r="C1172" s="2" t="s">
        <v>3893</v>
      </c>
      <c r="D1172" s="14" t="s">
        <v>3894</v>
      </c>
    </row>
    <row r="1173">
      <c r="A1173" s="2" t="s">
        <v>3914</v>
      </c>
      <c r="B1173" s="2" t="s">
        <v>4337</v>
      </c>
      <c r="C1173" s="2" t="s">
        <v>3895</v>
      </c>
      <c r="D1173" s="14" t="s">
        <v>3896</v>
      </c>
    </row>
    <row r="1174">
      <c r="A1174" s="2" t="s">
        <v>3914</v>
      </c>
      <c r="B1174" s="2" t="s">
        <v>4337</v>
      </c>
      <c r="C1174" s="2" t="s">
        <v>3897</v>
      </c>
      <c r="D1174" s="14" t="s">
        <v>3898</v>
      </c>
    </row>
    <row r="1175">
      <c r="A1175" s="2" t="s">
        <v>3914</v>
      </c>
      <c r="B1175" s="2" t="s">
        <v>4337</v>
      </c>
      <c r="C1175" s="2" t="s">
        <v>3899</v>
      </c>
      <c r="D1175" s="14" t="s">
        <v>3900</v>
      </c>
    </row>
    <row r="1176">
      <c r="A1176" s="2" t="s">
        <v>3914</v>
      </c>
      <c r="B1176" s="2" t="s">
        <v>4337</v>
      </c>
      <c r="C1176" s="2" t="s">
        <v>3901</v>
      </c>
      <c r="D1176" s="14" t="s">
        <v>3902</v>
      </c>
    </row>
    <row r="1177">
      <c r="A1177" s="2" t="s">
        <v>3914</v>
      </c>
      <c r="B1177" s="2" t="s">
        <v>4337</v>
      </c>
      <c r="C1177" s="2" t="s">
        <v>3903</v>
      </c>
      <c r="D1177" s="14" t="s">
        <v>3904</v>
      </c>
    </row>
    <row r="1178">
      <c r="A1178" s="2" t="s">
        <v>3914</v>
      </c>
      <c r="B1178" s="2" t="s">
        <v>4337</v>
      </c>
      <c r="C1178" s="2" t="s">
        <v>3905</v>
      </c>
      <c r="D1178" s="14" t="s">
        <v>3906</v>
      </c>
    </row>
    <row r="1179">
      <c r="A1179" s="2" t="s">
        <v>3914</v>
      </c>
      <c r="B1179" s="2" t="s">
        <v>4337</v>
      </c>
      <c r="C1179" s="2" t="s">
        <v>3907</v>
      </c>
      <c r="D1179" s="14" t="s">
        <v>3908</v>
      </c>
    </row>
    <row r="1180">
      <c r="A1180" s="2" t="s">
        <v>3914</v>
      </c>
      <c r="B1180" s="2" t="s">
        <v>4377</v>
      </c>
      <c r="C1180" s="2" t="s">
        <v>3910</v>
      </c>
      <c r="D1180" s="14" t="s">
        <v>3911</v>
      </c>
    </row>
    <row r="1181">
      <c r="A1181" s="2" t="s">
        <v>3914</v>
      </c>
      <c r="B1181" s="2" t="s">
        <v>4377</v>
      </c>
      <c r="C1181" s="2" t="s">
        <v>3912</v>
      </c>
      <c r="D1181" s="14" t="s">
        <v>3913</v>
      </c>
    </row>
    <row r="1182">
      <c r="A1182" s="2" t="s">
        <v>3914</v>
      </c>
      <c r="B1182" s="2" t="s">
        <v>4377</v>
      </c>
      <c r="C1182" s="2" t="s">
        <v>3916</v>
      </c>
      <c r="D1182" s="14" t="s">
        <v>3917</v>
      </c>
    </row>
    <row r="1183">
      <c r="A1183" s="2" t="s">
        <v>3914</v>
      </c>
      <c r="B1183" s="2" t="s">
        <v>4377</v>
      </c>
      <c r="C1183" s="2" t="s">
        <v>3919</v>
      </c>
      <c r="D1183" s="14" t="s">
        <v>3920</v>
      </c>
    </row>
    <row r="1184">
      <c r="A1184" s="2" t="s">
        <v>3914</v>
      </c>
      <c r="B1184" s="2" t="s">
        <v>4377</v>
      </c>
      <c r="C1184" s="2" t="s">
        <v>3922</v>
      </c>
      <c r="D1184" s="14" t="s">
        <v>3923</v>
      </c>
    </row>
    <row r="1185">
      <c r="A1185" s="2" t="s">
        <v>3914</v>
      </c>
      <c r="B1185" s="2" t="s">
        <v>4377</v>
      </c>
      <c r="C1185" s="2" t="s">
        <v>3925</v>
      </c>
      <c r="D1185" s="14" t="s">
        <v>3926</v>
      </c>
    </row>
    <row r="1186">
      <c r="A1186" s="2" t="s">
        <v>3914</v>
      </c>
      <c r="B1186" s="2" t="s">
        <v>4377</v>
      </c>
      <c r="C1186" s="2" t="s">
        <v>3928</v>
      </c>
      <c r="D1186" s="14" t="s">
        <v>3929</v>
      </c>
    </row>
    <row r="1187">
      <c r="A1187" s="2" t="s">
        <v>3914</v>
      </c>
      <c r="B1187" s="2" t="s">
        <v>4377</v>
      </c>
      <c r="C1187" s="2" t="s">
        <v>3931</v>
      </c>
      <c r="D1187" s="14" t="s">
        <v>3932</v>
      </c>
    </row>
    <row r="1188">
      <c r="A1188" s="2" t="s">
        <v>3914</v>
      </c>
      <c r="B1188" s="2" t="s">
        <v>4377</v>
      </c>
      <c r="C1188" s="2" t="s">
        <v>3933</v>
      </c>
      <c r="D1188" s="14" t="s">
        <v>3934</v>
      </c>
    </row>
    <row r="1189">
      <c r="A1189" s="2" t="s">
        <v>3914</v>
      </c>
      <c r="B1189" s="2" t="s">
        <v>4377</v>
      </c>
      <c r="C1189" s="2" t="s">
        <v>3936</v>
      </c>
      <c r="D1189" s="14" t="s">
        <v>3937</v>
      </c>
    </row>
    <row r="1190">
      <c r="A1190" s="2" t="s">
        <v>3914</v>
      </c>
      <c r="B1190" s="2" t="s">
        <v>4377</v>
      </c>
      <c r="C1190" s="2" t="s">
        <v>3939</v>
      </c>
      <c r="D1190" s="14" t="s">
        <v>3940</v>
      </c>
    </row>
    <row r="1191">
      <c r="A1191" s="2" t="s">
        <v>3914</v>
      </c>
      <c r="B1191" s="2" t="s">
        <v>4377</v>
      </c>
      <c r="C1191" s="2" t="s">
        <v>3941</v>
      </c>
      <c r="D1191" s="14" t="s">
        <v>3942</v>
      </c>
    </row>
    <row r="1192">
      <c r="A1192" s="2" t="s">
        <v>3914</v>
      </c>
      <c r="B1192" s="2" t="s">
        <v>4377</v>
      </c>
      <c r="C1192" s="2" t="s">
        <v>3944</v>
      </c>
      <c r="D1192" s="14" t="s">
        <v>3945</v>
      </c>
    </row>
    <row r="1193">
      <c r="A1193" s="2" t="s">
        <v>3914</v>
      </c>
      <c r="B1193" s="2" t="s">
        <v>4377</v>
      </c>
      <c r="C1193" s="2" t="s">
        <v>3947</v>
      </c>
      <c r="D1193" s="14" t="s">
        <v>3948</v>
      </c>
    </row>
    <row r="1194">
      <c r="A1194" s="2" t="s">
        <v>3914</v>
      </c>
      <c r="B1194" s="2" t="s">
        <v>4377</v>
      </c>
      <c r="C1194" s="2" t="s">
        <v>3949</v>
      </c>
      <c r="D1194" s="14" t="s">
        <v>3950</v>
      </c>
    </row>
    <row r="1195">
      <c r="A1195" s="2" t="s">
        <v>3914</v>
      </c>
      <c r="B1195" s="2" t="s">
        <v>4402</v>
      </c>
      <c r="C1195" s="2" t="s">
        <v>4403</v>
      </c>
      <c r="D1195" s="14" t="s">
        <v>3953</v>
      </c>
    </row>
    <row r="1196">
      <c r="A1196" s="2" t="s">
        <v>3914</v>
      </c>
      <c r="B1196" s="2" t="s">
        <v>4402</v>
      </c>
      <c r="C1196" s="2" t="s">
        <v>4406</v>
      </c>
      <c r="D1196" s="14" t="s">
        <v>3955</v>
      </c>
    </row>
    <row r="1197">
      <c r="A1197" s="2" t="s">
        <v>3914</v>
      </c>
      <c r="B1197" s="2" t="s">
        <v>4402</v>
      </c>
      <c r="C1197" s="2" t="s">
        <v>3957</v>
      </c>
      <c r="D1197" s="14" t="s">
        <v>3958</v>
      </c>
    </row>
    <row r="1198">
      <c r="A1198" s="2" t="s">
        <v>3914</v>
      </c>
      <c r="B1198" s="2" t="s">
        <v>4402</v>
      </c>
      <c r="C1198" s="2" t="s">
        <v>3960</v>
      </c>
      <c r="D1198" s="14" t="s">
        <v>3961</v>
      </c>
    </row>
    <row r="1199">
      <c r="A1199" s="2" t="s">
        <v>4411</v>
      </c>
      <c r="B1199" s="2" t="s">
        <v>4412</v>
      </c>
      <c r="C1199" s="2" t="s">
        <v>4413</v>
      </c>
      <c r="D1199" s="14" t="s">
        <v>3964</v>
      </c>
    </row>
    <row r="1200">
      <c r="A1200" s="2" t="s">
        <v>4411</v>
      </c>
      <c r="B1200" s="2" t="s">
        <v>4412</v>
      </c>
      <c r="C1200" s="2" t="s">
        <v>3993</v>
      </c>
      <c r="D1200" s="14" t="s">
        <v>3966</v>
      </c>
    </row>
    <row r="1201">
      <c r="A1201" s="2" t="s">
        <v>4411</v>
      </c>
      <c r="B1201" s="2" t="s">
        <v>4412</v>
      </c>
      <c r="C1201" s="2" t="s">
        <v>3993</v>
      </c>
      <c r="D1201" s="14" t="s">
        <v>3967</v>
      </c>
    </row>
    <row r="1202">
      <c r="A1202" s="2" t="s">
        <v>4411</v>
      </c>
      <c r="B1202" s="2" t="s">
        <v>4412</v>
      </c>
      <c r="C1202" s="2" t="s">
        <v>4416</v>
      </c>
      <c r="D1202" s="14" t="s">
        <v>3969</v>
      </c>
    </row>
    <row r="1203">
      <c r="A1203" s="2" t="s">
        <v>4411</v>
      </c>
      <c r="B1203" s="2" t="s">
        <v>4412</v>
      </c>
      <c r="C1203" s="2" t="s">
        <v>4418</v>
      </c>
      <c r="D1203" s="14" t="s">
        <v>3983</v>
      </c>
    </row>
    <row r="1204">
      <c r="A1204" s="2" t="s">
        <v>4411</v>
      </c>
      <c r="B1204" s="2" t="s">
        <v>4412</v>
      </c>
      <c r="C1204" s="2" t="s">
        <v>4420</v>
      </c>
      <c r="D1204" s="14" t="s">
        <v>3978</v>
      </c>
    </row>
    <row r="1205">
      <c r="A1205" s="2" t="s">
        <v>4411</v>
      </c>
      <c r="B1205" s="2" t="s">
        <v>4412</v>
      </c>
      <c r="C1205" s="2" t="s">
        <v>4420</v>
      </c>
      <c r="D1205" s="14" t="s">
        <v>3972</v>
      </c>
    </row>
    <row r="1206">
      <c r="A1206" s="2" t="s">
        <v>4411</v>
      </c>
      <c r="B1206" s="2" t="s">
        <v>4412</v>
      </c>
      <c r="C1206" s="2" t="s">
        <v>4418</v>
      </c>
      <c r="D1206" s="14" t="s">
        <v>3977</v>
      </c>
    </row>
    <row r="1207">
      <c r="A1207" s="2" t="s">
        <v>4411</v>
      </c>
      <c r="B1207" s="2" t="s">
        <v>4412</v>
      </c>
      <c r="C1207" s="2" t="s">
        <v>3985</v>
      </c>
      <c r="D1207" s="14" t="s">
        <v>3986</v>
      </c>
    </row>
    <row r="1208">
      <c r="A1208" s="2" t="s">
        <v>4411</v>
      </c>
      <c r="B1208" s="2" t="s">
        <v>4412</v>
      </c>
      <c r="C1208" s="2" t="s">
        <v>3987</v>
      </c>
      <c r="D1208" s="14" t="s">
        <v>3988</v>
      </c>
    </row>
    <row r="1209">
      <c r="A1209" s="2" t="s">
        <v>4411</v>
      </c>
      <c r="B1209" s="2" t="s">
        <v>4412</v>
      </c>
      <c r="C1209" s="2" t="s">
        <v>3987</v>
      </c>
      <c r="D1209" s="14" t="s">
        <v>3989</v>
      </c>
    </row>
    <row r="1210">
      <c r="A1210" s="2" t="s">
        <v>4411</v>
      </c>
      <c r="B1210" s="2" t="s">
        <v>4412</v>
      </c>
      <c r="C1210" s="2" t="s">
        <v>3991</v>
      </c>
      <c r="D1210" s="14" t="s">
        <v>3992</v>
      </c>
    </row>
    <row r="1211">
      <c r="A1211" s="2" t="s">
        <v>4411</v>
      </c>
      <c r="B1211" s="2" t="s">
        <v>4412</v>
      </c>
      <c r="C1211" s="2" t="s">
        <v>3993</v>
      </c>
      <c r="D1211" s="14" t="s">
        <v>3994</v>
      </c>
    </row>
    <row r="1212">
      <c r="A1212" s="2" t="s">
        <v>4411</v>
      </c>
      <c r="B1212" s="2" t="s">
        <v>4412</v>
      </c>
      <c r="C1212" s="2" t="s">
        <v>3993</v>
      </c>
      <c r="D1212" s="14" t="s">
        <v>3996</v>
      </c>
    </row>
    <row r="1213">
      <c r="A1213" s="2" t="s">
        <v>4411</v>
      </c>
      <c r="B1213" s="2" t="s">
        <v>4412</v>
      </c>
      <c r="C1213" s="2" t="s">
        <v>3991</v>
      </c>
      <c r="D1213" s="14" t="s">
        <v>3998</v>
      </c>
    </row>
    <row r="1214">
      <c r="A1214" s="2" t="s">
        <v>4411</v>
      </c>
      <c r="B1214" s="2" t="s">
        <v>4412</v>
      </c>
      <c r="C1214" s="2" t="s">
        <v>3991</v>
      </c>
      <c r="D1214" s="14" t="s">
        <v>4000</v>
      </c>
    </row>
    <row r="1215">
      <c r="A1215" s="2" t="s">
        <v>4411</v>
      </c>
      <c r="B1215" s="2" t="s">
        <v>4412</v>
      </c>
      <c r="C1215" s="2" t="s">
        <v>3987</v>
      </c>
      <c r="D1215" s="14" t="s">
        <v>4002</v>
      </c>
    </row>
    <row r="1216">
      <c r="A1216" s="2" t="s">
        <v>4411</v>
      </c>
      <c r="B1216" s="2" t="s">
        <v>4412</v>
      </c>
      <c r="C1216" s="2" t="s">
        <v>4004</v>
      </c>
      <c r="D1216" s="14" t="s">
        <v>4005</v>
      </c>
    </row>
    <row r="1217">
      <c r="A1217" s="2" t="s">
        <v>4411</v>
      </c>
      <c r="B1217" s="2" t="s">
        <v>4412</v>
      </c>
      <c r="C1217" s="2" t="s">
        <v>4007</v>
      </c>
      <c r="D1217" s="14" t="s">
        <v>4008</v>
      </c>
    </row>
    <row r="1218">
      <c r="A1218" s="2" t="s">
        <v>4411</v>
      </c>
      <c r="B1218" s="2" t="s">
        <v>4412</v>
      </c>
      <c r="C1218" s="2" t="s">
        <v>3987</v>
      </c>
      <c r="D1218" s="14" t="s">
        <v>4010</v>
      </c>
    </row>
    <row r="1219">
      <c r="A1219" s="2" t="s">
        <v>4411</v>
      </c>
      <c r="B1219" s="2" t="s">
        <v>4412</v>
      </c>
      <c r="C1219" s="2" t="s">
        <v>3993</v>
      </c>
      <c r="D1219" s="14" t="s">
        <v>4011</v>
      </c>
    </row>
    <row r="1220">
      <c r="A1220" s="2" t="s">
        <v>4411</v>
      </c>
      <c r="B1220" s="2" t="s">
        <v>4412</v>
      </c>
      <c r="C1220" s="2" t="s">
        <v>3991</v>
      </c>
      <c r="D1220" s="14" t="s">
        <v>4013</v>
      </c>
    </row>
    <row r="1221">
      <c r="A1221" s="2" t="s">
        <v>4411</v>
      </c>
      <c r="B1221" s="2" t="s">
        <v>4412</v>
      </c>
      <c r="C1221" s="2" t="s">
        <v>3993</v>
      </c>
      <c r="D1221" s="14" t="s">
        <v>4014</v>
      </c>
    </row>
    <row r="1222">
      <c r="A1222" s="2" t="s">
        <v>4411</v>
      </c>
      <c r="B1222" s="2" t="s">
        <v>4412</v>
      </c>
      <c r="C1222" s="2" t="s">
        <v>3991</v>
      </c>
      <c r="D1222" s="14" t="s">
        <v>4015</v>
      </c>
    </row>
    <row r="1223">
      <c r="A1223" s="2" t="s">
        <v>4411</v>
      </c>
      <c r="B1223" s="2" t="s">
        <v>4412</v>
      </c>
      <c r="C1223" s="2" t="s">
        <v>3987</v>
      </c>
      <c r="D1223" s="14" t="s">
        <v>4017</v>
      </c>
    </row>
    <row r="1224">
      <c r="A1224" s="2" t="s">
        <v>4411</v>
      </c>
      <c r="B1224" s="2" t="s">
        <v>4412</v>
      </c>
      <c r="C1224" s="2" t="s">
        <v>3987</v>
      </c>
      <c r="D1224" s="14" t="s">
        <v>4019</v>
      </c>
    </row>
    <row r="1225">
      <c r="A1225" s="2" t="s">
        <v>4411</v>
      </c>
      <c r="B1225" s="2" t="s">
        <v>4412</v>
      </c>
      <c r="C1225" s="2" t="s">
        <v>3987</v>
      </c>
      <c r="D1225" s="14" t="s">
        <v>4020</v>
      </c>
    </row>
    <row r="1226">
      <c r="A1226" s="2" t="s">
        <v>4411</v>
      </c>
      <c r="B1226" s="2" t="s">
        <v>4412</v>
      </c>
      <c r="C1226" s="2" t="s">
        <v>4022</v>
      </c>
      <c r="D1226" s="14" t="s">
        <v>4023</v>
      </c>
    </row>
    <row r="1227">
      <c r="A1227" s="2" t="s">
        <v>4411</v>
      </c>
      <c r="B1227" s="2" t="s">
        <v>4412</v>
      </c>
      <c r="C1227" s="2" t="s">
        <v>3991</v>
      </c>
      <c r="D1227" s="14" t="s">
        <v>4025</v>
      </c>
    </row>
    <row r="1228">
      <c r="A1228" s="2" t="s">
        <v>4411</v>
      </c>
      <c r="B1228" s="2" t="s">
        <v>4412</v>
      </c>
      <c r="C1228" s="2" t="s">
        <v>3991</v>
      </c>
      <c r="D1228" s="14" t="s">
        <v>4027</v>
      </c>
    </row>
    <row r="1229">
      <c r="A1229" s="2" t="s">
        <v>4411</v>
      </c>
      <c r="B1229" s="2" t="s">
        <v>4412</v>
      </c>
      <c r="C1229" s="2" t="s">
        <v>3993</v>
      </c>
      <c r="D1229" s="14" t="s">
        <v>4029</v>
      </c>
    </row>
    <row r="1230">
      <c r="A1230" s="2" t="s">
        <v>4411</v>
      </c>
      <c r="B1230" s="2" t="s">
        <v>4412</v>
      </c>
      <c r="C1230" s="2" t="s">
        <v>3993</v>
      </c>
      <c r="D1230" s="14" t="s">
        <v>4030</v>
      </c>
    </row>
    <row r="1231">
      <c r="A1231" s="2" t="s">
        <v>4411</v>
      </c>
      <c r="B1231" s="2" t="s">
        <v>4412</v>
      </c>
      <c r="C1231" s="2" t="s">
        <v>3987</v>
      </c>
      <c r="D1231" s="14" t="s">
        <v>4032</v>
      </c>
    </row>
    <row r="1232">
      <c r="A1232" s="2" t="s">
        <v>4411</v>
      </c>
      <c r="B1232" s="2" t="s">
        <v>4412</v>
      </c>
      <c r="C1232" s="2" t="s">
        <v>3991</v>
      </c>
      <c r="D1232" s="14" t="s">
        <v>4034</v>
      </c>
    </row>
    <row r="1233">
      <c r="A1233" s="2" t="s">
        <v>4411</v>
      </c>
      <c r="B1233" s="2" t="s">
        <v>4412</v>
      </c>
      <c r="C1233" s="2" t="s">
        <v>4036</v>
      </c>
      <c r="D1233" s="14" t="s">
        <v>4037</v>
      </c>
    </row>
    <row r="1234">
      <c r="A1234" s="2" t="s">
        <v>4411</v>
      </c>
      <c r="B1234" s="2" t="s">
        <v>4412</v>
      </c>
      <c r="C1234" s="2" t="s">
        <v>4038</v>
      </c>
      <c r="D1234" s="14" t="s">
        <v>4039</v>
      </c>
    </row>
    <row r="1235">
      <c r="A1235" s="2" t="s">
        <v>4411</v>
      </c>
      <c r="B1235" s="2" t="s">
        <v>4412</v>
      </c>
      <c r="C1235" s="2" t="s">
        <v>4041</v>
      </c>
      <c r="D1235" s="14" t="s">
        <v>4042</v>
      </c>
    </row>
    <row r="1236">
      <c r="A1236" s="2" t="s">
        <v>4411</v>
      </c>
      <c r="B1236" s="2" t="s">
        <v>4412</v>
      </c>
      <c r="C1236" s="2" t="s">
        <v>4043</v>
      </c>
      <c r="D1236" s="14" t="s">
        <v>4044</v>
      </c>
    </row>
    <row r="1237">
      <c r="A1237" s="2" t="s">
        <v>4411</v>
      </c>
      <c r="B1237" s="2" t="s">
        <v>4412</v>
      </c>
      <c r="C1237" s="2" t="s">
        <v>4045</v>
      </c>
      <c r="D1237" s="14" t="s">
        <v>4046</v>
      </c>
    </row>
    <row r="1238">
      <c r="A1238" s="2" t="s">
        <v>4411</v>
      </c>
      <c r="B1238" s="2" t="s">
        <v>4412</v>
      </c>
      <c r="C1238" s="2" t="s">
        <v>4047</v>
      </c>
      <c r="D1238" s="14" t="s">
        <v>4048</v>
      </c>
    </row>
    <row r="1239">
      <c r="A1239" s="2" t="s">
        <v>4411</v>
      </c>
      <c r="B1239" s="2" t="s">
        <v>4412</v>
      </c>
      <c r="C1239" s="2" t="s">
        <v>4050</v>
      </c>
      <c r="D1239" s="14" t="s">
        <v>4051</v>
      </c>
    </row>
    <row r="1240">
      <c r="A1240" s="2" t="s">
        <v>4411</v>
      </c>
      <c r="B1240" s="2" t="s">
        <v>4412</v>
      </c>
      <c r="C1240" s="2" t="s">
        <v>4053</v>
      </c>
      <c r="D1240" s="14" t="s">
        <v>4054</v>
      </c>
    </row>
    <row r="1241">
      <c r="A1241" s="2" t="s">
        <v>4411</v>
      </c>
      <c r="B1241" s="2" t="s">
        <v>4412</v>
      </c>
      <c r="C1241" s="2" t="s">
        <v>4055</v>
      </c>
      <c r="D1241" s="14" t="s">
        <v>4056</v>
      </c>
    </row>
    <row r="1242">
      <c r="A1242" s="2" t="s">
        <v>4411</v>
      </c>
      <c r="B1242" s="2" t="s">
        <v>4412</v>
      </c>
      <c r="C1242" s="2" t="s">
        <v>4463</v>
      </c>
      <c r="D1242" s="14" t="s">
        <v>4057</v>
      </c>
    </row>
    <row r="1243">
      <c r="A1243" s="2" t="s">
        <v>4411</v>
      </c>
      <c r="B1243" s="2" t="s">
        <v>4412</v>
      </c>
      <c r="C1243" s="2" t="s">
        <v>4058</v>
      </c>
      <c r="D1243" s="14" t="s">
        <v>4059</v>
      </c>
    </row>
    <row r="1244">
      <c r="A1244" s="2" t="s">
        <v>4411</v>
      </c>
      <c r="B1244" s="2" t="s">
        <v>4412</v>
      </c>
      <c r="C1244" s="2" t="s">
        <v>4465</v>
      </c>
      <c r="D1244" s="14" t="s">
        <v>4060</v>
      </c>
    </row>
    <row r="1245">
      <c r="A1245" s="2" t="s">
        <v>4411</v>
      </c>
      <c r="B1245" s="2" t="s">
        <v>4412</v>
      </c>
      <c r="C1245" s="2" t="s">
        <v>4062</v>
      </c>
      <c r="D1245" s="14" t="s">
        <v>4063</v>
      </c>
    </row>
    <row r="1246">
      <c r="A1246" s="2" t="s">
        <v>4411</v>
      </c>
      <c r="B1246" s="2" t="s">
        <v>4412</v>
      </c>
      <c r="C1246" s="2" t="s">
        <v>4065</v>
      </c>
      <c r="D1246" s="14" t="s">
        <v>4066</v>
      </c>
    </row>
    <row r="1247">
      <c r="A1247" s="2" t="s">
        <v>4411</v>
      </c>
      <c r="B1247" s="2" t="s">
        <v>4412</v>
      </c>
      <c r="C1247" s="2" t="s">
        <v>4068</v>
      </c>
      <c r="D1247" s="14" t="s">
        <v>4069</v>
      </c>
    </row>
    <row r="1248">
      <c r="A1248" s="2" t="s">
        <v>4411</v>
      </c>
      <c r="B1248" s="2" t="s">
        <v>4412</v>
      </c>
      <c r="C1248" s="2" t="s">
        <v>4470</v>
      </c>
      <c r="D1248" s="14" t="s">
        <v>4071</v>
      </c>
    </row>
    <row r="1249">
      <c r="A1249" s="2" t="s">
        <v>4411</v>
      </c>
      <c r="B1249" s="2" t="s">
        <v>4412</v>
      </c>
      <c r="C1249" s="2" t="s">
        <v>4072</v>
      </c>
      <c r="D1249" s="14" t="s">
        <v>4073</v>
      </c>
    </row>
    <row r="1250">
      <c r="A1250" s="2" t="s">
        <v>4411</v>
      </c>
      <c r="B1250" s="2" t="s">
        <v>4412</v>
      </c>
      <c r="C1250" s="2" t="s">
        <v>4074</v>
      </c>
      <c r="D1250" s="14" t="s">
        <v>4075</v>
      </c>
    </row>
    <row r="1251">
      <c r="A1251" s="2" t="s">
        <v>4411</v>
      </c>
      <c r="B1251" s="2" t="s">
        <v>4412</v>
      </c>
      <c r="C1251" s="2" t="s">
        <v>4076</v>
      </c>
      <c r="D1251" s="14" t="s">
        <v>4077</v>
      </c>
    </row>
    <row r="1252">
      <c r="A1252" s="2" t="s">
        <v>4411</v>
      </c>
      <c r="B1252" s="2" t="s">
        <v>4412</v>
      </c>
      <c r="C1252" s="2" t="s">
        <v>4078</v>
      </c>
      <c r="D1252" s="14" t="s">
        <v>4079</v>
      </c>
    </row>
    <row r="1253">
      <c r="A1253" s="2" t="s">
        <v>4411</v>
      </c>
      <c r="B1253" s="2" t="s">
        <v>4412</v>
      </c>
      <c r="C1253" s="2" t="s">
        <v>4080</v>
      </c>
      <c r="D1253" s="14" t="s">
        <v>4081</v>
      </c>
    </row>
    <row r="1254">
      <c r="A1254" s="2" t="s">
        <v>4411</v>
      </c>
      <c r="B1254" s="2" t="s">
        <v>4412</v>
      </c>
      <c r="C1254" s="2" t="s">
        <v>4082</v>
      </c>
      <c r="D1254" s="14" t="s">
        <v>4083</v>
      </c>
    </row>
    <row r="1255">
      <c r="A1255" s="2" t="s">
        <v>4411</v>
      </c>
      <c r="B1255" s="2" t="s">
        <v>4412</v>
      </c>
      <c r="C1255" s="2" t="s">
        <v>4085</v>
      </c>
      <c r="D1255" s="14" t="s">
        <v>4086</v>
      </c>
    </row>
    <row r="1256">
      <c r="A1256" s="2" t="s">
        <v>4411</v>
      </c>
      <c r="B1256" s="2" t="s">
        <v>4412</v>
      </c>
      <c r="C1256" s="2" t="s">
        <v>4088</v>
      </c>
      <c r="D1256" s="14" t="s">
        <v>4089</v>
      </c>
    </row>
    <row r="1257">
      <c r="A1257" s="2" t="s">
        <v>4411</v>
      </c>
      <c r="B1257" s="2" t="s">
        <v>4412</v>
      </c>
      <c r="C1257" s="2" t="s">
        <v>4090</v>
      </c>
      <c r="D1257" s="14" t="s">
        <v>4091</v>
      </c>
    </row>
    <row r="1258">
      <c r="A1258" s="2" t="s">
        <v>4411</v>
      </c>
      <c r="B1258" s="2" t="s">
        <v>4412</v>
      </c>
      <c r="C1258" s="2" t="s">
        <v>4092</v>
      </c>
      <c r="D1258" s="14" t="s">
        <v>4093</v>
      </c>
    </row>
    <row r="1259">
      <c r="A1259" s="2" t="s">
        <v>4411</v>
      </c>
      <c r="B1259" s="2" t="s">
        <v>4412</v>
      </c>
      <c r="C1259" s="2" t="s">
        <v>4094</v>
      </c>
      <c r="D1259" s="14" t="s">
        <v>4095</v>
      </c>
    </row>
    <row r="1260">
      <c r="A1260" s="2" t="s">
        <v>4411</v>
      </c>
      <c r="B1260" s="2" t="s">
        <v>4412</v>
      </c>
      <c r="C1260" s="2" t="s">
        <v>4096</v>
      </c>
      <c r="D1260" s="14" t="s">
        <v>4097</v>
      </c>
    </row>
    <row r="1261">
      <c r="A1261" s="2" t="s">
        <v>4411</v>
      </c>
      <c r="B1261" s="2" t="s">
        <v>4412</v>
      </c>
      <c r="C1261" s="2" t="s">
        <v>4098</v>
      </c>
      <c r="D1261" s="14" t="s">
        <v>4099</v>
      </c>
    </row>
    <row r="1262">
      <c r="A1262" s="2" t="s">
        <v>4411</v>
      </c>
      <c r="B1262" s="2" t="s">
        <v>4412</v>
      </c>
      <c r="C1262" s="2" t="s">
        <v>4100</v>
      </c>
      <c r="D1262" s="14" t="s">
        <v>4101</v>
      </c>
    </row>
    <row r="1263">
      <c r="A1263" s="2" t="s">
        <v>4411</v>
      </c>
      <c r="B1263" s="2" t="s">
        <v>4412</v>
      </c>
      <c r="C1263" s="2" t="s">
        <v>4102</v>
      </c>
      <c r="D1263" s="14" t="s">
        <v>4103</v>
      </c>
    </row>
    <row r="1264">
      <c r="A1264" s="2" t="s">
        <v>4411</v>
      </c>
      <c r="B1264" s="2" t="s">
        <v>4412</v>
      </c>
      <c r="C1264" s="2" t="s">
        <v>4104</v>
      </c>
      <c r="D1264" s="14" t="s">
        <v>4105</v>
      </c>
    </row>
    <row r="1265">
      <c r="A1265" s="2" t="s">
        <v>4411</v>
      </c>
      <c r="B1265" s="2" t="s">
        <v>4412</v>
      </c>
      <c r="C1265" s="2" t="s">
        <v>4106</v>
      </c>
      <c r="D1265" s="14" t="s">
        <v>4107</v>
      </c>
    </row>
    <row r="1266">
      <c r="A1266" s="2" t="s">
        <v>4411</v>
      </c>
      <c r="B1266" s="2" t="s">
        <v>4412</v>
      </c>
      <c r="C1266" s="2" t="s">
        <v>4108</v>
      </c>
      <c r="D1266" s="14" t="s">
        <v>4109</v>
      </c>
    </row>
    <row r="1267">
      <c r="A1267" s="2" t="s">
        <v>4411</v>
      </c>
      <c r="B1267" s="2" t="s">
        <v>4412</v>
      </c>
      <c r="C1267" s="2" t="s">
        <v>4110</v>
      </c>
      <c r="D1267" s="14" t="s">
        <v>4111</v>
      </c>
    </row>
    <row r="1268">
      <c r="A1268" s="2" t="s">
        <v>4411</v>
      </c>
      <c r="B1268" s="2" t="s">
        <v>4412</v>
      </c>
      <c r="C1268" s="2" t="s">
        <v>4112</v>
      </c>
      <c r="D1268" s="14" t="s">
        <v>4113</v>
      </c>
    </row>
    <row r="1269">
      <c r="A1269" s="2" t="s">
        <v>4411</v>
      </c>
      <c r="B1269" s="2" t="s">
        <v>4412</v>
      </c>
      <c r="C1269" s="2" t="s">
        <v>4114</v>
      </c>
      <c r="D1269" s="14" t="s">
        <v>4115</v>
      </c>
    </row>
    <row r="1270">
      <c r="A1270" s="2" t="s">
        <v>4411</v>
      </c>
      <c r="B1270" s="2" t="s">
        <v>4412</v>
      </c>
      <c r="C1270" s="2" t="s">
        <v>4116</v>
      </c>
      <c r="D1270" s="14" t="s">
        <v>4117</v>
      </c>
    </row>
    <row r="1271">
      <c r="A1271" s="2" t="s">
        <v>4411</v>
      </c>
      <c r="B1271" s="2" t="s">
        <v>4412</v>
      </c>
      <c r="C1271" s="2" t="s">
        <v>4118</v>
      </c>
      <c r="D1271" s="14" t="s">
        <v>4119</v>
      </c>
    </row>
    <row r="1272">
      <c r="A1272" s="2" t="s">
        <v>4411</v>
      </c>
      <c r="B1272" s="2" t="s">
        <v>4412</v>
      </c>
      <c r="C1272" s="2" t="s">
        <v>4120</v>
      </c>
      <c r="D1272" s="14" t="s">
        <v>4121</v>
      </c>
    </row>
    <row r="1273">
      <c r="A1273" s="2" t="s">
        <v>4411</v>
      </c>
      <c r="B1273" s="2" t="s">
        <v>4412</v>
      </c>
      <c r="C1273" s="2" t="s">
        <v>4122</v>
      </c>
      <c r="D1273" s="14" t="s">
        <v>4123</v>
      </c>
    </row>
    <row r="1274">
      <c r="A1274" s="2" t="s">
        <v>4411</v>
      </c>
      <c r="B1274" s="2" t="s">
        <v>4412</v>
      </c>
      <c r="C1274" s="2" t="s">
        <v>4126</v>
      </c>
      <c r="D1274" s="14" t="s">
        <v>4127</v>
      </c>
    </row>
    <row r="1275">
      <c r="A1275" s="2" t="s">
        <v>4411</v>
      </c>
      <c r="B1275" s="2" t="s">
        <v>4412</v>
      </c>
      <c r="C1275" s="2" t="s">
        <v>4129</v>
      </c>
      <c r="D1275" s="14" t="s">
        <v>4130</v>
      </c>
    </row>
    <row r="1276">
      <c r="A1276" s="2" t="s">
        <v>4411</v>
      </c>
      <c r="B1276" s="2" t="s">
        <v>4412</v>
      </c>
      <c r="C1276" s="2" t="s">
        <v>4132</v>
      </c>
      <c r="D1276" s="14" t="s">
        <v>4133</v>
      </c>
    </row>
    <row r="1277">
      <c r="A1277" s="2" t="s">
        <v>4411</v>
      </c>
      <c r="B1277" s="2" t="s">
        <v>4412</v>
      </c>
      <c r="C1277" s="2" t="s">
        <v>4135</v>
      </c>
      <c r="D1277" s="14" t="s">
        <v>4136</v>
      </c>
    </row>
    <row r="1278">
      <c r="A1278" s="2" t="s">
        <v>4411</v>
      </c>
      <c r="B1278" s="2" t="s">
        <v>4412</v>
      </c>
      <c r="C1278" s="2" t="s">
        <v>4138</v>
      </c>
      <c r="D1278" s="14" t="s">
        <v>4139</v>
      </c>
    </row>
    <row r="1279">
      <c r="A1279" s="2" t="s">
        <v>4411</v>
      </c>
      <c r="B1279" s="2" t="s">
        <v>4412</v>
      </c>
      <c r="C1279" s="2" t="s">
        <v>4141</v>
      </c>
      <c r="D1279" s="14" t="s">
        <v>4142</v>
      </c>
    </row>
    <row r="1280">
      <c r="A1280" s="2" t="s">
        <v>4411</v>
      </c>
      <c r="B1280" s="2" t="s">
        <v>4412</v>
      </c>
      <c r="C1280" s="2" t="s">
        <v>4050</v>
      </c>
      <c r="D1280" s="14" t="s">
        <v>4144</v>
      </c>
    </row>
    <row r="1281">
      <c r="A1281" s="2" t="s">
        <v>4411</v>
      </c>
      <c r="B1281" s="2" t="s">
        <v>4412</v>
      </c>
      <c r="C1281" s="2" t="s">
        <v>4146</v>
      </c>
      <c r="D1281" s="14" t="s">
        <v>4147</v>
      </c>
    </row>
    <row r="1282">
      <c r="A1282" s="2" t="s">
        <v>4411</v>
      </c>
      <c r="B1282" s="2" t="s">
        <v>4412</v>
      </c>
      <c r="C1282" s="2" t="s">
        <v>4149</v>
      </c>
      <c r="D1282" s="14" t="s">
        <v>4150</v>
      </c>
    </row>
    <row r="1283">
      <c r="A1283" s="2" t="s">
        <v>4411</v>
      </c>
      <c r="B1283" s="2" t="s">
        <v>4412</v>
      </c>
      <c r="C1283" s="2" t="s">
        <v>1898</v>
      </c>
      <c r="D1283" s="14" t="s">
        <v>4154</v>
      </c>
    </row>
    <row r="1284">
      <c r="A1284" s="2" t="s">
        <v>4411</v>
      </c>
      <c r="B1284" s="2" t="s">
        <v>4412</v>
      </c>
      <c r="C1284" s="2" t="s">
        <v>4157</v>
      </c>
      <c r="D1284" s="14" t="s">
        <v>4158</v>
      </c>
    </row>
    <row r="1285">
      <c r="A1285" s="2" t="s">
        <v>4411</v>
      </c>
      <c r="B1285" s="2" t="s">
        <v>4412</v>
      </c>
      <c r="C1285" s="2" t="s">
        <v>4161</v>
      </c>
      <c r="D1285" s="14" t="s">
        <v>4162</v>
      </c>
    </row>
    <row r="1286">
      <c r="A1286" s="2" t="s">
        <v>4411</v>
      </c>
      <c r="B1286" s="2" t="s">
        <v>4412</v>
      </c>
      <c r="C1286" s="2" t="s">
        <v>4166</v>
      </c>
      <c r="D1286" s="14" t="s">
        <v>4167</v>
      </c>
    </row>
    <row r="1287">
      <c r="A1287" s="2" t="s">
        <v>4411</v>
      </c>
      <c r="B1287" s="2" t="s">
        <v>4412</v>
      </c>
      <c r="C1287" s="2" t="s">
        <v>4169</v>
      </c>
      <c r="D1287" s="14" t="s">
        <v>4170</v>
      </c>
    </row>
    <row r="1288">
      <c r="A1288" s="2" t="s">
        <v>4411</v>
      </c>
      <c r="B1288" s="2" t="s">
        <v>4412</v>
      </c>
      <c r="C1288" s="2" t="s">
        <v>4177</v>
      </c>
      <c r="D1288" s="14" t="s">
        <v>4179</v>
      </c>
    </row>
    <row r="1289">
      <c r="A1289" s="2" t="s">
        <v>4411</v>
      </c>
      <c r="B1289" s="2" t="s">
        <v>4412</v>
      </c>
      <c r="C1289" s="2" t="s">
        <v>4187</v>
      </c>
      <c r="D1289" s="14" t="s">
        <v>4188</v>
      </c>
    </row>
    <row r="1290">
      <c r="A1290" s="2" t="s">
        <v>4411</v>
      </c>
      <c r="B1290" s="2" t="s">
        <v>4412</v>
      </c>
      <c r="C1290" s="2" t="s">
        <v>4189</v>
      </c>
      <c r="D1290" s="14" t="s">
        <v>4190</v>
      </c>
    </row>
    <row r="1291">
      <c r="A1291" s="2" t="s">
        <v>4411</v>
      </c>
      <c r="B1291" s="2" t="s">
        <v>4412</v>
      </c>
      <c r="C1291" s="2" t="s">
        <v>4191</v>
      </c>
      <c r="D1291" s="14" t="s">
        <v>4192</v>
      </c>
    </row>
    <row r="1292">
      <c r="A1292" s="2" t="s">
        <v>4411</v>
      </c>
      <c r="B1292" s="2" t="s">
        <v>4412</v>
      </c>
      <c r="C1292" s="2" t="s">
        <v>4193</v>
      </c>
      <c r="D1292" s="14" t="s">
        <v>4194</v>
      </c>
    </row>
    <row r="1293">
      <c r="A1293" s="2" t="s">
        <v>4411</v>
      </c>
      <c r="B1293" s="2" t="s">
        <v>4412</v>
      </c>
      <c r="C1293" s="2" t="s">
        <v>4195</v>
      </c>
      <c r="D1293" s="14" t="s">
        <v>4196</v>
      </c>
    </row>
    <row r="1294">
      <c r="A1294" s="2" t="s">
        <v>4411</v>
      </c>
      <c r="B1294" s="2" t="s">
        <v>4412</v>
      </c>
      <c r="C1294" s="2" t="s">
        <v>4197</v>
      </c>
      <c r="D1294" s="14" t="s">
        <v>4198</v>
      </c>
    </row>
    <row r="1295">
      <c r="A1295" s="2" t="s">
        <v>4411</v>
      </c>
      <c r="B1295" s="2" t="s">
        <v>4412</v>
      </c>
      <c r="C1295" s="2" t="s">
        <v>4199</v>
      </c>
      <c r="D1295" s="14" t="s">
        <v>4200</v>
      </c>
    </row>
    <row r="1296">
      <c r="A1296" s="2" t="s">
        <v>4411</v>
      </c>
      <c r="B1296" s="2" t="s">
        <v>4412</v>
      </c>
      <c r="C1296" s="2" t="s">
        <v>4201</v>
      </c>
      <c r="D1296" s="14" t="s">
        <v>4202</v>
      </c>
    </row>
    <row r="1297">
      <c r="A1297" s="2" t="s">
        <v>4411</v>
      </c>
      <c r="B1297" s="2" t="s">
        <v>4412</v>
      </c>
      <c r="C1297" s="2" t="s">
        <v>4201</v>
      </c>
      <c r="D1297" s="14" t="s">
        <v>4203</v>
      </c>
    </row>
    <row r="1298">
      <c r="A1298" s="2" t="s">
        <v>4411</v>
      </c>
      <c r="B1298" s="2" t="s">
        <v>4550</v>
      </c>
      <c r="C1298" s="2" t="s">
        <v>4205</v>
      </c>
      <c r="D1298" s="14" t="s">
        <v>4206</v>
      </c>
    </row>
    <row r="1299">
      <c r="A1299" s="2" t="s">
        <v>4411</v>
      </c>
      <c r="B1299" s="2" t="s">
        <v>4550</v>
      </c>
      <c r="C1299" s="2" t="s">
        <v>4207</v>
      </c>
      <c r="D1299" s="14" t="s">
        <v>4208</v>
      </c>
    </row>
    <row r="1300">
      <c r="A1300" s="2" t="s">
        <v>4411</v>
      </c>
      <c r="B1300" s="2" t="s">
        <v>4550</v>
      </c>
      <c r="C1300" s="2" t="s">
        <v>4209</v>
      </c>
      <c r="D1300" s="14" t="s">
        <v>4211</v>
      </c>
    </row>
    <row r="1301">
      <c r="A1301" s="2" t="s">
        <v>4411</v>
      </c>
      <c r="B1301" s="2" t="s">
        <v>4550</v>
      </c>
      <c r="C1301" s="2" t="s">
        <v>4213</v>
      </c>
      <c r="D1301" s="14" t="s">
        <v>4214</v>
      </c>
    </row>
    <row r="1302">
      <c r="A1302" s="2" t="s">
        <v>4411</v>
      </c>
      <c r="B1302" s="2" t="s">
        <v>4550</v>
      </c>
      <c r="C1302" s="2" t="s">
        <v>4216</v>
      </c>
      <c r="D1302" s="14" t="s">
        <v>4218</v>
      </c>
    </row>
    <row r="1303">
      <c r="A1303" s="2" t="s">
        <v>4411</v>
      </c>
      <c r="B1303" s="2" t="s">
        <v>4550</v>
      </c>
      <c r="C1303" s="2" t="s">
        <v>4219</v>
      </c>
      <c r="D1303" s="14" t="s">
        <v>4220</v>
      </c>
    </row>
    <row r="1304">
      <c r="A1304" s="2" t="s">
        <v>4411</v>
      </c>
      <c r="B1304" s="2" t="s">
        <v>4550</v>
      </c>
      <c r="C1304" s="2" t="s">
        <v>4221</v>
      </c>
      <c r="D1304" s="14" t="s">
        <v>4222</v>
      </c>
    </row>
    <row r="1305">
      <c r="A1305" s="2" t="s">
        <v>4411</v>
      </c>
      <c r="B1305" s="2" t="s">
        <v>4550</v>
      </c>
      <c r="C1305" s="2" t="s">
        <v>4223</v>
      </c>
      <c r="D1305" s="14" t="s">
        <v>4224</v>
      </c>
    </row>
    <row r="1306">
      <c r="A1306" s="2" t="s">
        <v>4411</v>
      </c>
      <c r="B1306" s="2" t="s">
        <v>4550</v>
      </c>
      <c r="C1306" s="2" t="s">
        <v>4225</v>
      </c>
      <c r="D1306" s="14" t="s">
        <v>4226</v>
      </c>
    </row>
    <row r="1307">
      <c r="A1307" s="2" t="s">
        <v>4411</v>
      </c>
      <c r="B1307" s="2" t="s">
        <v>4550</v>
      </c>
      <c r="C1307" s="2" t="s">
        <v>4227</v>
      </c>
      <c r="D1307" s="14" t="s">
        <v>4228</v>
      </c>
    </row>
    <row r="1308">
      <c r="A1308" s="2" t="s">
        <v>4411</v>
      </c>
      <c r="B1308" s="2" t="s">
        <v>4550</v>
      </c>
      <c r="C1308" s="2" t="s">
        <v>4229</v>
      </c>
      <c r="D1308" s="14" t="s">
        <v>4230</v>
      </c>
    </row>
    <row r="1309">
      <c r="A1309" s="2" t="s">
        <v>4411</v>
      </c>
      <c r="B1309" s="2" t="s">
        <v>4550</v>
      </c>
      <c r="C1309" s="2" t="s">
        <v>4231</v>
      </c>
      <c r="D1309" s="14" t="s">
        <v>4232</v>
      </c>
    </row>
    <row r="1310">
      <c r="A1310" s="2" t="s">
        <v>4411</v>
      </c>
      <c r="B1310" s="2" t="s">
        <v>4550</v>
      </c>
      <c r="C1310" s="2" t="s">
        <v>4233</v>
      </c>
      <c r="D1310" s="14" t="s">
        <v>4234</v>
      </c>
    </row>
    <row r="1311">
      <c r="A1311" s="2" t="s">
        <v>4411</v>
      </c>
      <c r="B1311" s="2" t="s">
        <v>4570</v>
      </c>
      <c r="C1311" s="2" t="s">
        <v>4236</v>
      </c>
      <c r="D1311" s="14" t="s">
        <v>4237</v>
      </c>
    </row>
    <row r="1312">
      <c r="A1312" s="2" t="s">
        <v>4411</v>
      </c>
      <c r="B1312" s="2" t="s">
        <v>4570</v>
      </c>
      <c r="C1312" s="2" t="s">
        <v>4238</v>
      </c>
      <c r="D1312" s="14" t="s">
        <v>4239</v>
      </c>
    </row>
    <row r="1313">
      <c r="A1313" s="2" t="s">
        <v>4411</v>
      </c>
      <c r="B1313" s="2" t="s">
        <v>4570</v>
      </c>
      <c r="C1313" s="2" t="s">
        <v>4240</v>
      </c>
      <c r="D1313" s="14" t="s">
        <v>4241</v>
      </c>
    </row>
    <row r="1314">
      <c r="A1314" s="2" t="s">
        <v>4411</v>
      </c>
      <c r="B1314" s="2" t="s">
        <v>4577</v>
      </c>
      <c r="C1314" s="2" t="s">
        <v>4243</v>
      </c>
      <c r="D1314" s="14" t="s">
        <v>4244</v>
      </c>
    </row>
    <row r="1315">
      <c r="A1315" s="2" t="s">
        <v>4411</v>
      </c>
      <c r="B1315" s="2" t="s">
        <v>4577</v>
      </c>
      <c r="C1315" s="2" t="s">
        <v>4245</v>
      </c>
      <c r="D1315" s="14" t="s">
        <v>4246</v>
      </c>
    </row>
    <row r="1316">
      <c r="A1316" s="2" t="s">
        <v>4411</v>
      </c>
      <c r="B1316" s="2" t="s">
        <v>4577</v>
      </c>
      <c r="C1316" s="2" t="s">
        <v>4247</v>
      </c>
      <c r="D1316" s="14" t="s">
        <v>4248</v>
      </c>
    </row>
    <row r="1317">
      <c r="A1317" s="2" t="s">
        <v>4411</v>
      </c>
      <c r="B1317" s="2" t="s">
        <v>4581</v>
      </c>
      <c r="C1317" s="2" t="s">
        <v>4249</v>
      </c>
      <c r="D1317" s="14" t="s">
        <v>4250</v>
      </c>
    </row>
    <row r="1318">
      <c r="A1318" s="2" t="s">
        <v>4411</v>
      </c>
      <c r="B1318" s="2" t="s">
        <v>4581</v>
      </c>
      <c r="C1318" s="2" t="s">
        <v>4251</v>
      </c>
      <c r="D1318" s="14" t="s">
        <v>4252</v>
      </c>
    </row>
    <row r="1319">
      <c r="A1319" s="2" t="s">
        <v>4411</v>
      </c>
      <c r="B1319" s="2" t="s">
        <v>4581</v>
      </c>
      <c r="C1319" s="2" t="s">
        <v>4253</v>
      </c>
      <c r="D1319" s="14" t="s">
        <v>4254</v>
      </c>
    </row>
    <row r="1320">
      <c r="A1320" s="2" t="s">
        <v>4411</v>
      </c>
      <c r="B1320" s="2" t="s">
        <v>4581</v>
      </c>
      <c r="C1320" s="2" t="s">
        <v>4255</v>
      </c>
      <c r="D1320" s="14" t="s">
        <v>4256</v>
      </c>
    </row>
    <row r="1321">
      <c r="A1321" s="2" t="s">
        <v>4411</v>
      </c>
      <c r="B1321" s="2" t="s">
        <v>4581</v>
      </c>
      <c r="C1321" s="2" t="s">
        <v>4257</v>
      </c>
      <c r="D1321" s="14" t="s">
        <v>4258</v>
      </c>
    </row>
    <row r="1322">
      <c r="A1322" s="2" t="s">
        <v>4411</v>
      </c>
      <c r="B1322" s="2" t="s">
        <v>4581</v>
      </c>
      <c r="C1322" s="2" t="s">
        <v>4260</v>
      </c>
      <c r="D1322" s="14" t="s">
        <v>4261</v>
      </c>
    </row>
    <row r="1323">
      <c r="A1323" s="2" t="s">
        <v>4411</v>
      </c>
      <c r="B1323" s="2" t="s">
        <v>4581</v>
      </c>
      <c r="C1323" s="2" t="s">
        <v>4266</v>
      </c>
      <c r="D1323" s="14" t="s">
        <v>4267</v>
      </c>
    </row>
    <row r="1324">
      <c r="A1324" s="2" t="s">
        <v>4411</v>
      </c>
      <c r="B1324" s="2" t="s">
        <v>4581</v>
      </c>
      <c r="C1324" s="2" t="s">
        <v>4270</v>
      </c>
      <c r="D1324" s="14" t="s">
        <v>4271</v>
      </c>
    </row>
    <row r="1325">
      <c r="A1325" s="2" t="s">
        <v>4411</v>
      </c>
      <c r="B1325" s="2" t="s">
        <v>4581</v>
      </c>
      <c r="C1325" s="2" t="s">
        <v>4274</v>
      </c>
      <c r="D1325" s="14" t="s">
        <v>4275</v>
      </c>
    </row>
    <row r="1326">
      <c r="A1326" s="2" t="s">
        <v>4411</v>
      </c>
      <c r="B1326" s="2" t="s">
        <v>4581</v>
      </c>
      <c r="C1326" s="2" t="s">
        <v>4278</v>
      </c>
      <c r="D1326" s="14" t="s">
        <v>4280</v>
      </c>
    </row>
    <row r="1327">
      <c r="A1327" s="2" t="s">
        <v>4411</v>
      </c>
      <c r="B1327" s="2" t="s">
        <v>4598</v>
      </c>
      <c r="C1327" s="2" t="s">
        <v>4283</v>
      </c>
      <c r="D1327" s="14" t="s">
        <v>4284</v>
      </c>
    </row>
    <row r="1328">
      <c r="A1328" s="2" t="s">
        <v>4411</v>
      </c>
      <c r="B1328" s="2" t="s">
        <v>4598</v>
      </c>
      <c r="C1328" s="2" t="s">
        <v>4287</v>
      </c>
      <c r="D1328" s="14" t="s">
        <v>4288</v>
      </c>
    </row>
    <row r="1329">
      <c r="A1329" s="2" t="s">
        <v>4601</v>
      </c>
      <c r="B1329" s="2" t="s">
        <v>4602</v>
      </c>
      <c r="C1329" s="2" t="s">
        <v>4603</v>
      </c>
      <c r="D1329" s="14" t="s">
        <v>4293</v>
      </c>
    </row>
    <row r="1330">
      <c r="A1330" s="2" t="s">
        <v>4601</v>
      </c>
      <c r="B1330" s="2" t="s">
        <v>4602</v>
      </c>
      <c r="C1330" s="2" t="s">
        <v>4605</v>
      </c>
      <c r="D1330" s="14" t="s">
        <v>4296</v>
      </c>
    </row>
    <row r="1331">
      <c r="A1331" s="2" t="s">
        <v>4601</v>
      </c>
      <c r="B1331" s="2" t="s">
        <v>4602</v>
      </c>
      <c r="C1331" s="2" t="s">
        <v>4299</v>
      </c>
      <c r="D1331" s="14" t="s">
        <v>4300</v>
      </c>
    </row>
    <row r="1332">
      <c r="A1332" s="2" t="s">
        <v>4601</v>
      </c>
      <c r="B1332" s="2" t="s">
        <v>4602</v>
      </c>
      <c r="C1332" s="2" t="s">
        <v>4303</v>
      </c>
      <c r="D1332" s="14" t="s">
        <v>4304</v>
      </c>
    </row>
    <row r="1333">
      <c r="A1333" s="2" t="s">
        <v>4601</v>
      </c>
      <c r="B1333" s="2" t="s">
        <v>4602</v>
      </c>
      <c r="C1333" s="2" t="s">
        <v>4307</v>
      </c>
      <c r="D1333" s="14" t="s">
        <v>4308</v>
      </c>
    </row>
    <row r="1334">
      <c r="A1334" s="2" t="s">
        <v>4601</v>
      </c>
      <c r="B1334" s="2" t="s">
        <v>4602</v>
      </c>
      <c r="C1334" s="2" t="s">
        <v>4309</v>
      </c>
      <c r="D1334" s="14" t="s">
        <v>4310</v>
      </c>
    </row>
    <row r="1335">
      <c r="A1335" s="2" t="s">
        <v>4601</v>
      </c>
      <c r="B1335" s="2" t="s">
        <v>4602</v>
      </c>
      <c r="C1335" s="2" t="s">
        <v>4311</v>
      </c>
      <c r="D1335" s="14" t="s">
        <v>4312</v>
      </c>
    </row>
    <row r="1336">
      <c r="A1336" s="2" t="s">
        <v>4601</v>
      </c>
      <c r="B1336" s="2" t="s">
        <v>4602</v>
      </c>
      <c r="C1336" s="2" t="s">
        <v>4313</v>
      </c>
      <c r="D1336" s="14" t="s">
        <v>4314</v>
      </c>
    </row>
    <row r="1337">
      <c r="A1337" s="2" t="s">
        <v>4601</v>
      </c>
      <c r="B1337" s="2" t="s">
        <v>4602</v>
      </c>
      <c r="C1337" s="2" t="s">
        <v>4315</v>
      </c>
      <c r="D1337" s="14" t="s">
        <v>4316</v>
      </c>
    </row>
    <row r="1338">
      <c r="A1338" s="2" t="s">
        <v>4601</v>
      </c>
      <c r="B1338" s="2" t="s">
        <v>4602</v>
      </c>
      <c r="C1338" s="2" t="s">
        <v>4317</v>
      </c>
      <c r="D1338" s="14" t="s">
        <v>4318</v>
      </c>
    </row>
    <row r="1339">
      <c r="A1339" s="2" t="s">
        <v>4601</v>
      </c>
      <c r="B1339" s="2" t="s">
        <v>4602</v>
      </c>
      <c r="C1339" s="2" t="s">
        <v>4319</v>
      </c>
      <c r="D1339" s="14" t="s">
        <v>4320</v>
      </c>
    </row>
    <row r="1340">
      <c r="A1340" s="2" t="s">
        <v>4601</v>
      </c>
      <c r="B1340" s="2" t="s">
        <v>4602</v>
      </c>
      <c r="C1340" s="2" t="s">
        <v>4321</v>
      </c>
      <c r="D1340" s="14" t="s">
        <v>4322</v>
      </c>
    </row>
    <row r="1341">
      <c r="A1341" s="2" t="s">
        <v>4601</v>
      </c>
      <c r="B1341" s="2" t="s">
        <v>4602</v>
      </c>
      <c r="C1341" s="2" t="s">
        <v>4323</v>
      </c>
      <c r="D1341" s="14" t="s">
        <v>4324</v>
      </c>
    </row>
    <row r="1342">
      <c r="A1342" s="2" t="s">
        <v>4601</v>
      </c>
      <c r="B1342" s="2" t="s">
        <v>4602</v>
      </c>
      <c r="C1342" s="2" t="s">
        <v>4625</v>
      </c>
      <c r="D1342" s="14" t="s">
        <v>4325</v>
      </c>
    </row>
    <row r="1343">
      <c r="A1343" s="2" t="s">
        <v>4601</v>
      </c>
      <c r="B1343" s="2" t="s">
        <v>4602</v>
      </c>
      <c r="C1343" s="2" t="s">
        <v>4627</v>
      </c>
      <c r="D1343" s="14" t="s">
        <v>4326</v>
      </c>
    </row>
    <row r="1344">
      <c r="A1344" s="2" t="s">
        <v>4601</v>
      </c>
      <c r="B1344" s="2" t="s">
        <v>4602</v>
      </c>
      <c r="C1344" s="2" t="s">
        <v>4629</v>
      </c>
      <c r="D1344" s="14" t="s">
        <v>4327</v>
      </c>
    </row>
    <row r="1345">
      <c r="A1345" s="2" t="s">
        <v>4601</v>
      </c>
      <c r="B1345" s="2" t="s">
        <v>4602</v>
      </c>
      <c r="C1345" s="2" t="s">
        <v>4328</v>
      </c>
      <c r="D1345" s="14" t="s">
        <v>4329</v>
      </c>
    </row>
    <row r="1346">
      <c r="A1346" s="2" t="s">
        <v>4601</v>
      </c>
      <c r="B1346" s="2" t="s">
        <v>4602</v>
      </c>
      <c r="C1346" s="2" t="s">
        <v>4330</v>
      </c>
      <c r="D1346" s="14" t="s">
        <v>4331</v>
      </c>
    </row>
    <row r="1347">
      <c r="A1347" s="2" t="s">
        <v>4601</v>
      </c>
      <c r="B1347" s="2" t="s">
        <v>4602</v>
      </c>
      <c r="C1347" s="2" t="s">
        <v>4332</v>
      </c>
      <c r="D1347" s="14" t="s">
        <v>4333</v>
      </c>
    </row>
    <row r="1348">
      <c r="A1348" s="2" t="s">
        <v>4601</v>
      </c>
      <c r="B1348" s="2" t="s">
        <v>4602</v>
      </c>
      <c r="C1348" s="2" t="s">
        <v>4636</v>
      </c>
      <c r="D1348" s="14" t="s">
        <v>4334</v>
      </c>
    </row>
    <row r="1349">
      <c r="A1349" s="2" t="s">
        <v>4601</v>
      </c>
      <c r="B1349" s="2" t="s">
        <v>4602</v>
      </c>
      <c r="C1349" s="2" t="s">
        <v>4335</v>
      </c>
      <c r="D1349" s="14" t="s">
        <v>4336</v>
      </c>
    </row>
    <row r="1350">
      <c r="A1350" s="2" t="s">
        <v>4601</v>
      </c>
      <c r="B1350" s="2" t="s">
        <v>4602</v>
      </c>
      <c r="C1350" s="2" t="s">
        <v>4640</v>
      </c>
      <c r="D1350" s="14" t="s">
        <v>4338</v>
      </c>
    </row>
    <row r="1351">
      <c r="A1351" s="2" t="s">
        <v>4601</v>
      </c>
      <c r="B1351" s="2" t="s">
        <v>4602</v>
      </c>
      <c r="C1351" s="2" t="s">
        <v>4339</v>
      </c>
      <c r="D1351" s="14" t="s">
        <v>4340</v>
      </c>
    </row>
    <row r="1352">
      <c r="A1352" s="2" t="s">
        <v>4601</v>
      </c>
      <c r="B1352" s="2" t="s">
        <v>4602</v>
      </c>
      <c r="C1352" s="2" t="s">
        <v>4341</v>
      </c>
      <c r="D1352" s="14" t="s">
        <v>4342</v>
      </c>
    </row>
    <row r="1353">
      <c r="A1353" s="2" t="s">
        <v>4601</v>
      </c>
      <c r="B1353" s="2" t="s">
        <v>4602</v>
      </c>
      <c r="C1353" s="2" t="s">
        <v>4343</v>
      </c>
      <c r="D1353" s="14" t="s">
        <v>4344</v>
      </c>
    </row>
    <row r="1354">
      <c r="A1354" s="2" t="s">
        <v>4601</v>
      </c>
      <c r="B1354" s="2" t="s">
        <v>4602</v>
      </c>
      <c r="C1354" s="2" t="s">
        <v>4345</v>
      </c>
      <c r="D1354" s="14" t="s">
        <v>4346</v>
      </c>
    </row>
    <row r="1355">
      <c r="A1355" s="2" t="s">
        <v>4601</v>
      </c>
      <c r="B1355" s="2" t="s">
        <v>4602</v>
      </c>
      <c r="C1355" s="2" t="s">
        <v>4347</v>
      </c>
      <c r="D1355" s="14" t="s">
        <v>4348</v>
      </c>
    </row>
    <row r="1356">
      <c r="A1356" s="2" t="s">
        <v>4601</v>
      </c>
      <c r="B1356" s="2" t="s">
        <v>4602</v>
      </c>
      <c r="C1356" s="2" t="s">
        <v>4349</v>
      </c>
      <c r="D1356" s="14" t="s">
        <v>4350</v>
      </c>
    </row>
    <row r="1357">
      <c r="A1357" s="2" t="s">
        <v>4601</v>
      </c>
      <c r="B1357" s="2" t="s">
        <v>4656</v>
      </c>
      <c r="C1357" s="2" t="s">
        <v>4351</v>
      </c>
      <c r="D1357" s="14" t="s">
        <v>4352</v>
      </c>
    </row>
    <row r="1358">
      <c r="A1358" s="2" t="s">
        <v>4601</v>
      </c>
      <c r="B1358" s="2" t="s">
        <v>4656</v>
      </c>
      <c r="C1358" s="2" t="s">
        <v>4353</v>
      </c>
      <c r="D1358" s="14" t="s">
        <v>4354</v>
      </c>
    </row>
    <row r="1359">
      <c r="A1359" s="2" t="s">
        <v>4601</v>
      </c>
      <c r="B1359" s="2" t="s">
        <v>4656</v>
      </c>
      <c r="C1359" s="2" t="s">
        <v>4355</v>
      </c>
      <c r="D1359" s="14" t="s">
        <v>4356</v>
      </c>
    </row>
    <row r="1360">
      <c r="A1360" s="2" t="s">
        <v>4601</v>
      </c>
      <c r="B1360" s="2" t="s">
        <v>4656</v>
      </c>
      <c r="C1360" s="2" t="s">
        <v>4357</v>
      </c>
      <c r="D1360" s="14" t="s">
        <v>4358</v>
      </c>
    </row>
    <row r="1361">
      <c r="A1361" s="2" t="s">
        <v>4601</v>
      </c>
      <c r="B1361" s="2" t="s">
        <v>4656</v>
      </c>
      <c r="C1361" s="2" t="s">
        <v>4359</v>
      </c>
      <c r="D1361" s="14" t="s">
        <v>4360</v>
      </c>
    </row>
    <row r="1362">
      <c r="A1362" s="2" t="s">
        <v>4601</v>
      </c>
      <c r="B1362" s="2" t="s">
        <v>4656</v>
      </c>
      <c r="C1362" s="2" t="s">
        <v>4361</v>
      </c>
      <c r="D1362" s="14" t="s">
        <v>4362</v>
      </c>
    </row>
    <row r="1363">
      <c r="A1363" s="2" t="s">
        <v>4601</v>
      </c>
      <c r="B1363" s="2" t="s">
        <v>4656</v>
      </c>
      <c r="C1363" s="2" t="s">
        <v>4363</v>
      </c>
      <c r="D1363" s="14" t="s">
        <v>4364</v>
      </c>
    </row>
    <row r="1364">
      <c r="A1364" s="2" t="s">
        <v>4601</v>
      </c>
      <c r="B1364" s="2" t="s">
        <v>4656</v>
      </c>
      <c r="C1364" s="2" t="s">
        <v>4365</v>
      </c>
      <c r="D1364" s="14" t="s">
        <v>4366</v>
      </c>
    </row>
    <row r="1365">
      <c r="A1365" s="2" t="s">
        <v>4601</v>
      </c>
      <c r="B1365" s="2" t="s">
        <v>4656</v>
      </c>
      <c r="C1365" s="2" t="s">
        <v>4367</v>
      </c>
      <c r="D1365" s="14" t="s">
        <v>4368</v>
      </c>
    </row>
    <row r="1366">
      <c r="A1366" s="2" t="s">
        <v>4601</v>
      </c>
      <c r="B1366" s="2" t="s">
        <v>4656</v>
      </c>
      <c r="C1366" s="2" t="s">
        <v>4369</v>
      </c>
      <c r="D1366" s="14" t="s">
        <v>4370</v>
      </c>
    </row>
    <row r="1367">
      <c r="A1367" s="2" t="s">
        <v>4601</v>
      </c>
      <c r="B1367" s="2" t="s">
        <v>4656</v>
      </c>
      <c r="C1367" s="2" t="s">
        <v>4371</v>
      </c>
      <c r="D1367" s="14" t="s">
        <v>4372</v>
      </c>
    </row>
    <row r="1368">
      <c r="A1368" s="2" t="s">
        <v>4601</v>
      </c>
      <c r="B1368" s="2" t="s">
        <v>4656</v>
      </c>
      <c r="C1368" s="2" t="s">
        <v>4373</v>
      </c>
      <c r="D1368" s="14" t="s">
        <v>4374</v>
      </c>
    </row>
    <row r="1369">
      <c r="A1369" s="2" t="s">
        <v>4601</v>
      </c>
      <c r="B1369" s="2" t="s">
        <v>4656</v>
      </c>
      <c r="C1369" s="2" t="s">
        <v>4375</v>
      </c>
      <c r="D1369" s="14" t="s">
        <v>4376</v>
      </c>
    </row>
    <row r="1370">
      <c r="A1370" s="2" t="s">
        <v>4601</v>
      </c>
      <c r="B1370" s="2" t="s">
        <v>4656</v>
      </c>
      <c r="C1370" s="2" t="s">
        <v>4378</v>
      </c>
      <c r="D1370" s="14" t="s">
        <v>4379</v>
      </c>
    </row>
    <row r="1371">
      <c r="A1371" s="2" t="s">
        <v>4601</v>
      </c>
      <c r="B1371" s="2" t="s">
        <v>4656</v>
      </c>
      <c r="C1371" s="2" t="s">
        <v>4380</v>
      </c>
      <c r="D1371" s="14" t="s">
        <v>4381</v>
      </c>
    </row>
    <row r="1372">
      <c r="A1372" s="2" t="s">
        <v>4601</v>
      </c>
      <c r="B1372" s="2" t="s">
        <v>4656</v>
      </c>
      <c r="C1372" s="2" t="s">
        <v>4382</v>
      </c>
      <c r="D1372" s="14" t="s">
        <v>4383</v>
      </c>
    </row>
    <row r="1373">
      <c r="A1373" s="2" t="s">
        <v>4601</v>
      </c>
      <c r="B1373" s="2" t="s">
        <v>4656</v>
      </c>
      <c r="C1373" s="2" t="s">
        <v>4384</v>
      </c>
      <c r="D1373" s="14" t="s">
        <v>4385</v>
      </c>
    </row>
    <row r="1374">
      <c r="A1374" s="2" t="s">
        <v>4601</v>
      </c>
      <c r="B1374" s="2" t="s">
        <v>4656</v>
      </c>
      <c r="C1374" s="2" t="s">
        <v>4386</v>
      </c>
      <c r="D1374" s="14" t="s">
        <v>4387</v>
      </c>
    </row>
    <row r="1375">
      <c r="A1375" s="2" t="s">
        <v>4601</v>
      </c>
      <c r="B1375" s="2" t="s">
        <v>4656</v>
      </c>
      <c r="C1375" s="2" t="s">
        <v>4388</v>
      </c>
      <c r="D1375" s="14" t="s">
        <v>4389</v>
      </c>
    </row>
    <row r="1376">
      <c r="A1376" s="2" t="s">
        <v>4601</v>
      </c>
      <c r="B1376" s="2" t="s">
        <v>4656</v>
      </c>
      <c r="C1376" s="2" t="s">
        <v>4390</v>
      </c>
      <c r="D1376" s="14" t="s">
        <v>4391</v>
      </c>
    </row>
    <row r="1377">
      <c r="A1377" s="2" t="s">
        <v>4601</v>
      </c>
      <c r="B1377" s="2" t="s">
        <v>4656</v>
      </c>
      <c r="C1377" s="2" t="s">
        <v>4392</v>
      </c>
      <c r="D1377" s="14" t="s">
        <v>4393</v>
      </c>
    </row>
    <row r="1378">
      <c r="A1378" s="2" t="s">
        <v>4601</v>
      </c>
      <c r="B1378" s="2" t="s">
        <v>4656</v>
      </c>
      <c r="C1378" s="2" t="s">
        <v>4394</v>
      </c>
      <c r="D1378" s="14" t="s">
        <v>4395</v>
      </c>
    </row>
    <row r="1379">
      <c r="A1379" s="2" t="s">
        <v>4601</v>
      </c>
      <c r="B1379" s="2" t="s">
        <v>4656</v>
      </c>
      <c r="C1379" s="2" t="s">
        <v>4396</v>
      </c>
      <c r="D1379" s="14" t="s">
        <v>4397</v>
      </c>
    </row>
    <row r="1380">
      <c r="A1380" s="2" t="s">
        <v>4601</v>
      </c>
      <c r="B1380" s="2" t="s">
        <v>4656</v>
      </c>
      <c r="C1380" s="2" t="s">
        <v>4398</v>
      </c>
      <c r="D1380" s="14" t="s">
        <v>4399</v>
      </c>
    </row>
    <row r="1381">
      <c r="A1381" s="2" t="s">
        <v>4601</v>
      </c>
      <c r="B1381" s="2" t="s">
        <v>4656</v>
      </c>
      <c r="C1381" s="2" t="s">
        <v>4400</v>
      </c>
      <c r="D1381" s="14" t="s">
        <v>4401</v>
      </c>
    </row>
    <row r="1382">
      <c r="A1382" s="2" t="s">
        <v>4601</v>
      </c>
      <c r="B1382" s="2" t="s">
        <v>4656</v>
      </c>
      <c r="C1382" s="2" t="s">
        <v>4404</v>
      </c>
      <c r="D1382" s="14" t="s">
        <v>4405</v>
      </c>
    </row>
    <row r="1383">
      <c r="A1383" s="2" t="s">
        <v>4601</v>
      </c>
      <c r="B1383" s="2" t="s">
        <v>4656</v>
      </c>
      <c r="C1383" s="2" t="s">
        <v>4407</v>
      </c>
      <c r="D1383" s="14" t="s">
        <v>4408</v>
      </c>
    </row>
    <row r="1384">
      <c r="A1384" s="2" t="s">
        <v>4601</v>
      </c>
      <c r="B1384" s="2" t="s">
        <v>4656</v>
      </c>
      <c r="C1384" s="2" t="s">
        <v>4409</v>
      </c>
      <c r="D1384" s="14" t="s">
        <v>4410</v>
      </c>
    </row>
    <row r="1385">
      <c r="A1385" s="2" t="s">
        <v>4601</v>
      </c>
      <c r="B1385" s="2" t="s">
        <v>4709</v>
      </c>
      <c r="C1385" s="2" t="s">
        <v>4710</v>
      </c>
      <c r="D1385" s="14" t="s">
        <v>4414</v>
      </c>
    </row>
    <row r="1386">
      <c r="A1386" s="2" t="s">
        <v>4601</v>
      </c>
      <c r="B1386" s="2" t="s">
        <v>4709</v>
      </c>
      <c r="C1386" s="2" t="s">
        <v>4713</v>
      </c>
      <c r="D1386" s="14" t="s">
        <v>4415</v>
      </c>
    </row>
    <row r="1387">
      <c r="A1387" s="2" t="s">
        <v>4601</v>
      </c>
      <c r="B1387" s="2" t="s">
        <v>4709</v>
      </c>
      <c r="C1387" s="2" t="s">
        <v>4718</v>
      </c>
      <c r="D1387" s="14" t="s">
        <v>4417</v>
      </c>
    </row>
    <row r="1388">
      <c r="A1388" s="2" t="s">
        <v>4601</v>
      </c>
      <c r="B1388" s="2" t="s">
        <v>4709</v>
      </c>
      <c r="C1388" s="2" t="s">
        <v>4721</v>
      </c>
      <c r="D1388" s="14" t="s">
        <v>4419</v>
      </c>
    </row>
    <row r="1389">
      <c r="A1389" s="2" t="s">
        <v>4601</v>
      </c>
      <c r="B1389" s="2" t="s">
        <v>4709</v>
      </c>
      <c r="C1389" s="2" t="s">
        <v>4724</v>
      </c>
      <c r="D1389" s="14" t="s">
        <v>4421</v>
      </c>
    </row>
    <row r="1390">
      <c r="A1390" s="2" t="s">
        <v>4601</v>
      </c>
      <c r="B1390" s="2" t="s">
        <v>4709</v>
      </c>
      <c r="C1390" s="2" t="s">
        <v>4726</v>
      </c>
      <c r="D1390" s="14" t="s">
        <v>4422</v>
      </c>
    </row>
    <row r="1391">
      <c r="A1391" s="2" t="s">
        <v>4601</v>
      </c>
      <c r="B1391" s="2" t="s">
        <v>4709</v>
      </c>
      <c r="C1391" s="2" t="s">
        <v>4729</v>
      </c>
      <c r="D1391" s="14" t="s">
        <v>4423</v>
      </c>
    </row>
    <row r="1392">
      <c r="A1392" s="2" t="s">
        <v>4601</v>
      </c>
      <c r="B1392" s="2" t="s">
        <v>4709</v>
      </c>
      <c r="C1392" s="2" t="s">
        <v>4733</v>
      </c>
      <c r="D1392" s="14" t="s">
        <v>4424</v>
      </c>
    </row>
    <row r="1393">
      <c r="A1393" s="2" t="s">
        <v>4601</v>
      </c>
      <c r="B1393" s="2" t="s">
        <v>4735</v>
      </c>
      <c r="C1393" s="2" t="s">
        <v>4476</v>
      </c>
      <c r="D1393" s="14" t="s">
        <v>4477</v>
      </c>
    </row>
    <row r="1394">
      <c r="A1394" s="2" t="s">
        <v>4601</v>
      </c>
      <c r="B1394" s="2" t="s">
        <v>4735</v>
      </c>
      <c r="C1394" s="2" t="s">
        <v>4478</v>
      </c>
      <c r="D1394" s="14" t="s">
        <v>4479</v>
      </c>
    </row>
    <row r="1395">
      <c r="A1395" s="2" t="s">
        <v>4601</v>
      </c>
      <c r="B1395" s="2" t="s">
        <v>4735</v>
      </c>
      <c r="C1395" s="2" t="s">
        <v>4480</v>
      </c>
      <c r="D1395" s="14" t="s">
        <v>4481</v>
      </c>
    </row>
    <row r="1396">
      <c r="A1396" s="2" t="s">
        <v>4601</v>
      </c>
      <c r="B1396" s="2" t="s">
        <v>4735</v>
      </c>
      <c r="C1396" s="2" t="s">
        <v>4482</v>
      </c>
      <c r="D1396" s="14" t="s">
        <v>4483</v>
      </c>
    </row>
    <row r="1397">
      <c r="A1397" s="2" t="s">
        <v>4601</v>
      </c>
      <c r="B1397" s="2" t="s">
        <v>4402</v>
      </c>
      <c r="C1397" s="2" t="s">
        <v>4484</v>
      </c>
      <c r="D1397" s="14" t="s">
        <v>4485</v>
      </c>
    </row>
    <row r="1398">
      <c r="A1398" s="2" t="s">
        <v>4601</v>
      </c>
      <c r="B1398" s="2" t="s">
        <v>4402</v>
      </c>
      <c r="C1398" s="2" t="s">
        <v>4486</v>
      </c>
      <c r="D1398" s="14" t="s">
        <v>4487</v>
      </c>
    </row>
    <row r="1399">
      <c r="A1399" s="2" t="s">
        <v>4601</v>
      </c>
      <c r="B1399" s="2" t="s">
        <v>4402</v>
      </c>
      <c r="C1399" s="2" t="s">
        <v>4748</v>
      </c>
      <c r="D1399" s="14" t="s">
        <v>4488</v>
      </c>
    </row>
    <row r="1400">
      <c r="A1400" s="2" t="s">
        <v>4601</v>
      </c>
      <c r="B1400" s="2" t="s">
        <v>4402</v>
      </c>
      <c r="C1400" s="2" t="s">
        <v>4489</v>
      </c>
      <c r="D1400" s="14" t="s">
        <v>4490</v>
      </c>
    </row>
    <row r="1401">
      <c r="A1401" s="2" t="s">
        <v>4601</v>
      </c>
      <c r="B1401" s="2" t="s">
        <v>4402</v>
      </c>
      <c r="C1401" s="2" t="s">
        <v>4491</v>
      </c>
      <c r="D1401" s="14" t="s">
        <v>4492</v>
      </c>
    </row>
    <row r="1402">
      <c r="A1402" s="2" t="s">
        <v>4601</v>
      </c>
      <c r="B1402" s="2" t="s">
        <v>4402</v>
      </c>
      <c r="C1402" s="2" t="s">
        <v>4493</v>
      </c>
      <c r="D1402" s="14" t="s">
        <v>4494</v>
      </c>
    </row>
    <row r="1403">
      <c r="A1403" s="2" t="s">
        <v>4601</v>
      </c>
      <c r="B1403" s="2" t="s">
        <v>4402</v>
      </c>
      <c r="C1403" s="2" t="s">
        <v>4495</v>
      </c>
      <c r="D1403" s="14" t="s">
        <v>4496</v>
      </c>
    </row>
    <row r="1404">
      <c r="A1404" s="2" t="s">
        <v>4601</v>
      </c>
      <c r="B1404" s="2" t="s">
        <v>4402</v>
      </c>
      <c r="C1404" s="2" t="s">
        <v>4497</v>
      </c>
      <c r="D1404" s="14" t="s">
        <v>4498</v>
      </c>
    </row>
    <row r="1405">
      <c r="A1405" s="2" t="s">
        <v>4601</v>
      </c>
      <c r="B1405" s="2" t="s">
        <v>4402</v>
      </c>
      <c r="C1405" s="2" t="s">
        <v>4499</v>
      </c>
      <c r="D1405" s="14" t="s">
        <v>4500</v>
      </c>
    </row>
    <row r="1406">
      <c r="A1406" s="2" t="s">
        <v>4601</v>
      </c>
      <c r="B1406" s="2" t="s">
        <v>4402</v>
      </c>
      <c r="C1406" s="2" t="s">
        <v>4501</v>
      </c>
      <c r="D1406" s="14" t="s">
        <v>4502</v>
      </c>
    </row>
    <row r="1407">
      <c r="A1407" s="2" t="s">
        <v>4601</v>
      </c>
      <c r="B1407" s="2" t="s">
        <v>4402</v>
      </c>
      <c r="C1407" s="2" t="s">
        <v>4503</v>
      </c>
      <c r="D1407" s="14" t="s">
        <v>4504</v>
      </c>
    </row>
    <row r="1408">
      <c r="A1408" s="2" t="s">
        <v>4764</v>
      </c>
      <c r="B1408" s="2" t="s">
        <v>4766</v>
      </c>
      <c r="C1408" s="2" t="s">
        <v>4508</v>
      </c>
      <c r="D1408" s="14" t="s">
        <v>4509</v>
      </c>
    </row>
    <row r="1409">
      <c r="A1409" s="2" t="s">
        <v>4764</v>
      </c>
      <c r="B1409" s="2" t="s">
        <v>4766</v>
      </c>
      <c r="C1409" s="2" t="s">
        <v>4510</v>
      </c>
      <c r="D1409" s="14" t="s">
        <v>4511</v>
      </c>
    </row>
    <row r="1410">
      <c r="A1410" s="2" t="s">
        <v>4764</v>
      </c>
      <c r="B1410" s="2" t="s">
        <v>4766</v>
      </c>
      <c r="C1410" s="2" t="s">
        <v>4512</v>
      </c>
      <c r="D1410" s="14" t="s">
        <v>4513</v>
      </c>
    </row>
    <row r="1411">
      <c r="A1411" s="2" t="s">
        <v>4764</v>
      </c>
      <c r="B1411" s="2" t="s">
        <v>4766</v>
      </c>
      <c r="C1411" s="2" t="s">
        <v>4514</v>
      </c>
      <c r="D1411" s="14" t="s">
        <v>4515</v>
      </c>
    </row>
    <row r="1412">
      <c r="A1412" s="2" t="s">
        <v>4764</v>
      </c>
      <c r="B1412" s="2" t="s">
        <v>4766</v>
      </c>
      <c r="C1412" s="2" t="s">
        <v>4516</v>
      </c>
      <c r="D1412" s="14" t="s">
        <v>4517</v>
      </c>
    </row>
    <row r="1413">
      <c r="A1413" s="2" t="s">
        <v>4764</v>
      </c>
      <c r="B1413" s="2" t="s">
        <v>4766</v>
      </c>
      <c r="C1413" s="2" t="s">
        <v>4518</v>
      </c>
      <c r="D1413" s="14" t="s">
        <v>4519</v>
      </c>
    </row>
    <row r="1414">
      <c r="A1414" s="2" t="s">
        <v>4764</v>
      </c>
      <c r="B1414" s="2" t="s">
        <v>4766</v>
      </c>
      <c r="C1414" s="2" t="s">
        <v>4520</v>
      </c>
      <c r="D1414" s="14" t="s">
        <v>4521</v>
      </c>
    </row>
    <row r="1415">
      <c r="A1415" s="2" t="s">
        <v>4764</v>
      </c>
      <c r="B1415" s="2" t="s">
        <v>4766</v>
      </c>
      <c r="C1415" s="2" t="s">
        <v>4522</v>
      </c>
      <c r="D1415" s="14" t="s">
        <v>4523</v>
      </c>
    </row>
    <row r="1416">
      <c r="A1416" s="2" t="s">
        <v>4764</v>
      </c>
      <c r="B1416" s="2" t="s">
        <v>4766</v>
      </c>
      <c r="C1416" s="2" t="s">
        <v>4524</v>
      </c>
      <c r="D1416" s="14" t="s">
        <v>4525</v>
      </c>
    </row>
    <row r="1417">
      <c r="A1417" s="2" t="s">
        <v>4764</v>
      </c>
      <c r="B1417" s="2" t="s">
        <v>4766</v>
      </c>
      <c r="C1417" s="2" t="s">
        <v>1288</v>
      </c>
      <c r="D1417" s="14" t="s">
        <v>4526</v>
      </c>
    </row>
    <row r="1418">
      <c r="A1418" s="2" t="s">
        <v>4764</v>
      </c>
      <c r="B1418" s="2" t="s">
        <v>4766</v>
      </c>
      <c r="C1418" s="2" t="s">
        <v>4527</v>
      </c>
      <c r="D1418" s="14" t="s">
        <v>4528</v>
      </c>
    </row>
    <row r="1419">
      <c r="A1419" s="2" t="s">
        <v>4764</v>
      </c>
      <c r="B1419" s="2" t="s">
        <v>4766</v>
      </c>
      <c r="C1419" s="2" t="s">
        <v>4529</v>
      </c>
      <c r="D1419" s="14" t="s">
        <v>4530</v>
      </c>
    </row>
    <row r="1420">
      <c r="A1420" s="2" t="s">
        <v>4764</v>
      </c>
      <c r="B1420" s="2" t="s">
        <v>4766</v>
      </c>
      <c r="C1420" s="2" t="s">
        <v>4531</v>
      </c>
      <c r="D1420" s="14" t="s">
        <v>4532</v>
      </c>
    </row>
    <row r="1421">
      <c r="A1421" s="2" t="s">
        <v>4764</v>
      </c>
      <c r="B1421" s="2" t="s">
        <v>4766</v>
      </c>
      <c r="C1421" s="2" t="s">
        <v>4533</v>
      </c>
      <c r="D1421" s="14" t="s">
        <v>4534</v>
      </c>
    </row>
    <row r="1422">
      <c r="A1422" s="2" t="s">
        <v>4764</v>
      </c>
      <c r="B1422" s="2" t="s">
        <v>4766</v>
      </c>
      <c r="C1422" s="2" t="s">
        <v>4535</v>
      </c>
      <c r="D1422" s="14" t="s">
        <v>4536</v>
      </c>
    </row>
    <row r="1423">
      <c r="A1423" s="2" t="s">
        <v>4764</v>
      </c>
      <c r="B1423" s="2" t="s">
        <v>4766</v>
      </c>
      <c r="C1423" s="2" t="s">
        <v>4537</v>
      </c>
      <c r="D1423" s="14" t="s">
        <v>4538</v>
      </c>
    </row>
    <row r="1424">
      <c r="A1424" s="2" t="s">
        <v>4764</v>
      </c>
      <c r="B1424" s="2" t="s">
        <v>4766</v>
      </c>
      <c r="C1424" s="2" t="s">
        <v>1291</v>
      </c>
      <c r="D1424" s="14" t="s">
        <v>4539</v>
      </c>
    </row>
    <row r="1425">
      <c r="A1425" s="2" t="s">
        <v>4764</v>
      </c>
      <c r="B1425" s="2" t="s">
        <v>4766</v>
      </c>
      <c r="C1425" s="2" t="s">
        <v>4540</v>
      </c>
      <c r="D1425" s="14" t="s">
        <v>4541</v>
      </c>
    </row>
    <row r="1426">
      <c r="A1426" s="2" t="s">
        <v>4764</v>
      </c>
      <c r="B1426" s="2" t="s">
        <v>4766</v>
      </c>
      <c r="C1426" s="2" t="s">
        <v>4542</v>
      </c>
      <c r="D1426" s="14" t="s">
        <v>4543</v>
      </c>
    </row>
    <row r="1427">
      <c r="A1427" s="2" t="s">
        <v>4764</v>
      </c>
      <c r="B1427" s="2" t="s">
        <v>4766</v>
      </c>
      <c r="C1427" s="2" t="s">
        <v>4544</v>
      </c>
      <c r="D1427" s="14" t="s">
        <v>4545</v>
      </c>
    </row>
    <row r="1428">
      <c r="A1428" s="2" t="s">
        <v>4764</v>
      </c>
      <c r="B1428" s="2" t="s">
        <v>4766</v>
      </c>
      <c r="C1428" s="2" t="s">
        <v>4546</v>
      </c>
      <c r="D1428" s="14" t="s">
        <v>4547</v>
      </c>
    </row>
    <row r="1429">
      <c r="A1429" s="2" t="s">
        <v>4764</v>
      </c>
      <c r="B1429" s="2" t="s">
        <v>4766</v>
      </c>
      <c r="C1429" s="2" t="s">
        <v>4548</v>
      </c>
      <c r="D1429" s="14" t="s">
        <v>4549</v>
      </c>
    </row>
    <row r="1430">
      <c r="A1430" s="2" t="s">
        <v>4764</v>
      </c>
      <c r="B1430" s="2" t="s">
        <v>4766</v>
      </c>
      <c r="C1430" s="2" t="s">
        <v>4551</v>
      </c>
      <c r="D1430" s="14" t="s">
        <v>4552</v>
      </c>
    </row>
    <row r="1431">
      <c r="A1431" s="2" t="s">
        <v>4764</v>
      </c>
      <c r="B1431" s="2" t="s">
        <v>4766</v>
      </c>
      <c r="C1431" s="2" t="s">
        <v>1295</v>
      </c>
      <c r="D1431" s="14" t="s">
        <v>4553</v>
      </c>
    </row>
    <row r="1432">
      <c r="A1432" s="2" t="s">
        <v>4764</v>
      </c>
      <c r="B1432" s="2" t="s">
        <v>4766</v>
      </c>
      <c r="C1432" s="2" t="s">
        <v>4554</v>
      </c>
      <c r="D1432" s="14" t="s">
        <v>4555</v>
      </c>
    </row>
    <row r="1433">
      <c r="A1433" s="2" t="s">
        <v>4764</v>
      </c>
      <c r="B1433" s="2" t="s">
        <v>4766</v>
      </c>
      <c r="C1433" s="2" t="s">
        <v>4556</v>
      </c>
      <c r="D1433" s="14" t="s">
        <v>4557</v>
      </c>
    </row>
    <row r="1434">
      <c r="A1434" s="2" t="s">
        <v>4764</v>
      </c>
      <c r="B1434" s="2" t="s">
        <v>4766</v>
      </c>
      <c r="C1434" s="2" t="s">
        <v>4558</v>
      </c>
      <c r="D1434" s="14" t="s">
        <v>4559</v>
      </c>
    </row>
    <row r="1435">
      <c r="A1435" s="2" t="s">
        <v>4764</v>
      </c>
      <c r="B1435" s="2" t="s">
        <v>4766</v>
      </c>
      <c r="C1435" s="2" t="s">
        <v>4560</v>
      </c>
      <c r="D1435" s="14" t="s">
        <v>4561</v>
      </c>
    </row>
    <row r="1436">
      <c r="A1436" s="2" t="s">
        <v>4764</v>
      </c>
      <c r="B1436" s="2" t="s">
        <v>4766</v>
      </c>
      <c r="C1436" s="2" t="s">
        <v>4562</v>
      </c>
      <c r="D1436" s="14" t="s">
        <v>4563</v>
      </c>
    </row>
    <row r="1437">
      <c r="A1437" s="2" t="s">
        <v>4764</v>
      </c>
      <c r="B1437" s="2" t="s">
        <v>4766</v>
      </c>
      <c r="C1437" s="2" t="s">
        <v>4564</v>
      </c>
      <c r="D1437" s="14" t="s">
        <v>4565</v>
      </c>
    </row>
    <row r="1438">
      <c r="A1438" s="2" t="s">
        <v>4764</v>
      </c>
      <c r="B1438" s="2" t="s">
        <v>4766</v>
      </c>
      <c r="C1438" s="2" t="s">
        <v>4566</v>
      </c>
      <c r="D1438" s="14" t="s">
        <v>4567</v>
      </c>
    </row>
    <row r="1439">
      <c r="A1439" s="2" t="s">
        <v>4764</v>
      </c>
      <c r="B1439" s="2" t="s">
        <v>4766</v>
      </c>
      <c r="C1439" s="2" t="s">
        <v>4568</v>
      </c>
      <c r="D1439" s="14" t="s">
        <v>4569</v>
      </c>
    </row>
    <row r="1440">
      <c r="A1440" s="2" t="s">
        <v>4764</v>
      </c>
      <c r="B1440" s="2" t="s">
        <v>4766</v>
      </c>
      <c r="C1440" s="2" t="s">
        <v>4571</v>
      </c>
      <c r="D1440" s="14" t="s">
        <v>4572</v>
      </c>
    </row>
    <row r="1441">
      <c r="A1441" s="2" t="s">
        <v>4764</v>
      </c>
      <c r="B1441" s="2" t="s">
        <v>4766</v>
      </c>
      <c r="C1441" s="2" t="s">
        <v>4573</v>
      </c>
      <c r="D1441" s="14" t="s">
        <v>4574</v>
      </c>
    </row>
    <row r="1442">
      <c r="A1442" s="2" t="s">
        <v>4764</v>
      </c>
      <c r="B1442" s="2" t="s">
        <v>4783</v>
      </c>
      <c r="C1442" s="2" t="s">
        <v>4575</v>
      </c>
      <c r="D1442" s="14" t="s">
        <v>4576</v>
      </c>
    </row>
    <row r="1443">
      <c r="A1443" s="2" t="s">
        <v>4764</v>
      </c>
      <c r="B1443" s="2" t="s">
        <v>4783</v>
      </c>
      <c r="C1443" s="2" t="s">
        <v>4784</v>
      </c>
      <c r="D1443" s="14" t="s">
        <v>4578</v>
      </c>
    </row>
    <row r="1444">
      <c r="A1444" s="2" t="s">
        <v>4764</v>
      </c>
      <c r="B1444" s="2" t="s">
        <v>4783</v>
      </c>
      <c r="C1444" s="2" t="s">
        <v>4785</v>
      </c>
      <c r="D1444" s="14" t="s">
        <v>4579</v>
      </c>
    </row>
    <row r="1445">
      <c r="A1445" s="2" t="s">
        <v>4764</v>
      </c>
      <c r="B1445" s="2" t="s">
        <v>4783</v>
      </c>
      <c r="C1445" s="2" t="s">
        <v>4786</v>
      </c>
      <c r="D1445" s="14" t="s">
        <v>4580</v>
      </c>
    </row>
    <row r="1446">
      <c r="A1446" s="2" t="s">
        <v>4764</v>
      </c>
      <c r="B1446" s="2" t="s">
        <v>4783</v>
      </c>
      <c r="C1446" s="2" t="s">
        <v>4582</v>
      </c>
      <c r="D1446" s="14" t="s">
        <v>4583</v>
      </c>
    </row>
    <row r="1447">
      <c r="A1447" s="2" t="s">
        <v>4764</v>
      </c>
      <c r="B1447" s="2" t="s">
        <v>4783</v>
      </c>
      <c r="C1447" s="2" t="s">
        <v>461</v>
      </c>
      <c r="D1447" s="14" t="s">
        <v>4584</v>
      </c>
    </row>
    <row r="1448">
      <c r="A1448" s="2" t="s">
        <v>4764</v>
      </c>
      <c r="B1448" s="2" t="s">
        <v>4783</v>
      </c>
      <c r="C1448" s="2" t="s">
        <v>4787</v>
      </c>
      <c r="D1448" s="14" t="s">
        <v>4585</v>
      </c>
    </row>
    <row r="1449">
      <c r="A1449" s="2" t="s">
        <v>4764</v>
      </c>
      <c r="B1449" s="2" t="s">
        <v>4783</v>
      </c>
      <c r="C1449" s="2" t="s">
        <v>4586</v>
      </c>
      <c r="D1449" s="14" t="s">
        <v>4587</v>
      </c>
    </row>
    <row r="1450">
      <c r="A1450" s="2" t="s">
        <v>4764</v>
      </c>
      <c r="B1450" s="2" t="s">
        <v>4783</v>
      </c>
      <c r="C1450" s="2" t="s">
        <v>4788</v>
      </c>
      <c r="D1450" s="14" t="s">
        <v>4588</v>
      </c>
    </row>
    <row r="1451">
      <c r="A1451" s="2" t="s">
        <v>4764</v>
      </c>
      <c r="B1451" s="2" t="s">
        <v>4783</v>
      </c>
      <c r="C1451" s="2" t="s">
        <v>4589</v>
      </c>
      <c r="D1451" s="14" t="s">
        <v>4590</v>
      </c>
    </row>
    <row r="1452">
      <c r="A1452" s="2" t="s">
        <v>4764</v>
      </c>
      <c r="B1452" s="2" t="s">
        <v>4783</v>
      </c>
      <c r="C1452" s="2" t="s">
        <v>4591</v>
      </c>
      <c r="D1452" s="14" t="s">
        <v>4592</v>
      </c>
    </row>
    <row r="1453">
      <c r="A1453" s="2" t="s">
        <v>4764</v>
      </c>
      <c r="B1453" s="2" t="s">
        <v>4783</v>
      </c>
      <c r="C1453" s="2" t="s">
        <v>4593</v>
      </c>
      <c r="D1453" s="14" t="s">
        <v>4594</v>
      </c>
    </row>
    <row r="1454">
      <c r="A1454" s="2" t="s">
        <v>4764</v>
      </c>
      <c r="B1454" s="2" t="s">
        <v>4783</v>
      </c>
      <c r="C1454" s="2" t="s">
        <v>4789</v>
      </c>
      <c r="D1454" s="14" t="s">
        <v>4595</v>
      </c>
    </row>
    <row r="1455">
      <c r="A1455" s="2" t="s">
        <v>4764</v>
      </c>
      <c r="B1455" s="2" t="s">
        <v>4783</v>
      </c>
      <c r="C1455" s="2" t="s">
        <v>4790</v>
      </c>
      <c r="D1455" s="14" t="s">
        <v>4596</v>
      </c>
    </row>
    <row r="1456">
      <c r="A1456" s="2" t="s">
        <v>4764</v>
      </c>
      <c r="B1456" s="2" t="s">
        <v>4783</v>
      </c>
      <c r="C1456" s="2" t="s">
        <v>4791</v>
      </c>
      <c r="D1456" s="14" t="s">
        <v>4597</v>
      </c>
    </row>
    <row r="1457">
      <c r="A1457" s="2" t="s">
        <v>4764</v>
      </c>
      <c r="B1457" s="2" t="s">
        <v>4783</v>
      </c>
      <c r="C1457" s="2" t="s">
        <v>4792</v>
      </c>
      <c r="D1457" s="14" t="s">
        <v>4599</v>
      </c>
    </row>
    <row r="1458">
      <c r="A1458" s="2" t="s">
        <v>4764</v>
      </c>
      <c r="B1458" s="2" t="s">
        <v>4783</v>
      </c>
      <c r="C1458" s="2" t="s">
        <v>4793</v>
      </c>
      <c r="D1458" s="14" t="s">
        <v>4600</v>
      </c>
    </row>
    <row r="1459">
      <c r="A1459" s="2" t="s">
        <v>4764</v>
      </c>
      <c r="B1459" s="2" t="s">
        <v>4783</v>
      </c>
      <c r="C1459" s="2" t="s">
        <v>4794</v>
      </c>
      <c r="D1459" s="14" t="s">
        <v>4604</v>
      </c>
    </row>
    <row r="1460">
      <c r="A1460" s="2" t="s">
        <v>4764</v>
      </c>
      <c r="B1460" s="2" t="s">
        <v>4783</v>
      </c>
      <c r="C1460" s="2" t="s">
        <v>4606</v>
      </c>
      <c r="D1460" s="14" t="s">
        <v>4607</v>
      </c>
    </row>
    <row r="1461">
      <c r="A1461" s="2" t="s">
        <v>4764</v>
      </c>
      <c r="B1461" s="2" t="s">
        <v>4783</v>
      </c>
      <c r="C1461" s="2" t="s">
        <v>4795</v>
      </c>
      <c r="D1461" s="14" t="s">
        <v>4608</v>
      </c>
    </row>
    <row r="1462">
      <c r="A1462" s="2" t="s">
        <v>4764</v>
      </c>
      <c r="B1462" s="2" t="s">
        <v>4783</v>
      </c>
      <c r="C1462" s="2" t="s">
        <v>4796</v>
      </c>
      <c r="D1462" s="14" t="s">
        <v>4609</v>
      </c>
    </row>
    <row r="1463">
      <c r="A1463" s="2" t="s">
        <v>4764</v>
      </c>
      <c r="B1463" s="2" t="s">
        <v>4783</v>
      </c>
      <c r="C1463" s="2" t="s">
        <v>4797</v>
      </c>
      <c r="D1463" s="14" t="s">
        <v>4610</v>
      </c>
    </row>
    <row r="1464">
      <c r="A1464" s="2" t="s">
        <v>4764</v>
      </c>
      <c r="B1464" s="2" t="s">
        <v>4783</v>
      </c>
      <c r="C1464" s="2" t="s">
        <v>4611</v>
      </c>
      <c r="D1464" s="14" t="s">
        <v>4612</v>
      </c>
    </row>
    <row r="1465">
      <c r="A1465" s="2" t="s">
        <v>4764</v>
      </c>
      <c r="B1465" s="2" t="s">
        <v>4783</v>
      </c>
      <c r="C1465" s="2" t="s">
        <v>4613</v>
      </c>
      <c r="D1465" s="14" t="s">
        <v>4614</v>
      </c>
    </row>
    <row r="1466">
      <c r="A1466" s="2" t="s">
        <v>4764</v>
      </c>
      <c r="B1466" s="2" t="s">
        <v>4783</v>
      </c>
      <c r="C1466" s="2" t="s">
        <v>4615</v>
      </c>
      <c r="D1466" s="14" t="s">
        <v>4616</v>
      </c>
    </row>
    <row r="1467">
      <c r="A1467" s="2" t="s">
        <v>4764</v>
      </c>
      <c r="B1467" s="2" t="s">
        <v>4783</v>
      </c>
      <c r="C1467" s="2" t="s">
        <v>4617</v>
      </c>
      <c r="D1467" s="14" t="s">
        <v>4618</v>
      </c>
    </row>
    <row r="1468">
      <c r="A1468" s="2" t="s">
        <v>4798</v>
      </c>
      <c r="B1468" s="2" t="s">
        <v>4799</v>
      </c>
      <c r="C1468" s="2" t="s">
        <v>4800</v>
      </c>
      <c r="D1468" s="14" t="s">
        <v>4620</v>
      </c>
    </row>
    <row r="1469">
      <c r="A1469" s="2" t="s">
        <v>4798</v>
      </c>
      <c r="B1469" s="2" t="s">
        <v>4799</v>
      </c>
      <c r="C1469" s="2" t="s">
        <v>4801</v>
      </c>
      <c r="D1469" s="14" t="s">
        <v>4621</v>
      </c>
    </row>
    <row r="1470">
      <c r="A1470" s="2" t="s">
        <v>4798</v>
      </c>
      <c r="B1470" s="2" t="s">
        <v>4799</v>
      </c>
      <c r="C1470" s="2" t="s">
        <v>4622</v>
      </c>
      <c r="D1470" s="14" t="s">
        <v>4623</v>
      </c>
    </row>
    <row r="1471">
      <c r="A1471" s="2" t="s">
        <v>4798</v>
      </c>
      <c r="B1471" s="2" t="s">
        <v>4799</v>
      </c>
      <c r="C1471" s="2" t="s">
        <v>4802</v>
      </c>
      <c r="D1471" s="14" t="s">
        <v>4624</v>
      </c>
    </row>
    <row r="1472">
      <c r="A1472" s="2" t="s">
        <v>4798</v>
      </c>
      <c r="B1472" s="2" t="s">
        <v>4799</v>
      </c>
      <c r="C1472" s="2" t="s">
        <v>4803</v>
      </c>
      <c r="D1472" s="14" t="s">
        <v>4626</v>
      </c>
    </row>
    <row r="1473">
      <c r="A1473" s="2" t="s">
        <v>4798</v>
      </c>
      <c r="B1473" s="2" t="s">
        <v>4799</v>
      </c>
      <c r="C1473" s="2" t="s">
        <v>4804</v>
      </c>
      <c r="D1473" s="14" t="s">
        <v>4628</v>
      </c>
    </row>
    <row r="1474">
      <c r="A1474" s="2" t="s">
        <v>4798</v>
      </c>
      <c r="B1474" s="2" t="s">
        <v>4799</v>
      </c>
      <c r="C1474" s="2" t="s">
        <v>211</v>
      </c>
      <c r="D1474" s="14" t="s">
        <v>4630</v>
      </c>
    </row>
    <row r="1475">
      <c r="A1475" s="2" t="s">
        <v>4798</v>
      </c>
      <c r="B1475" s="2" t="s">
        <v>4799</v>
      </c>
      <c r="C1475" s="2" t="s">
        <v>4631</v>
      </c>
      <c r="D1475" s="14" t="s">
        <v>4632</v>
      </c>
    </row>
    <row r="1476">
      <c r="A1476" s="2" t="s">
        <v>4798</v>
      </c>
      <c r="B1476" s="2" t="s">
        <v>4799</v>
      </c>
      <c r="C1476" s="2" t="s">
        <v>4805</v>
      </c>
      <c r="D1476" s="14" t="s">
        <v>4633</v>
      </c>
    </row>
    <row r="1477">
      <c r="A1477" s="2" t="s">
        <v>4798</v>
      </c>
      <c r="B1477" s="2" t="s">
        <v>4799</v>
      </c>
      <c r="C1477" s="2" t="s">
        <v>4806</v>
      </c>
      <c r="D1477" s="14" t="s">
        <v>4634</v>
      </c>
    </row>
    <row r="1478">
      <c r="A1478" s="2" t="s">
        <v>4798</v>
      </c>
      <c r="B1478" s="2" t="s">
        <v>4799</v>
      </c>
      <c r="C1478" s="2" t="s">
        <v>426</v>
      </c>
      <c r="D1478" s="14" t="s">
        <v>4635</v>
      </c>
    </row>
    <row r="1479">
      <c r="A1479" s="2" t="s">
        <v>4798</v>
      </c>
      <c r="B1479" s="2" t="s">
        <v>4799</v>
      </c>
      <c r="C1479" s="2" t="s">
        <v>4637</v>
      </c>
      <c r="D1479" s="14" t="s">
        <v>4638</v>
      </c>
    </row>
    <row r="1480">
      <c r="A1480" s="2" t="s">
        <v>4798</v>
      </c>
      <c r="B1480" s="2" t="s">
        <v>4799</v>
      </c>
      <c r="C1480" s="2" t="s">
        <v>4807</v>
      </c>
      <c r="D1480" s="14" t="s">
        <v>4639</v>
      </c>
    </row>
    <row r="1481">
      <c r="A1481" s="2" t="s">
        <v>4798</v>
      </c>
      <c r="B1481" s="2" t="s">
        <v>4799</v>
      </c>
      <c r="C1481" s="2" t="s">
        <v>4641</v>
      </c>
      <c r="D1481" s="14" t="s">
        <v>4642</v>
      </c>
    </row>
    <row r="1482">
      <c r="A1482" s="2" t="s">
        <v>4798</v>
      </c>
      <c r="B1482" s="2" t="s">
        <v>4799</v>
      </c>
      <c r="C1482" s="2" t="s">
        <v>4808</v>
      </c>
      <c r="D1482" s="14" t="s">
        <v>4643</v>
      </c>
    </row>
    <row r="1483">
      <c r="A1483" s="2" t="s">
        <v>4798</v>
      </c>
      <c r="B1483" s="2" t="s">
        <v>4799</v>
      </c>
      <c r="C1483" s="2" t="s">
        <v>4809</v>
      </c>
      <c r="D1483" s="14" t="s">
        <v>4644</v>
      </c>
    </row>
    <row r="1484">
      <c r="A1484" s="2" t="s">
        <v>4798</v>
      </c>
      <c r="B1484" s="2" t="s">
        <v>4799</v>
      </c>
      <c r="C1484" s="2" t="s">
        <v>4810</v>
      </c>
      <c r="D1484" s="14" t="s">
        <v>4645</v>
      </c>
    </row>
    <row r="1485">
      <c r="A1485" s="2" t="s">
        <v>4798</v>
      </c>
      <c r="B1485" s="2" t="s">
        <v>4799</v>
      </c>
      <c r="C1485" s="2" t="s">
        <v>4646</v>
      </c>
      <c r="D1485" s="14" t="s">
        <v>4647</v>
      </c>
    </row>
    <row r="1486">
      <c r="A1486" s="2" t="s">
        <v>4798</v>
      </c>
      <c r="B1486" s="2" t="s">
        <v>4799</v>
      </c>
      <c r="C1486" s="2" t="s">
        <v>4648</v>
      </c>
      <c r="D1486" s="14" t="s">
        <v>4649</v>
      </c>
    </row>
    <row r="1487">
      <c r="A1487" s="2" t="s">
        <v>4798</v>
      </c>
      <c r="B1487" s="2" t="s">
        <v>4799</v>
      </c>
      <c r="C1487" s="2" t="s">
        <v>4650</v>
      </c>
      <c r="D1487" s="14" t="s">
        <v>4651</v>
      </c>
    </row>
    <row r="1488">
      <c r="A1488" s="2" t="s">
        <v>4798</v>
      </c>
      <c r="B1488" s="2" t="s">
        <v>4799</v>
      </c>
      <c r="C1488" s="2" t="s">
        <v>4652</v>
      </c>
      <c r="D1488" s="14" t="s">
        <v>4653</v>
      </c>
    </row>
    <row r="1489">
      <c r="A1489" s="2" t="s">
        <v>4798</v>
      </c>
      <c r="B1489" s="2" t="s">
        <v>4799</v>
      </c>
      <c r="C1489" s="2" t="s">
        <v>4654</v>
      </c>
      <c r="D1489" s="14" t="s">
        <v>4655</v>
      </c>
    </row>
    <row r="1490">
      <c r="A1490" s="2" t="s">
        <v>4798</v>
      </c>
      <c r="B1490" s="2" t="s">
        <v>4799</v>
      </c>
      <c r="C1490" s="2" t="s">
        <v>4657</v>
      </c>
      <c r="D1490" s="14" t="s">
        <v>4658</v>
      </c>
    </row>
    <row r="1491">
      <c r="A1491" s="2" t="s">
        <v>4798</v>
      </c>
      <c r="B1491" s="2" t="s">
        <v>4799</v>
      </c>
      <c r="C1491" s="2" t="s">
        <v>4659</v>
      </c>
      <c r="D1491" s="14" t="s">
        <v>4660</v>
      </c>
    </row>
    <row r="1492">
      <c r="A1492" s="2" t="s">
        <v>4798</v>
      </c>
      <c r="B1492" s="2" t="s">
        <v>4799</v>
      </c>
      <c r="C1492" s="2" t="s">
        <v>4661</v>
      </c>
      <c r="D1492" s="14" t="s">
        <v>4662</v>
      </c>
    </row>
    <row r="1493">
      <c r="A1493" s="2" t="s">
        <v>4798</v>
      </c>
      <c r="B1493" s="2" t="s">
        <v>4799</v>
      </c>
      <c r="C1493" s="2" t="s">
        <v>4663</v>
      </c>
      <c r="D1493" s="14" t="s">
        <v>4664</v>
      </c>
    </row>
    <row r="1494">
      <c r="A1494" s="2" t="s">
        <v>4798</v>
      </c>
      <c r="B1494" s="2" t="s">
        <v>4799</v>
      </c>
      <c r="C1494" s="2" t="s">
        <v>4665</v>
      </c>
      <c r="D1494" s="14" t="s">
        <v>4666</v>
      </c>
    </row>
    <row r="1495">
      <c r="A1495" s="2" t="s">
        <v>4798</v>
      </c>
      <c r="B1495" s="2" t="s">
        <v>4799</v>
      </c>
      <c r="C1495" s="2" t="s">
        <v>4667</v>
      </c>
      <c r="D1495" s="14" t="s">
        <v>4668</v>
      </c>
    </row>
    <row r="1496">
      <c r="A1496" s="2" t="s">
        <v>4798</v>
      </c>
      <c r="B1496" s="2" t="s">
        <v>4799</v>
      </c>
      <c r="C1496" s="2" t="s">
        <v>4669</v>
      </c>
      <c r="D1496" s="14" t="s">
        <v>4670</v>
      </c>
    </row>
    <row r="1497">
      <c r="A1497" s="2" t="s">
        <v>4798</v>
      </c>
      <c r="B1497" s="2" t="s">
        <v>4799</v>
      </c>
      <c r="C1497" s="2" t="s">
        <v>4671</v>
      </c>
      <c r="D1497" s="14" t="s">
        <v>4672</v>
      </c>
    </row>
    <row r="1498">
      <c r="A1498" s="2" t="s">
        <v>4798</v>
      </c>
      <c r="B1498" s="2" t="s">
        <v>4799</v>
      </c>
      <c r="C1498" s="2" t="s">
        <v>4673</v>
      </c>
      <c r="D1498" s="14" t="s">
        <v>4674</v>
      </c>
    </row>
    <row r="1499">
      <c r="A1499" s="2" t="s">
        <v>4798</v>
      </c>
      <c r="B1499" s="2" t="s">
        <v>4799</v>
      </c>
      <c r="C1499" s="2" t="s">
        <v>4811</v>
      </c>
      <c r="D1499" s="14" t="s">
        <v>4675</v>
      </c>
    </row>
    <row r="1500">
      <c r="A1500" s="2" t="s">
        <v>4798</v>
      </c>
      <c r="B1500" s="2" t="s">
        <v>4799</v>
      </c>
      <c r="C1500" s="2" t="s">
        <v>4812</v>
      </c>
      <c r="D1500" s="14" t="s">
        <v>4676</v>
      </c>
    </row>
    <row r="1501">
      <c r="A1501" s="2" t="s">
        <v>4798</v>
      </c>
      <c r="B1501" s="2" t="s">
        <v>4799</v>
      </c>
      <c r="C1501" s="2" t="s">
        <v>4813</v>
      </c>
      <c r="D1501" s="14" t="s">
        <v>4677</v>
      </c>
    </row>
    <row r="1502">
      <c r="A1502" s="2" t="s">
        <v>4798</v>
      </c>
      <c r="B1502" s="2" t="s">
        <v>4799</v>
      </c>
      <c r="C1502" s="2" t="s">
        <v>4814</v>
      </c>
      <c r="D1502" s="14" t="s">
        <v>4678</v>
      </c>
    </row>
    <row r="1503">
      <c r="A1503" s="2" t="s">
        <v>4798</v>
      </c>
      <c r="B1503" s="2" t="s">
        <v>4799</v>
      </c>
      <c r="C1503" s="2" t="s">
        <v>4679</v>
      </c>
      <c r="D1503" s="14" t="s">
        <v>4680</v>
      </c>
    </row>
    <row r="1504">
      <c r="A1504" s="2" t="s">
        <v>4798</v>
      </c>
      <c r="B1504" s="2" t="s">
        <v>4799</v>
      </c>
      <c r="C1504" s="2" t="s">
        <v>4681</v>
      </c>
      <c r="D1504" s="14" t="s">
        <v>4682</v>
      </c>
    </row>
    <row r="1505">
      <c r="A1505" s="2" t="s">
        <v>4798</v>
      </c>
      <c r="B1505" s="2" t="s">
        <v>4799</v>
      </c>
      <c r="C1505" s="2" t="s">
        <v>4683</v>
      </c>
      <c r="D1505" s="14" t="s">
        <v>4684</v>
      </c>
    </row>
    <row r="1506">
      <c r="A1506" s="2" t="s">
        <v>4798</v>
      </c>
      <c r="B1506" s="2" t="s">
        <v>4799</v>
      </c>
      <c r="C1506" s="2" t="s">
        <v>4685</v>
      </c>
      <c r="D1506" s="14" t="s">
        <v>4686</v>
      </c>
    </row>
    <row r="1507">
      <c r="A1507" s="2" t="s">
        <v>4798</v>
      </c>
      <c r="B1507" s="2" t="s">
        <v>4799</v>
      </c>
      <c r="C1507" s="2" t="s">
        <v>4687</v>
      </c>
      <c r="D1507" s="14" t="s">
        <v>4688</v>
      </c>
    </row>
    <row r="1508">
      <c r="A1508" s="2" t="s">
        <v>4798</v>
      </c>
      <c r="B1508" s="2" t="s">
        <v>4799</v>
      </c>
      <c r="C1508" s="2" t="s">
        <v>4689</v>
      </c>
      <c r="D1508" s="14" t="s">
        <v>4690</v>
      </c>
    </row>
    <row r="1509">
      <c r="A1509" s="2" t="s">
        <v>4798</v>
      </c>
      <c r="B1509" s="2" t="s">
        <v>4799</v>
      </c>
      <c r="C1509" s="2" t="s">
        <v>4691</v>
      </c>
      <c r="D1509" s="14" t="s">
        <v>4692</v>
      </c>
    </row>
    <row r="1510">
      <c r="A1510" s="2" t="s">
        <v>4798</v>
      </c>
      <c r="B1510" s="2" t="s">
        <v>4799</v>
      </c>
      <c r="C1510" s="2" t="s">
        <v>4693</v>
      </c>
      <c r="D1510" s="14" t="s">
        <v>4694</v>
      </c>
    </row>
    <row r="1511">
      <c r="A1511" s="2" t="s">
        <v>4798</v>
      </c>
      <c r="B1511" s="2" t="s">
        <v>4799</v>
      </c>
      <c r="C1511" s="2" t="s">
        <v>4695</v>
      </c>
      <c r="D1511" s="14" t="s">
        <v>4696</v>
      </c>
    </row>
    <row r="1512">
      <c r="A1512" s="2" t="s">
        <v>4798</v>
      </c>
      <c r="B1512" s="2" t="s">
        <v>4799</v>
      </c>
      <c r="C1512" s="2" t="s">
        <v>4815</v>
      </c>
      <c r="D1512" s="14" t="s">
        <v>4697</v>
      </c>
    </row>
    <row r="1513">
      <c r="A1513" s="2" t="s">
        <v>4798</v>
      </c>
      <c r="B1513" s="2" t="s">
        <v>4799</v>
      </c>
      <c r="C1513" s="2" t="s">
        <v>4698</v>
      </c>
      <c r="D1513" s="14" t="s">
        <v>4699</v>
      </c>
    </row>
    <row r="1514">
      <c r="A1514" s="2" t="s">
        <v>4798</v>
      </c>
      <c r="B1514" s="2" t="s">
        <v>4799</v>
      </c>
      <c r="C1514" s="2" t="s">
        <v>4816</v>
      </c>
      <c r="D1514" s="14" t="s">
        <v>4700</v>
      </c>
    </row>
    <row r="1515">
      <c r="A1515" s="2" t="s">
        <v>4798</v>
      </c>
      <c r="B1515" s="2" t="s">
        <v>4799</v>
      </c>
      <c r="C1515" s="2" t="s">
        <v>4701</v>
      </c>
      <c r="D1515" s="14" t="s">
        <v>4702</v>
      </c>
    </row>
    <row r="1516">
      <c r="A1516" s="2" t="s">
        <v>4798</v>
      </c>
      <c r="B1516" s="2" t="s">
        <v>4799</v>
      </c>
      <c r="C1516" s="2" t="s">
        <v>4817</v>
      </c>
      <c r="D1516" s="14" t="s">
        <v>4703</v>
      </c>
    </row>
    <row r="1517">
      <c r="A1517" s="2" t="s">
        <v>4798</v>
      </c>
      <c r="B1517" s="2" t="s">
        <v>4799</v>
      </c>
      <c r="C1517" s="2" t="s">
        <v>4818</v>
      </c>
      <c r="D1517" s="14" t="s">
        <v>4704</v>
      </c>
    </row>
    <row r="1518">
      <c r="A1518" s="2" t="s">
        <v>4798</v>
      </c>
      <c r="B1518" s="2" t="s">
        <v>4799</v>
      </c>
      <c r="C1518" s="2" t="s">
        <v>467</v>
      </c>
      <c r="D1518" s="14" t="s">
        <v>4705</v>
      </c>
    </row>
    <row r="1519">
      <c r="A1519" s="2" t="s">
        <v>4798</v>
      </c>
      <c r="B1519" s="2" t="s">
        <v>4799</v>
      </c>
      <c r="C1519" s="2" t="s">
        <v>4819</v>
      </c>
      <c r="D1519" s="14" t="s">
        <v>4706</v>
      </c>
    </row>
    <row r="1520">
      <c r="A1520" s="2" t="s">
        <v>4798</v>
      </c>
      <c r="B1520" s="2" t="s">
        <v>4799</v>
      </c>
      <c r="C1520" s="2" t="s">
        <v>4820</v>
      </c>
      <c r="D1520" s="14" t="s">
        <v>4707</v>
      </c>
    </row>
    <row r="1521">
      <c r="A1521" s="2" t="s">
        <v>4798</v>
      </c>
      <c r="B1521" s="2" t="s">
        <v>4799</v>
      </c>
      <c r="C1521" s="2" t="s">
        <v>4821</v>
      </c>
      <c r="D1521" s="14" t="s">
        <v>4708</v>
      </c>
    </row>
    <row r="1522">
      <c r="A1522" s="2" t="s">
        <v>4798</v>
      </c>
      <c r="B1522" s="2" t="s">
        <v>4799</v>
      </c>
      <c r="C1522" s="2" t="s">
        <v>4711</v>
      </c>
      <c r="D1522" s="14" t="s">
        <v>4712</v>
      </c>
    </row>
    <row r="1523">
      <c r="A1523" s="2" t="s">
        <v>4798</v>
      </c>
      <c r="B1523" s="2" t="s">
        <v>4799</v>
      </c>
      <c r="C1523" s="2" t="s">
        <v>4714</v>
      </c>
      <c r="D1523" s="14" t="s">
        <v>4715</v>
      </c>
    </row>
    <row r="1524">
      <c r="A1524" s="2" t="s">
        <v>4798</v>
      </c>
      <c r="B1524" s="2" t="s">
        <v>4799</v>
      </c>
      <c r="C1524" s="2" t="s">
        <v>4716</v>
      </c>
      <c r="D1524" s="14" t="s">
        <v>4717</v>
      </c>
    </row>
    <row r="1525">
      <c r="A1525" s="2" t="s">
        <v>4798</v>
      </c>
      <c r="B1525" s="2" t="s">
        <v>4799</v>
      </c>
      <c r="C1525" s="2" t="s">
        <v>4719</v>
      </c>
      <c r="D1525" s="14" t="s">
        <v>4720</v>
      </c>
    </row>
    <row r="1526">
      <c r="A1526" s="2" t="s">
        <v>4798</v>
      </c>
      <c r="B1526" s="2" t="s">
        <v>4799</v>
      </c>
      <c r="C1526" s="2" t="s">
        <v>4722</v>
      </c>
      <c r="D1526" s="14" t="s">
        <v>4723</v>
      </c>
    </row>
    <row r="1527">
      <c r="A1527" s="2" t="s">
        <v>4798</v>
      </c>
      <c r="B1527" s="2" t="s">
        <v>4799</v>
      </c>
      <c r="C1527" s="2" t="s">
        <v>4822</v>
      </c>
      <c r="D1527" s="14" t="s">
        <v>4725</v>
      </c>
    </row>
    <row r="1528">
      <c r="A1528" s="2" t="s">
        <v>4798</v>
      </c>
      <c r="B1528" s="2" t="s">
        <v>4799</v>
      </c>
      <c r="C1528" s="2" t="s">
        <v>4727</v>
      </c>
      <c r="D1528" s="14" t="s">
        <v>4728</v>
      </c>
    </row>
    <row r="1529">
      <c r="A1529" s="2" t="s">
        <v>4798</v>
      </c>
      <c r="B1529" s="2" t="s">
        <v>4799</v>
      </c>
      <c r="C1529" s="2" t="s">
        <v>4823</v>
      </c>
      <c r="D1529" s="14" t="s">
        <v>4730</v>
      </c>
    </row>
    <row r="1530">
      <c r="A1530" s="2" t="s">
        <v>4798</v>
      </c>
      <c r="B1530" s="2" t="s">
        <v>4799</v>
      </c>
      <c r="C1530" s="2" t="s">
        <v>4731</v>
      </c>
      <c r="D1530" s="14" t="s">
        <v>4732</v>
      </c>
    </row>
    <row r="1531">
      <c r="A1531" s="2" t="s">
        <v>4798</v>
      </c>
      <c r="B1531" s="2" t="s">
        <v>4799</v>
      </c>
      <c r="C1531" s="2" t="s">
        <v>4824</v>
      </c>
      <c r="D1531" s="14" t="s">
        <v>4734</v>
      </c>
    </row>
    <row r="1532">
      <c r="A1532" s="2" t="s">
        <v>4798</v>
      </c>
      <c r="B1532" s="2" t="s">
        <v>4799</v>
      </c>
      <c r="C1532" s="2" t="s">
        <v>4825</v>
      </c>
      <c r="D1532" s="14" t="s">
        <v>4736</v>
      </c>
    </row>
    <row r="1533">
      <c r="A1533" s="2" t="s">
        <v>4798</v>
      </c>
      <c r="B1533" s="2" t="s">
        <v>4799</v>
      </c>
      <c r="C1533" s="2" t="s">
        <v>4826</v>
      </c>
      <c r="D1533" s="14" t="s">
        <v>4737</v>
      </c>
    </row>
    <row r="1534">
      <c r="A1534" s="2" t="s">
        <v>4798</v>
      </c>
      <c r="B1534" s="2" t="s">
        <v>4799</v>
      </c>
      <c r="C1534" s="2" t="s">
        <v>4738</v>
      </c>
      <c r="D1534" s="14" t="s">
        <v>4739</v>
      </c>
    </row>
    <row r="1535">
      <c r="A1535" s="2" t="s">
        <v>4798</v>
      </c>
      <c r="B1535" s="2" t="s">
        <v>4799</v>
      </c>
      <c r="C1535" s="2" t="s">
        <v>4740</v>
      </c>
      <c r="D1535" s="14" t="s">
        <v>4741</v>
      </c>
    </row>
    <row r="1536">
      <c r="A1536" s="2" t="s">
        <v>4798</v>
      </c>
      <c r="B1536" s="2" t="s">
        <v>4799</v>
      </c>
      <c r="C1536" s="2" t="s">
        <v>4742</v>
      </c>
      <c r="D1536" s="14" t="s">
        <v>4743</v>
      </c>
    </row>
    <row r="1537">
      <c r="A1537" s="2" t="s">
        <v>4798</v>
      </c>
      <c r="B1537" s="2" t="s">
        <v>4799</v>
      </c>
      <c r="C1537" s="2" t="s">
        <v>4744</v>
      </c>
      <c r="D1537" s="14" t="s">
        <v>4745</v>
      </c>
    </row>
    <row r="1538">
      <c r="A1538" s="2" t="s">
        <v>4798</v>
      </c>
      <c r="B1538" s="2" t="s">
        <v>4799</v>
      </c>
      <c r="C1538" s="2" t="s">
        <v>4746</v>
      </c>
      <c r="D1538" s="14" t="s">
        <v>4747</v>
      </c>
    </row>
    <row r="1539">
      <c r="A1539" s="2" t="s">
        <v>4798</v>
      </c>
      <c r="B1539" s="2" t="s">
        <v>4799</v>
      </c>
      <c r="C1539" s="2" t="s">
        <v>4749</v>
      </c>
      <c r="D1539" s="14" t="s">
        <v>4750</v>
      </c>
    </row>
    <row r="1540">
      <c r="A1540" s="2" t="s">
        <v>4798</v>
      </c>
      <c r="B1540" s="2" t="s">
        <v>4799</v>
      </c>
      <c r="C1540" s="2" t="s">
        <v>4751</v>
      </c>
      <c r="D1540" s="14" t="s">
        <v>4752</v>
      </c>
    </row>
    <row r="1541">
      <c r="A1541" s="2" t="s">
        <v>4798</v>
      </c>
      <c r="B1541" s="2" t="s">
        <v>4799</v>
      </c>
      <c r="C1541" s="2" t="s">
        <v>4827</v>
      </c>
      <c r="D1541" s="14" t="s">
        <v>4753</v>
      </c>
    </row>
    <row r="1542">
      <c r="A1542" s="2" t="s">
        <v>4798</v>
      </c>
      <c r="B1542" s="2" t="s">
        <v>4828</v>
      </c>
      <c r="C1542" s="2" t="s">
        <v>4755</v>
      </c>
      <c r="D1542" s="14" t="s">
        <v>4756</v>
      </c>
    </row>
    <row r="1543">
      <c r="A1543" s="2" t="s">
        <v>4798</v>
      </c>
      <c r="B1543" s="2" t="s">
        <v>4828</v>
      </c>
      <c r="C1543" s="2" t="s">
        <v>4757</v>
      </c>
      <c r="D1543" s="14" t="s">
        <v>4758</v>
      </c>
    </row>
    <row r="1544">
      <c r="A1544" s="2" t="s">
        <v>4798</v>
      </c>
      <c r="B1544" s="2" t="s">
        <v>4828</v>
      </c>
      <c r="C1544" s="2" t="s">
        <v>4759</v>
      </c>
      <c r="D1544" s="14" t="s">
        <v>4760</v>
      </c>
    </row>
    <row r="1545">
      <c r="A1545" s="2" t="s">
        <v>4798</v>
      </c>
      <c r="B1545" s="2" t="s">
        <v>4828</v>
      </c>
      <c r="C1545" s="2" t="s">
        <v>4761</v>
      </c>
      <c r="D1545" s="14" t="s">
        <v>4762</v>
      </c>
    </row>
    <row r="1546">
      <c r="A1546" s="2" t="s">
        <v>4798</v>
      </c>
      <c r="B1546" s="2" t="s">
        <v>4829</v>
      </c>
      <c r="C1546" s="2" t="s">
        <v>4830</v>
      </c>
      <c r="D1546" s="14" t="s">
        <v>4765</v>
      </c>
    </row>
    <row r="1547">
      <c r="A1547" s="2" t="s">
        <v>4798</v>
      </c>
      <c r="B1547" s="2" t="s">
        <v>4829</v>
      </c>
      <c r="C1547" s="2" t="s">
        <v>4767</v>
      </c>
      <c r="D1547" s="14" t="s">
        <v>4768</v>
      </c>
    </row>
    <row r="1548">
      <c r="A1548" s="2" t="s">
        <v>4798</v>
      </c>
      <c r="B1548" s="2" t="s">
        <v>4829</v>
      </c>
      <c r="C1548" s="2" t="s">
        <v>4769</v>
      </c>
      <c r="D1548" s="14" t="s">
        <v>4770</v>
      </c>
    </row>
    <row r="1549">
      <c r="A1549" s="2" t="s">
        <v>4798</v>
      </c>
      <c r="B1549" s="2" t="s">
        <v>4829</v>
      </c>
      <c r="C1549" s="2" t="s">
        <v>4831</v>
      </c>
      <c r="D1549" s="14" t="s">
        <v>4771</v>
      </c>
    </row>
    <row r="1550">
      <c r="A1550" s="2" t="s">
        <v>4798</v>
      </c>
      <c r="B1550" s="2" t="s">
        <v>4829</v>
      </c>
      <c r="C1550" s="2" t="s">
        <v>4832</v>
      </c>
      <c r="D1550" s="14" t="s">
        <v>4772</v>
      </c>
    </row>
    <row r="1551">
      <c r="A1551" s="2" t="s">
        <v>4798</v>
      </c>
      <c r="B1551" s="2" t="s">
        <v>4829</v>
      </c>
      <c r="C1551" s="2" t="s">
        <v>4833</v>
      </c>
      <c r="D1551" s="14" t="s">
        <v>4773</v>
      </c>
    </row>
    <row r="1552">
      <c r="A1552" s="2" t="s">
        <v>4798</v>
      </c>
      <c r="B1552" s="2" t="s">
        <v>4834</v>
      </c>
      <c r="C1552" s="2" t="s">
        <v>4774</v>
      </c>
      <c r="D1552" s="14" t="s">
        <v>4775</v>
      </c>
    </row>
    <row r="1553">
      <c r="A1553" s="2" t="s">
        <v>4798</v>
      </c>
      <c r="B1553" s="2" t="s">
        <v>4834</v>
      </c>
      <c r="C1553" s="2" t="s">
        <v>4776</v>
      </c>
      <c r="D1553" s="14" t="s">
        <v>4777</v>
      </c>
    </row>
    <row r="1554">
      <c r="A1554" s="2" t="s">
        <v>4798</v>
      </c>
      <c r="B1554" s="2" t="s">
        <v>4834</v>
      </c>
      <c r="C1554" s="2" t="s">
        <v>4778</v>
      </c>
      <c r="D1554" s="14" t="s">
        <v>4779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</hyperlinks>
  <drawing r:id="rId155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777</v>
      </c>
      <c r="B1" s="2" t="s">
        <v>779</v>
      </c>
      <c r="C1" s="2" t="s">
        <v>780</v>
      </c>
      <c r="D1" s="2" t="s">
        <v>781</v>
      </c>
      <c r="E1" s="2" t="s">
        <v>783</v>
      </c>
      <c r="F1" s="2" t="s">
        <v>786</v>
      </c>
      <c r="G1" s="2" t="s">
        <v>787</v>
      </c>
      <c r="H1" s="2" t="s">
        <v>789</v>
      </c>
    </row>
    <row r="2">
      <c r="A2" s="2" t="s">
        <v>790</v>
      </c>
      <c r="B2" s="2" t="s">
        <v>791</v>
      </c>
      <c r="C2" s="4">
        <v>1448.0</v>
      </c>
      <c r="D2" s="4">
        <v>1448.0</v>
      </c>
      <c r="E2" s="4">
        <v>1463.0</v>
      </c>
      <c r="F2" s="4">
        <v>20.0</v>
      </c>
      <c r="G2" s="15" t="s">
        <v>792</v>
      </c>
      <c r="H2" s="4">
        <v>1449.0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34.75"/>
  </cols>
  <sheetData>
    <row r="1">
      <c r="A1" s="5" t="s">
        <v>809</v>
      </c>
    </row>
    <row r="2">
      <c r="A2" s="5" t="s">
        <v>812</v>
      </c>
    </row>
    <row r="3">
      <c r="A3" s="5" t="s">
        <v>813</v>
      </c>
    </row>
    <row r="4">
      <c r="A4" s="5" t="s">
        <v>815</v>
      </c>
    </row>
    <row r="5">
      <c r="A5" s="5" t="s">
        <v>816</v>
      </c>
    </row>
    <row r="6">
      <c r="A6" s="5" t="s">
        <v>818</v>
      </c>
    </row>
    <row r="7">
      <c r="A7" s="5" t="s">
        <v>819</v>
      </c>
    </row>
    <row r="8">
      <c r="A8" s="5" t="s">
        <v>821</v>
      </c>
    </row>
    <row r="9">
      <c r="A9" s="5" t="s">
        <v>823</v>
      </c>
    </row>
    <row r="10">
      <c r="A10" s="5" t="s">
        <v>824</v>
      </c>
    </row>
    <row r="11">
      <c r="A11" s="5" t="s">
        <v>826</v>
      </c>
    </row>
    <row r="12">
      <c r="A12" s="5" t="s">
        <v>827</v>
      </c>
    </row>
    <row r="13">
      <c r="A13" s="5" t="s">
        <v>828</v>
      </c>
    </row>
    <row r="14">
      <c r="A14" s="5" t="s">
        <v>830</v>
      </c>
    </row>
    <row r="15">
      <c r="A15" s="5" t="s">
        <v>833</v>
      </c>
    </row>
    <row r="16">
      <c r="A16" s="5" t="s">
        <v>836</v>
      </c>
    </row>
    <row r="17">
      <c r="A17" s="5" t="s">
        <v>837</v>
      </c>
    </row>
    <row r="18">
      <c r="A18" s="5" t="s">
        <v>839</v>
      </c>
    </row>
    <row r="19">
      <c r="A19" s="5" t="s">
        <v>841</v>
      </c>
    </row>
    <row r="20">
      <c r="A20" s="5" t="s">
        <v>843</v>
      </c>
      <c r="B20" s="8" t="str">
        <f>IFERROR(__xludf.DUMMYFUNCTION("TRIM(REGEXEXTRACT(A20,""(iPhone[^(]+)\(""))&amp;"" ""&amp;REGEXEXTRACT(A20,""(\d+)\s*ГБ"")&amp;"" ""&amp;TRIM(REGEXEXTRACT(A20,""ГБ\s+(.+)$""))&amp;"" ""&amp;IF(REGEXMATCH(A20,""\(eSim\)""),""eSim"",""Sim"")"),"iPhone 17 512 Зелёный eSim")</f>
        <v>iPhone 17 512 Зелёный eSim</v>
      </c>
    </row>
    <row r="21">
      <c r="A21" s="5" t="s">
        <v>765</v>
      </c>
    </row>
    <row r="22">
      <c r="A22" s="5" t="s">
        <v>804</v>
      </c>
    </row>
    <row r="23">
      <c r="A23" s="5" t="s">
        <v>855</v>
      </c>
    </row>
    <row r="24">
      <c r="A24" s="5" t="s">
        <v>857</v>
      </c>
    </row>
    <row r="25">
      <c r="A25" s="5" t="s">
        <v>858</v>
      </c>
    </row>
    <row r="26">
      <c r="A26" s="5" t="s">
        <v>860</v>
      </c>
    </row>
    <row r="27">
      <c r="A27" s="5" t="s">
        <v>861</v>
      </c>
    </row>
    <row r="28">
      <c r="A28" s="5" t="s">
        <v>863</v>
      </c>
    </row>
    <row r="29">
      <c r="A29" s="5" t="s">
        <v>864</v>
      </c>
    </row>
    <row r="30">
      <c r="A30" s="5" t="s">
        <v>866</v>
      </c>
    </row>
    <row r="31">
      <c r="A31" s="5" t="s">
        <v>867</v>
      </c>
    </row>
    <row r="32">
      <c r="A32" s="5" t="s">
        <v>870</v>
      </c>
    </row>
    <row r="33">
      <c r="A33" s="5" t="s">
        <v>872</v>
      </c>
    </row>
    <row r="34">
      <c r="A34" s="5" t="s">
        <v>874</v>
      </c>
    </row>
    <row r="35">
      <c r="A35" s="5" t="s">
        <v>876</v>
      </c>
    </row>
    <row r="36">
      <c r="A36" s="5" t="s">
        <v>877</v>
      </c>
    </row>
    <row r="37">
      <c r="A37" s="5" t="s">
        <v>879</v>
      </c>
    </row>
    <row r="38">
      <c r="A38" s="5" t="s">
        <v>880</v>
      </c>
    </row>
    <row r="39">
      <c r="A39" s="5" t="s">
        <v>882</v>
      </c>
    </row>
    <row r="40">
      <c r="A40" s="5" t="s">
        <v>884</v>
      </c>
    </row>
    <row r="41">
      <c r="A41" s="5" t="s">
        <v>887</v>
      </c>
    </row>
    <row r="42">
      <c r="A42" s="5" t="s">
        <v>888</v>
      </c>
    </row>
    <row r="43">
      <c r="A43" s="5" t="s">
        <v>890</v>
      </c>
    </row>
    <row r="44">
      <c r="A44" s="5" t="s">
        <v>891</v>
      </c>
    </row>
    <row r="45">
      <c r="A45" s="5" t="s">
        <v>893</v>
      </c>
    </row>
    <row r="46">
      <c r="A46" s="5" t="s">
        <v>894</v>
      </c>
    </row>
    <row r="47">
      <c r="A47" s="5" t="s">
        <v>896</v>
      </c>
    </row>
    <row r="48">
      <c r="A48" s="5" t="s">
        <v>897</v>
      </c>
    </row>
    <row r="49">
      <c r="A49" s="5" t="s">
        <v>899</v>
      </c>
    </row>
    <row r="50">
      <c r="A50" s="5" t="s">
        <v>893</v>
      </c>
    </row>
    <row r="51">
      <c r="A51" s="5" t="s">
        <v>902</v>
      </c>
    </row>
    <row r="52">
      <c r="A52" s="5" t="s">
        <v>905</v>
      </c>
    </row>
    <row r="53">
      <c r="A53" s="5" t="s">
        <v>906</v>
      </c>
    </row>
    <row r="54">
      <c r="A54" s="5" t="s">
        <v>908</v>
      </c>
    </row>
    <row r="55">
      <c r="A55" s="5" t="s">
        <v>910</v>
      </c>
    </row>
    <row r="56">
      <c r="A56" s="5" t="s">
        <v>913</v>
      </c>
    </row>
    <row r="57">
      <c r="A57" s="5" t="s">
        <v>915</v>
      </c>
    </row>
    <row r="58">
      <c r="A58" s="5" t="s">
        <v>917</v>
      </c>
    </row>
    <row r="59">
      <c r="A59" s="5" t="s">
        <v>919</v>
      </c>
    </row>
    <row r="60">
      <c r="A60" s="5" t="s">
        <v>921</v>
      </c>
    </row>
    <row r="61">
      <c r="A61" s="5" t="s">
        <v>922</v>
      </c>
    </row>
    <row r="62">
      <c r="A62" s="5" t="s">
        <v>924</v>
      </c>
    </row>
    <row r="63">
      <c r="A63" s="5" t="s">
        <v>926</v>
      </c>
    </row>
    <row r="64">
      <c r="A64" s="5" t="s">
        <v>927</v>
      </c>
    </row>
    <row r="65">
      <c r="A65" s="5" t="s">
        <v>929</v>
      </c>
    </row>
    <row r="66">
      <c r="A66" s="5" t="s">
        <v>931</v>
      </c>
    </row>
    <row r="67">
      <c r="A67" s="5" t="s">
        <v>933</v>
      </c>
    </row>
    <row r="68">
      <c r="A68" s="5" t="s">
        <v>935</v>
      </c>
    </row>
    <row r="69">
      <c r="A69" s="5" t="s">
        <v>936</v>
      </c>
    </row>
    <row r="70">
      <c r="A70" s="5" t="s">
        <v>938</v>
      </c>
    </row>
    <row r="71">
      <c r="A71" s="5" t="s">
        <v>939</v>
      </c>
    </row>
    <row r="72">
      <c r="A72" s="5" t="s">
        <v>941</v>
      </c>
    </row>
    <row r="73">
      <c r="A73" s="5" t="s">
        <v>943</v>
      </c>
    </row>
    <row r="74">
      <c r="A74" s="5" t="s">
        <v>945</v>
      </c>
    </row>
    <row r="75">
      <c r="A75" s="5" t="s">
        <v>947</v>
      </c>
    </row>
    <row r="76">
      <c r="A76" s="5" t="s">
        <v>948</v>
      </c>
      <c r="B76" s="8" t="str">
        <f>IFERROR(__xludf.DUMMYFUNCTION("TRIM(REGEXEXTRACT(A76,""(iPhone[^(]+)\(""))&amp;"" ""&amp;REGEXEXTRACT(A76,""(\d+)\s*ГБ"")&amp;"" ""&amp;TRIM(REGEXEXTRACT(A76,""ГБ\s+(.+)$""))&amp;"" ""&amp;IF(REGEXMATCH(A76,""\(eSim\)""),""eSim"",""Sim"")"),"#N/A")</f>
        <v>#N/A</v>
      </c>
    </row>
    <row r="77">
      <c r="A77" s="5" t="s">
        <v>34</v>
      </c>
      <c r="B77" s="8" t="str">
        <f>IFERROR(__xludf.DUMMYFUNCTION("TRIM(REGEXEXTRACT(A77,""(iPhone[^(]+)\(""))&amp;"" ""&amp;REGEXEXTRACT(A77,""(\d+)\s*ГБ"")&amp;"" ""&amp;TRIM(REGEXEXTRACT(A77,""ГБ\s+(.+)$""))&amp;"" ""&amp;IF(REGEXMATCH(A77,""\(eSim\)""),""eSim"",""Sim"")"),"#N/A")</f>
        <v>#N/A</v>
      </c>
    </row>
    <row r="78">
      <c r="A78" s="5" t="s">
        <v>953</v>
      </c>
      <c r="B78" s="8" t="str">
        <f>IFERROR(__xludf.DUMMYFUNCTION("TRIM(REGEXEXTRACT(A78,""(iPhone[^(]+)\(""))&amp;"" ""&amp;REGEXEXTRACT(A78,""(\d+)\s*ГБ"")&amp;"" ""&amp;TRIM(REGEXEXTRACT(A78,""ГБ\s+(.+)$""))&amp;"" ""&amp;IF(REGEXMATCH(A78,""\(eSim\)""),""eSim"",""Sim"")"),"#N/A")</f>
        <v>#N/A</v>
      </c>
    </row>
    <row r="79">
      <c r="A79" s="5" t="s">
        <v>954</v>
      </c>
      <c r="B79" s="8" t="str">
        <f>IFERROR(__xludf.DUMMYFUNCTION("TRIM(REGEXEXTRACT(A79,""(iPhone[^(]+)\(""))&amp;"" ""&amp;REGEXEXTRACT(A79,""(\d+)\s*ГБ"")&amp;"" ""&amp;TRIM(REGEXEXTRACT(A79,""ГБ\s+(.+)$""))&amp;"" ""&amp;IF(REGEXMATCH(A79,""\(eSim\)""),""eSim"",""Sim"")"),"#N/A")</f>
        <v>#N/A</v>
      </c>
    </row>
    <row r="80">
      <c r="A80" s="5" t="s">
        <v>91</v>
      </c>
      <c r="B80" s="8" t="str">
        <f>IFERROR(__xludf.DUMMYFUNCTION("TRIM(REGEXEXTRACT(A80,""(iPhone[^(]+)\(""))&amp;"" ""&amp;REGEXEXTRACT(A80,""(\d+)\s*ГБ"")&amp;"" ""&amp;TRIM(REGEXEXTRACT(A80,""ГБ\s+(.+)$""))&amp;"" ""&amp;IF(REGEXMATCH(A80,""\(eSim\)""),""eSim"",""Sim"")"),"#N/A")</f>
        <v>#N/A</v>
      </c>
    </row>
    <row r="81">
      <c r="A81" s="5" t="s">
        <v>957</v>
      </c>
      <c r="B81" s="8" t="str">
        <f>IFERROR(__xludf.DUMMYFUNCTION("TRIM(REGEXEXTRACT(A81,""(iPhone[^(]+)\(""))&amp;"" ""&amp;REGEXEXTRACT(A81,""(\d+)\s*ГБ"")&amp;"" ""&amp;TRIM(REGEXEXTRACT(A81,""ГБ\s+(.+)$""))&amp;"" ""&amp;IF(REGEXMATCH(A81,""\(eSim\)""),""eSim"",""Sim"")"),"#N/A")</f>
        <v>#N/A</v>
      </c>
    </row>
    <row r="82">
      <c r="A82" s="5" t="s">
        <v>960</v>
      </c>
      <c r="B82" s="8" t="str">
        <f>IFERROR(__xludf.DUMMYFUNCTION("TRIM(REGEXEXTRACT(A82,""(iPhone[^(]+)\(""))&amp;"" ""&amp;REGEXEXTRACT(A82,""(\d+)\s*ГБ"")&amp;"" ""&amp;TRIM(REGEXEXTRACT(A82,""ГБ\s+(.+)$""))&amp;"" ""&amp;IF(REGEXMATCH(A82,""\(eSim\)""),""eSim"",""Sim"")"),"#N/A")</f>
        <v>#N/A</v>
      </c>
    </row>
    <row r="83">
      <c r="A83" s="5" t="s">
        <v>961</v>
      </c>
      <c r="B83" s="8" t="str">
        <f>IFERROR(__xludf.DUMMYFUNCTION("TRIM(REGEXEXTRACT(A83,""(iPhone[^(]+)\(""))&amp;"" ""&amp;REGEXEXTRACT(A83,""(\d+)\s*ГБ"")&amp;"" ""&amp;TRIM(REGEXEXTRACT(A83,""ГБ\s+(.+)$""))&amp;"" ""&amp;IF(REGEXMATCH(A83,""\(eSim\)""),""eSim"",""Sim"")"),"#N/A")</f>
        <v>#N/A</v>
      </c>
    </row>
    <row r="84">
      <c r="A84" s="5" t="s">
        <v>965</v>
      </c>
      <c r="B84" s="8" t="str">
        <f>IFERROR(__xludf.DUMMYFUNCTION("TRIM(REGEXEXTRACT(A84,""(iPhone[^(]+)\(""))&amp;"" ""&amp;REGEXEXTRACT(A84,""(\d+)\s*ГБ"")&amp;"" ""&amp;TRIM(REGEXEXTRACT(A84,""ГБ\s+(.+)$""))&amp;"" ""&amp;IF(REGEXMATCH(A84,""\(eSim\)""),""eSim"",""Sim"")"),"iPhone 18 Pro 1024 Бургунди eSim")</f>
        <v>iPhone 18 Pro 1024 Бургунди eSim</v>
      </c>
      <c r="C84" s="5"/>
      <c r="D84" s="5" t="s">
        <v>966</v>
      </c>
    </row>
    <row r="85">
      <c r="A85" s="5" t="s">
        <v>967</v>
      </c>
      <c r="B85" s="8" t="str">
        <f>IFERROR(__xludf.DUMMYFUNCTION("TRIM(REGEXEXTRACT(A85,""(iPhone[^(]+)\(""))&amp;"" ""&amp;REGEXEXTRACT(A85,""(\d+)\s*ГБ"")&amp;"" ""&amp;TRIM(REGEXEXTRACT(A85,""ГБ\s+(.+)$""))&amp;"" ""&amp;IF(REGEXMATCH(A85,""\(eSim\)""),""eSim"",""Sim"")"),"iPhone 18 Pro 1024 Небесно-голубой eSim")</f>
        <v>iPhone 18 Pro 1024 Небесно-голубой eSim</v>
      </c>
      <c r="C85" s="5"/>
      <c r="D85" s="5" t="s">
        <v>969</v>
      </c>
    </row>
    <row r="86">
      <c r="A86" s="5" t="s">
        <v>970</v>
      </c>
      <c r="B86" s="8" t="str">
        <f>IFERROR(__xludf.DUMMYFUNCTION("TRIM(REGEXEXTRACT(A86,""(iPhone[^(]+)\(""))&amp;"" ""&amp;REGEXEXTRACT(A86,""(\d+)\s*ГБ"")&amp;"" ""&amp;TRIM(REGEXEXTRACT(A86,""ГБ\s+(.+)$""))&amp;"" ""&amp;IF(REGEXMATCH(A86,""\(eSim\)""),""eSim"",""Sim"")"),"iPhone 18 Pro 1024 Серебристый eSim")</f>
        <v>iPhone 18 Pro 1024 Серебристый eSim</v>
      </c>
      <c r="C86" s="5"/>
      <c r="D86" s="5" t="s">
        <v>974</v>
      </c>
    </row>
    <row r="87">
      <c r="A87" s="5" t="s">
        <v>975</v>
      </c>
      <c r="B87" s="8" t="str">
        <f>IFERROR(__xludf.DUMMYFUNCTION("TRIM(REGEXEXTRACT(A87,""(iPhone[^(]+)\(""))&amp;"" ""&amp;REGEXEXTRACT(A87,""(\d+)\s*ГБ"")&amp;"" ""&amp;TRIM(REGEXEXTRACT(A87,""ГБ\s+(.+)$""))&amp;"" ""&amp;IF(REGEXMATCH(A87,""\(eSim\)""),""eSim"",""Sim"")"),"iPhone 18 Pro 1024 Черный eSim")</f>
        <v>iPhone 18 Pro 1024 Черный eSim</v>
      </c>
      <c r="C87" s="5"/>
      <c r="D87" s="5" t="s">
        <v>979</v>
      </c>
    </row>
    <row r="88">
      <c r="A88" s="5" t="s">
        <v>980</v>
      </c>
      <c r="B88" s="8" t="str">
        <f>IFERROR(__xludf.DUMMYFUNCTION("TRIM(REGEXEXTRACT(A88,""(iPhone[^(]+)\(""))&amp;"" ""&amp;REGEXEXTRACT(A88,""(\d+)\s*ГБ"")&amp;"" ""&amp;TRIM(REGEXEXTRACT(A88,""ГБ\s+(.+)$""))&amp;"" ""&amp;IF(REGEXMATCH(A88,""\(eSim\)""),""eSim"",""Sim"")"),"iPhone 18 Pro 2048 Бургунди eSim")</f>
        <v>iPhone 18 Pro 2048 Бургунди eSim</v>
      </c>
      <c r="C88" s="5"/>
      <c r="D88" s="5" t="s">
        <v>981</v>
      </c>
    </row>
    <row r="89">
      <c r="A89" s="5" t="s">
        <v>982</v>
      </c>
      <c r="B89" s="8" t="str">
        <f>IFERROR(__xludf.DUMMYFUNCTION("TRIM(REGEXEXTRACT(A89,""(iPhone[^(]+)\(""))&amp;"" ""&amp;REGEXEXTRACT(A89,""(\d+)\s*ГБ"")&amp;"" ""&amp;TRIM(REGEXEXTRACT(A89,""ГБ\s+(.+)$""))&amp;"" ""&amp;IF(REGEXMATCH(A89,""\(eSim\)""),""eSim"",""Sim"")"),"iPhone 18 Pro 2048 Небесно-голубой eSim")</f>
        <v>iPhone 18 Pro 2048 Небесно-голубой eSim</v>
      </c>
      <c r="C89" s="5"/>
      <c r="D89" s="5" t="s">
        <v>987</v>
      </c>
    </row>
    <row r="90">
      <c r="A90" s="5" t="s">
        <v>988</v>
      </c>
      <c r="B90" s="8" t="str">
        <f>IFERROR(__xludf.DUMMYFUNCTION("TRIM(REGEXEXTRACT(A90,""(iPhone[^(]+)\(""))&amp;"" ""&amp;REGEXEXTRACT(A90,""(\d+)\s*ГБ"")&amp;"" ""&amp;TRIM(REGEXEXTRACT(A90,""ГБ\s+(.+)$""))&amp;"" ""&amp;IF(REGEXMATCH(A90,""\(eSim\)""),""eSim"",""Sim"")"),"iPhone 18 Pro 2048 Серебристый eSim")</f>
        <v>iPhone 18 Pro 2048 Серебристый eSim</v>
      </c>
      <c r="C90" s="5"/>
      <c r="D90" s="5" t="s">
        <v>991</v>
      </c>
    </row>
    <row r="91">
      <c r="A91" s="5" t="s">
        <v>992</v>
      </c>
      <c r="B91" s="8" t="str">
        <f>IFERROR(__xludf.DUMMYFUNCTION("TRIM(REGEXEXTRACT(A91,""(iPhone[^(]+)\(""))&amp;"" ""&amp;REGEXEXTRACT(A91,""(\d+)\s*ГБ"")&amp;"" ""&amp;TRIM(REGEXEXTRACT(A91,""ГБ\s+(.+)$""))&amp;"" ""&amp;IF(REGEXMATCH(A91,""\(eSim\)""),""eSim"",""Sim"")"),"iPhone 18 Pro 2048 Черный eSim")</f>
        <v>iPhone 18 Pro 2048 Черный eSim</v>
      </c>
      <c r="C91" s="5"/>
      <c r="D91" s="5" t="s">
        <v>995</v>
      </c>
    </row>
    <row r="92">
      <c r="A92" s="5" t="s">
        <v>997</v>
      </c>
      <c r="B92" s="8" t="str">
        <f>IFERROR(__xludf.DUMMYFUNCTION("TRIM(REGEXEXTRACT(A92,""(iPhone[^(]+)\(""))&amp;"" ""&amp;REGEXEXTRACT(A92,""(\d+)\s*ГБ"")&amp;"" ""&amp;TRIM(REGEXEXTRACT(A92,""ГБ\s+(.+)$""))&amp;"" ""&amp;IF(REGEXMATCH(A92,""\(eSim\)""),""eSim"",""Sim"")"),"#N/A")</f>
        <v>#N/A</v>
      </c>
    </row>
    <row r="93">
      <c r="A93" s="5" t="s">
        <v>998</v>
      </c>
      <c r="B93" s="8" t="str">
        <f>IFERROR(__xludf.DUMMYFUNCTION("TRIM(REGEXEXTRACT(A93,""(iPhone[^(]+)\(""))&amp;"" ""&amp;REGEXEXTRACT(A93,""(\d+)\s*ГБ"")&amp;"" ""&amp;TRIM(REGEXEXTRACT(A93,""ГБ\s+(.+)$""))&amp;"" ""&amp;IF(REGEXMATCH(A93,""\(eSim\)""),""eSim"",""Sim"")"),"#N/A")</f>
        <v>#N/A</v>
      </c>
    </row>
    <row r="94">
      <c r="A94" s="5" t="s">
        <v>1003</v>
      </c>
      <c r="B94" s="8" t="str">
        <f>IFERROR(__xludf.DUMMYFUNCTION("TRIM(REGEXEXTRACT(A94,""(iPhone[^(]+)\(""))&amp;"" ""&amp;REGEXEXTRACT(A94,""(\d+)\s*ГБ"")&amp;"" ""&amp;TRIM(REGEXEXTRACT(A94,""ГБ\s+(.+)$""))&amp;"" ""&amp;IF(REGEXMATCH(A94,""\(eSim\)""),""eSim"",""Sim"")"),"#N/A")</f>
        <v>#N/A</v>
      </c>
    </row>
    <row r="95">
      <c r="A95" s="5" t="s">
        <v>1005</v>
      </c>
      <c r="B95" s="8" t="str">
        <f>IFERROR(__xludf.DUMMYFUNCTION("TRIM(REGEXEXTRACT(A95,""(iPhone[^(]+)\(""))&amp;"" ""&amp;REGEXEXTRACT(A95,""(\d+)\s*ГБ"")&amp;"" ""&amp;TRIM(REGEXEXTRACT(A95,""ГБ\s+(.+)$""))&amp;"" ""&amp;IF(REGEXMATCH(A95,""\(eSim\)""),""eSim"",""Sim"")"),"#N/A")</f>
        <v>#N/A</v>
      </c>
    </row>
    <row r="96">
      <c r="A96" s="5" t="s">
        <v>1006</v>
      </c>
      <c r="B96" s="8" t="str">
        <f>IFERROR(__xludf.DUMMYFUNCTION("TRIM(REGEXEXTRACT(A96,""(iPhone[^(]+)\(""))&amp;"" ""&amp;REGEXEXTRACT(A96,""(\d+)\s*ГБ"")&amp;"" ""&amp;TRIM(REGEXEXTRACT(A96,""ГБ\s+(.+)$""))&amp;"" ""&amp;IF(REGEXMATCH(A96,""\(eSim\)""),""eSim"",""Sim"")"),"#N/A")</f>
        <v>#N/A</v>
      </c>
    </row>
    <row r="97">
      <c r="A97" s="5" t="s">
        <v>1008</v>
      </c>
      <c r="B97" s="8" t="str">
        <f>IFERROR(__xludf.DUMMYFUNCTION("TRIM(REGEXEXTRACT(A97,""(iPhone[^(]+)\(""))&amp;"" ""&amp;REGEXEXTRACT(A97,""(\d+)\s*ГБ"")&amp;"" ""&amp;TRIM(REGEXEXTRACT(A97,""ГБ\s+(.+)$""))&amp;"" ""&amp;IF(REGEXMATCH(A97,""\(eSim\)""),""eSim"",""Sim"")"),"#N/A")</f>
        <v>#N/A</v>
      </c>
    </row>
    <row r="98">
      <c r="A98" s="5" t="s">
        <v>1013</v>
      </c>
      <c r="B98" s="8" t="str">
        <f>IFERROR(__xludf.DUMMYFUNCTION("TRIM(REGEXEXTRACT(A98,""(iPhone[^(]+)\(""))&amp;"" ""&amp;REGEXEXTRACT(A98,""(\d+)\s*ГБ"")&amp;"" ""&amp;TRIM(REGEXEXTRACT(A98,""ГБ\s+(.+)$""))&amp;"" ""&amp;IF(REGEXMATCH(A98,""\(eSim\)""),""eSim"",""Sim"")"),"#N/A")</f>
        <v>#N/A</v>
      </c>
    </row>
    <row r="99">
      <c r="A99" s="5" t="s">
        <v>1015</v>
      </c>
      <c r="B99" s="8" t="str">
        <f>IFERROR(__xludf.DUMMYFUNCTION("TRIM(REGEXEXTRACT(A99,""(iPhone[^(]+)\(""))&amp;"" ""&amp;REGEXEXTRACT(A99,""(\d+)\s*ГБ"")&amp;"" ""&amp;TRIM(REGEXEXTRACT(A99,""ГБ\s+(.+)$""))&amp;"" ""&amp;IF(REGEXMATCH(A99,""\(eSim\)""),""eSim"",""Sim"")"),"#N/A")</f>
        <v>#N/A</v>
      </c>
    </row>
    <row r="100">
      <c r="A100" s="5" t="s">
        <v>1016</v>
      </c>
      <c r="B100" s="8" t="str">
        <f>IFERROR(__xludf.DUMMYFUNCTION("TRIM(REGEXEXTRACT(A100,""(iPhone[^(]+)\(""))&amp;"" ""&amp;REGEXEXTRACT(A100,""(\d+)\s*ГБ"")&amp;"" ""&amp;TRIM(REGEXEXTRACT(A100,""ГБ\s+(.+)$""))&amp;"" ""&amp;IF(REGEXMATCH(A100,""\(eSim\)""),""eSim"",""Sim"")"),"iPhone 18 Pro 1024 Бургунди Sim")</f>
        <v>iPhone 18 Pro 1024 Бургунди Sim</v>
      </c>
      <c r="C100" s="5" t="s">
        <v>1020</v>
      </c>
    </row>
    <row r="101">
      <c r="A101" s="5" t="s">
        <v>1022</v>
      </c>
      <c r="B101" s="8" t="str">
        <f>IFERROR(__xludf.DUMMYFUNCTION("TRIM(REGEXEXTRACT(A101,""(iPhone[^(]+)\(""))&amp;"" ""&amp;REGEXEXTRACT(A101,""(\d+)\s*ГБ"")&amp;"" ""&amp;TRIM(REGEXEXTRACT(A101,""ГБ\s+(.+)$""))&amp;"" ""&amp;IF(REGEXMATCH(A101,""\(eSim\)""),""eSim"",""Sim"")"),"iPhone 18 Pro 1024 Небесно-голубой Sim")</f>
        <v>iPhone 18 Pro 1024 Небесно-голубой Sim</v>
      </c>
      <c r="C101" s="5" t="s">
        <v>1026</v>
      </c>
    </row>
    <row r="102">
      <c r="A102" s="5" t="s">
        <v>1027</v>
      </c>
      <c r="B102" s="8" t="str">
        <f>IFERROR(__xludf.DUMMYFUNCTION("TRIM(REGEXEXTRACT(A102,""(iPhone[^(]+)\(""))&amp;"" ""&amp;REGEXEXTRACT(A102,""(\d+)\s*ГБ"")&amp;"" ""&amp;TRIM(REGEXEXTRACT(A102,""ГБ\s+(.+)$""))&amp;"" ""&amp;IF(REGEXMATCH(A102,""\(eSim\)""),""eSim"",""Sim"")"),"iPhone 18 Pro 1024 Серебристый Sim")</f>
        <v>iPhone 18 Pro 1024 Серебристый Sim</v>
      </c>
      <c r="C102" s="5" t="s">
        <v>1029</v>
      </c>
    </row>
    <row r="103">
      <c r="A103" s="5" t="s">
        <v>1031</v>
      </c>
      <c r="B103" s="8" t="str">
        <f>IFERROR(__xludf.DUMMYFUNCTION("TRIM(REGEXEXTRACT(A103,""(iPhone[^(]+)\(""))&amp;"" ""&amp;REGEXEXTRACT(A103,""(\d+)\s*ГБ"")&amp;"" ""&amp;TRIM(REGEXEXTRACT(A103,""ГБ\s+(.+)$""))&amp;"" ""&amp;IF(REGEXMATCH(A103,""\(eSim\)""),""eSim"",""Sim"")"),"iPhone 18 Pro 1024 Черный Sim")</f>
        <v>iPhone 18 Pro 1024 Черный Sim</v>
      </c>
      <c r="C103" s="5" t="s">
        <v>1033</v>
      </c>
    </row>
    <row r="104">
      <c r="A104" s="5" t="s">
        <v>1036</v>
      </c>
      <c r="B104" s="8" t="str">
        <f>IFERROR(__xludf.DUMMYFUNCTION("TRIM(REGEXEXTRACT(A104,""(iPhone[^(]+)\(""))&amp;"" ""&amp;REGEXEXTRACT(A104,""(\d+)\s*ГБ"")&amp;"" ""&amp;TRIM(REGEXEXTRACT(A104,""ГБ\s+(.+)$""))&amp;"" ""&amp;IF(REGEXMATCH(A104,""\(eSim\)""),""eSim"",""Sim"")"),"iPhone 18 Pro 2048 Бургунди Sim")</f>
        <v>iPhone 18 Pro 2048 Бургунди Sim</v>
      </c>
      <c r="C104" s="5" t="s">
        <v>1039</v>
      </c>
    </row>
    <row r="105">
      <c r="A105" s="5" t="s">
        <v>1040</v>
      </c>
      <c r="B105" s="8" t="str">
        <f>IFERROR(__xludf.DUMMYFUNCTION("TRIM(REGEXEXTRACT(A105,""(iPhone[^(]+)\(""))&amp;"" ""&amp;REGEXEXTRACT(A105,""(\d+)\s*ГБ"")&amp;"" ""&amp;TRIM(REGEXEXTRACT(A105,""ГБ\s+(.+)$""))&amp;"" ""&amp;IF(REGEXMATCH(A105,""\(eSim\)""),""eSim"",""Sim"")"),"iPhone 18 Pro 2048 Небесно-голубой Sim")</f>
        <v>iPhone 18 Pro 2048 Небесно-голубой Sim</v>
      </c>
      <c r="C105" s="5" t="s">
        <v>1043</v>
      </c>
    </row>
    <row r="106">
      <c r="A106" s="5" t="s">
        <v>1045</v>
      </c>
      <c r="B106" s="8" t="str">
        <f>IFERROR(__xludf.DUMMYFUNCTION("TRIM(REGEXEXTRACT(A106,""(iPhone[^(]+)\(""))&amp;"" ""&amp;REGEXEXTRACT(A106,""(\d+)\s*ГБ"")&amp;"" ""&amp;TRIM(REGEXEXTRACT(A106,""ГБ\s+(.+)$""))&amp;"" ""&amp;IF(REGEXMATCH(A106,""\(eSim\)""),""eSim"",""Sim"")"),"iPhone 18 Pro 2048 Серебристый Sim")</f>
        <v>iPhone 18 Pro 2048 Серебристый Sim</v>
      </c>
      <c r="C106" s="5" t="s">
        <v>1049</v>
      </c>
    </row>
    <row r="107">
      <c r="A107" s="5" t="s">
        <v>1051</v>
      </c>
      <c r="B107" s="8" t="str">
        <f>IFERROR(__xludf.DUMMYFUNCTION("TRIM(REGEXEXTRACT(A107,""(iPhone[^(]+)\(""))&amp;"" ""&amp;REGEXEXTRACT(A107,""(\d+)\s*ГБ"")&amp;"" ""&amp;TRIM(REGEXEXTRACT(A107,""ГБ\s+(.+)$""))&amp;"" ""&amp;IF(REGEXMATCH(A107,""\(eSim\)""),""eSim"",""Sim"")"),"iPhone 18 Pro 2048 Черный Sim")</f>
        <v>iPhone 18 Pro 2048 Черный Sim</v>
      </c>
      <c r="C107" s="5" t="s">
        <v>1054</v>
      </c>
    </row>
    <row r="108">
      <c r="A108" s="5" t="s">
        <v>74</v>
      </c>
      <c r="B108" s="8" t="str">
        <f>IFERROR(__xludf.DUMMYFUNCTION("TRIM(REGEXEXTRACT(A108,""(iPhone[^(]+)\(""))&amp;"" ""&amp;REGEXEXTRACT(A108,""(\d+)\s*ГБ"")&amp;"" ""&amp;TRIM(REGEXEXTRACT(A108,""ГБ\s+(.+)$""))&amp;"" ""&amp;IF(REGEXMATCH(A108,""\(eSim\)""),""eSim"",""Sim"")"),"#N/A")</f>
        <v>#N/A</v>
      </c>
    </row>
    <row r="109">
      <c r="A109" s="5" t="s">
        <v>66</v>
      </c>
      <c r="B109" s="8" t="str">
        <f>IFERROR(__xludf.DUMMYFUNCTION("TRIM(REGEXEXTRACT(A109,""(iPhone[^(]+)\(""))&amp;"" ""&amp;REGEXEXTRACT(A109,""(\d+)\s*ГБ"")&amp;"" ""&amp;TRIM(REGEXEXTRACT(A109,""ГБ\s+(.+)$""))&amp;"" ""&amp;IF(REGEXMATCH(A109,""\(eSim\)""),""eSim"",""Sim"")"),"#N/A")</f>
        <v>#N/A</v>
      </c>
    </row>
    <row r="110">
      <c r="A110" s="5" t="s">
        <v>1063</v>
      </c>
      <c r="B110" s="8" t="str">
        <f>IFERROR(__xludf.DUMMYFUNCTION("TRIM(REGEXEXTRACT(A110,""(iPhone[^(]+)\(""))&amp;"" ""&amp;REGEXEXTRACT(A110,""(\d+)\s*ГБ"")&amp;"" ""&amp;TRIM(REGEXEXTRACT(A110,""ГБ\s+(.+)$""))&amp;"" ""&amp;IF(REGEXMATCH(A110,""\(eSim\)""),""eSim"",""Sim"")"),"#N/A")</f>
        <v>#N/A</v>
      </c>
    </row>
    <row r="111">
      <c r="A111" s="5" t="s">
        <v>1064</v>
      </c>
      <c r="B111" s="8" t="str">
        <f>IFERROR(__xludf.DUMMYFUNCTION("TRIM(REGEXEXTRACT(A111,""(iPhone[^(]+)\(""))&amp;"" ""&amp;REGEXEXTRACT(A111,""(\d+)\s*ГБ"")&amp;"" ""&amp;TRIM(REGEXEXTRACT(A111,""ГБ\s+(.+)$""))&amp;"" ""&amp;IF(REGEXMATCH(A111,""\(eSim\)""),""eSim"",""Sim"")"),"#N/A")</f>
        <v>#N/A</v>
      </c>
    </row>
    <row r="112">
      <c r="A112" s="5" t="s">
        <v>69</v>
      </c>
      <c r="B112" s="8" t="str">
        <f>IFERROR(__xludf.DUMMYFUNCTION("TRIM(REGEXEXTRACT(A112,""(iPhone[^(]+)\(""))&amp;"" ""&amp;REGEXEXTRACT(A112,""(\d+)\s*ГБ"")&amp;"" ""&amp;TRIM(REGEXEXTRACT(A112,""ГБ\s+(.+)$""))&amp;"" ""&amp;IF(REGEXMATCH(A112,""\(eSim\)""),""eSim"",""Sim"")"),"#N/A")</f>
        <v>#N/A</v>
      </c>
    </row>
    <row r="113">
      <c r="A113" s="5" t="s">
        <v>64</v>
      </c>
      <c r="B113" s="8" t="str">
        <f>IFERROR(__xludf.DUMMYFUNCTION("TRIM(REGEXEXTRACT(A113,""(iPhone[^(]+)\(""))&amp;"" ""&amp;REGEXEXTRACT(A113,""(\d+)\s*ГБ"")&amp;"" ""&amp;TRIM(REGEXEXTRACT(A113,""ГБ\s+(.+)$""))&amp;"" ""&amp;IF(REGEXMATCH(A113,""\(eSim\)""),""eSim"",""Sim"")"),"#N/A")</f>
        <v>#N/A</v>
      </c>
    </row>
    <row r="114">
      <c r="A114" s="5" t="s">
        <v>1070</v>
      </c>
      <c r="B114" s="8" t="str">
        <f>IFERROR(__xludf.DUMMYFUNCTION("TRIM(REGEXEXTRACT(A114,""(iPhone[^(]+)\(""))&amp;"" ""&amp;REGEXEXTRACT(A114,""(\d+)\s*ГБ"")&amp;"" ""&amp;TRIM(REGEXEXTRACT(A114,""ГБ\s+(.+)$""))&amp;"" ""&amp;IF(REGEXMATCH(A114,""\(eSim\)""),""eSim"",""Sim"")"),"#N/A")</f>
        <v>#N/A</v>
      </c>
    </row>
    <row r="115">
      <c r="A115" s="5" t="s">
        <v>1074</v>
      </c>
      <c r="B115" s="8" t="str">
        <f>IFERROR(__xludf.DUMMYFUNCTION("TRIM(REGEXEXTRACT(A115,""(iPhone[^(]+)\(""))&amp;"" ""&amp;REGEXEXTRACT(A115,""(\d+)\s*ГБ"")&amp;"" ""&amp;TRIM(REGEXEXTRACT(A115,""ГБ\s+(.+)$""))&amp;"" ""&amp;IF(REGEXMATCH(A115,""\(eSim\)""),""eSim"",""Sim"")"),"#N/A")</f>
        <v>#N/A</v>
      </c>
    </row>
    <row r="116">
      <c r="A116" s="5" t="s">
        <v>1076</v>
      </c>
      <c r="B116" s="8" t="str">
        <f>IFERROR(__xludf.DUMMYFUNCTION("TRIM(REGEXEXTRACT(A116,""(iPhone[^(]+)\(""))&amp;"" ""&amp;REGEXEXTRACT(A116,""(\d+)\s*ГБ"")&amp;"" ""&amp;TRIM(REGEXEXTRACT(A116,""ГБ\s+(.+)$""))&amp;"" ""&amp;IF(REGEXMATCH(A116,""\(eSim\)""),""eSim"",""Sim"")"),"iPhone 18 Pro Max 1024 Бургунди eSim")</f>
        <v>iPhone 18 Pro Max 1024 Бургунди eSim</v>
      </c>
      <c r="C116" s="5" t="s">
        <v>1078</v>
      </c>
    </row>
    <row r="117">
      <c r="A117" s="5" t="s">
        <v>1079</v>
      </c>
      <c r="B117" s="8" t="str">
        <f>IFERROR(__xludf.DUMMYFUNCTION("TRIM(REGEXEXTRACT(A117,""(iPhone[^(]+)\(""))&amp;"" ""&amp;REGEXEXTRACT(A117,""(\d+)\s*ГБ"")&amp;"" ""&amp;TRIM(REGEXEXTRACT(A117,""ГБ\s+(.+)$""))&amp;"" ""&amp;IF(REGEXMATCH(A117,""\(eSim\)""),""eSim"",""Sim"")"),"iPhone 18 Pro Max 1024 Небесно-голубой eSim")</f>
        <v>iPhone 18 Pro Max 1024 Небесно-голубой eSim</v>
      </c>
      <c r="C117" s="5" t="s">
        <v>1084</v>
      </c>
    </row>
    <row r="118">
      <c r="A118" s="5" t="s">
        <v>1085</v>
      </c>
      <c r="B118" s="8" t="str">
        <f>IFERROR(__xludf.DUMMYFUNCTION("TRIM(REGEXEXTRACT(A118,""(iPhone[^(]+)\(""))&amp;"" ""&amp;REGEXEXTRACT(A118,""(\d+)\s*ГБ"")&amp;"" ""&amp;TRIM(REGEXEXTRACT(A118,""ГБ\s+(.+)$""))&amp;"" ""&amp;IF(REGEXMATCH(A118,""\(eSim\)""),""eSim"",""Sim"")"),"iPhone 18 Pro Max 1024 Серебристый eSim")</f>
        <v>iPhone 18 Pro Max 1024 Серебристый eSim</v>
      </c>
      <c r="C118" s="5" t="s">
        <v>1088</v>
      </c>
    </row>
    <row r="119">
      <c r="A119" s="5" t="s">
        <v>1089</v>
      </c>
      <c r="B119" s="8" t="str">
        <f>IFERROR(__xludf.DUMMYFUNCTION("TRIM(REGEXEXTRACT(A119,""(iPhone[^(]+)\(""))&amp;"" ""&amp;REGEXEXTRACT(A119,""(\d+)\s*ГБ"")&amp;"" ""&amp;TRIM(REGEXEXTRACT(A119,""ГБ\s+(.+)$""))&amp;"" ""&amp;IF(REGEXMATCH(A119,""\(eSim\)""),""eSim"",""Sim"")"),"iPhone 18 Pro Max 1024 Черный eSim")</f>
        <v>iPhone 18 Pro Max 1024 Черный eSim</v>
      </c>
      <c r="C119" s="5" t="s">
        <v>1092</v>
      </c>
    </row>
    <row r="120">
      <c r="A120" s="5" t="s">
        <v>1093</v>
      </c>
      <c r="B120" s="8" t="str">
        <f>IFERROR(__xludf.DUMMYFUNCTION("TRIM(REGEXEXTRACT(A120,""(iPhone[^(]+)\(""))&amp;"" ""&amp;REGEXEXTRACT(A120,""(\d+)\s*ГБ"")&amp;"" ""&amp;TRIM(REGEXEXTRACT(A120,""ГБ\s+(.+)$""))&amp;"" ""&amp;IF(REGEXMATCH(A120,""\(eSim\)""),""eSim"",""Sim"")"),"iPhone 18 Pro Max 2048 Бургунди eSim")</f>
        <v>iPhone 18 Pro Max 2048 Бургунди eSim</v>
      </c>
      <c r="C120" s="5" t="s">
        <v>1096</v>
      </c>
    </row>
    <row r="121">
      <c r="A121" s="5" t="s">
        <v>1098</v>
      </c>
      <c r="B121" s="8" t="str">
        <f>IFERROR(__xludf.DUMMYFUNCTION("TRIM(REGEXEXTRACT(A121,""(iPhone[^(]+)\(""))&amp;"" ""&amp;REGEXEXTRACT(A121,""(\d+)\s*ГБ"")&amp;"" ""&amp;TRIM(REGEXEXTRACT(A121,""ГБ\s+(.+)$""))&amp;"" ""&amp;IF(REGEXMATCH(A121,""\(eSim\)""),""eSim"",""Sim"")"),"iPhone 18 Pro Max 2048 Небесно-голубой eSim")</f>
        <v>iPhone 18 Pro Max 2048 Небесно-голубой eSim</v>
      </c>
      <c r="C121" s="5" t="s">
        <v>1102</v>
      </c>
    </row>
    <row r="122">
      <c r="A122" s="5" t="s">
        <v>1104</v>
      </c>
      <c r="B122" s="8" t="str">
        <f>IFERROR(__xludf.DUMMYFUNCTION("TRIM(REGEXEXTRACT(A122,""(iPhone[^(]+)\(""))&amp;"" ""&amp;REGEXEXTRACT(A122,""(\d+)\s*ГБ"")&amp;"" ""&amp;TRIM(REGEXEXTRACT(A122,""ГБ\s+(.+)$""))&amp;"" ""&amp;IF(REGEXMATCH(A122,""\(eSim\)""),""eSim"",""Sim"")"),"iPhone 18 Pro Max 2048 Серебристый eSim")</f>
        <v>iPhone 18 Pro Max 2048 Серебристый eSim</v>
      </c>
      <c r="C122" s="5" t="s">
        <v>1106</v>
      </c>
    </row>
    <row r="123">
      <c r="A123" s="5" t="s">
        <v>1107</v>
      </c>
      <c r="B123" s="8" t="str">
        <f>IFERROR(__xludf.DUMMYFUNCTION("TRIM(REGEXEXTRACT(A123,""(iPhone[^(]+)\(""))&amp;"" ""&amp;REGEXEXTRACT(A123,""(\d+)\s*ГБ"")&amp;"" ""&amp;TRIM(REGEXEXTRACT(A123,""ГБ\s+(.+)$""))&amp;"" ""&amp;IF(REGEXMATCH(A123,""\(eSim\)""),""eSim"",""Sim"")"),"iPhone 18 Pro Max 2048 Черный eSim")</f>
        <v>iPhone 18 Pro Max 2048 Черный eSim</v>
      </c>
      <c r="C123" s="5" t="s">
        <v>1110</v>
      </c>
    </row>
    <row r="124">
      <c r="A124" s="5" t="s">
        <v>1111</v>
      </c>
      <c r="B124" s="8" t="str">
        <f>IFERROR(__xludf.DUMMYFUNCTION("TRIM(REGEXEXTRACT(A124,""(iPhone[^(]+)\(""))&amp;"" ""&amp;REGEXEXTRACT(A124,""(\d+)\s*ГБ"")&amp;"" ""&amp;TRIM(REGEXEXTRACT(A124,""ГБ\s+(.+)$""))&amp;"" ""&amp;IF(REGEXMATCH(A124,""\(eSim\)""),""eSim"",""Sim"")"),"#N/A")</f>
        <v>#N/A</v>
      </c>
    </row>
    <row r="125">
      <c r="A125" s="5" t="s">
        <v>1113</v>
      </c>
      <c r="B125" s="8" t="str">
        <f>IFERROR(__xludf.DUMMYFUNCTION("TRIM(REGEXEXTRACT(A125,""(iPhone[^(]+)\(""))&amp;"" ""&amp;REGEXEXTRACT(A125,""(\d+)\s*ГБ"")&amp;"" ""&amp;TRIM(REGEXEXTRACT(A125,""ГБ\s+(.+)$""))&amp;"" ""&amp;IF(REGEXMATCH(A125,""\(eSim\)""),""eSim"",""Sim"")"),"#N/A")</f>
        <v>#N/A</v>
      </c>
    </row>
    <row r="126">
      <c r="A126" s="5" t="s">
        <v>1117</v>
      </c>
      <c r="B126" s="8" t="str">
        <f>IFERROR(__xludf.DUMMYFUNCTION("TRIM(REGEXEXTRACT(A126,""(iPhone[^(]+)\(""))&amp;"" ""&amp;REGEXEXTRACT(A126,""(\d+)\s*ГБ"")&amp;"" ""&amp;TRIM(REGEXEXTRACT(A126,""ГБ\s+(.+)$""))&amp;"" ""&amp;IF(REGEXMATCH(A126,""\(eSim\)""),""eSim"",""Sim"")"),"#N/A")</f>
        <v>#N/A</v>
      </c>
    </row>
    <row r="127">
      <c r="A127" s="5" t="s">
        <v>1121</v>
      </c>
      <c r="B127" s="8" t="str">
        <f>IFERROR(__xludf.DUMMYFUNCTION("TRIM(REGEXEXTRACT(A127,""(iPhone[^(]+)\(""))&amp;"" ""&amp;REGEXEXTRACT(A127,""(\d+)\s*ГБ"")&amp;"" ""&amp;TRIM(REGEXEXTRACT(A127,""ГБ\s+(.+)$""))&amp;"" ""&amp;IF(REGEXMATCH(A127,""\(eSim\)""),""eSim"",""Sim"")"),"#N/A")</f>
        <v>#N/A</v>
      </c>
    </row>
    <row r="128">
      <c r="A128" s="5" t="s">
        <v>1123</v>
      </c>
      <c r="B128" s="8" t="str">
        <f>IFERROR(__xludf.DUMMYFUNCTION("TRIM(REGEXEXTRACT(A128,""(iPhone[^(]+)\(""))&amp;"" ""&amp;REGEXEXTRACT(A128,""(\d+)\s*ГБ"")&amp;"" ""&amp;TRIM(REGEXEXTRACT(A128,""ГБ\s+(.+)$""))&amp;"" ""&amp;IF(REGEXMATCH(A128,""\(eSim\)""),""eSim"",""Sim"")"),"#N/A")</f>
        <v>#N/A</v>
      </c>
    </row>
    <row r="129">
      <c r="A129" s="5" t="s">
        <v>1125</v>
      </c>
      <c r="B129" s="8" t="str">
        <f>IFERROR(__xludf.DUMMYFUNCTION("TRIM(REGEXEXTRACT(A129,""(iPhone[^(]+)\(""))&amp;"" ""&amp;REGEXEXTRACT(A129,""(\d+)\s*ГБ"")&amp;"" ""&amp;TRIM(REGEXEXTRACT(A129,""ГБ\s+(.+)$""))&amp;"" ""&amp;IF(REGEXMATCH(A129,""\(eSim\)""),""eSim"",""Sim"")"),"#N/A")</f>
        <v>#N/A</v>
      </c>
    </row>
    <row r="130">
      <c r="A130" s="5" t="s">
        <v>1129</v>
      </c>
      <c r="B130" s="8" t="str">
        <f>IFERROR(__xludf.DUMMYFUNCTION("TRIM(REGEXEXTRACT(A130,""(iPhone[^(]+)\(""))&amp;"" ""&amp;REGEXEXTRACT(A130,""(\d+)\s*ГБ"")&amp;"" ""&amp;TRIM(REGEXEXTRACT(A130,""ГБ\s+(.+)$""))&amp;"" ""&amp;IF(REGEXMATCH(A130,""\(eSim\)""),""eSim"",""Sim"")"),"#N/A")</f>
        <v>#N/A</v>
      </c>
    </row>
    <row r="131">
      <c r="A131" s="5" t="s">
        <v>1132</v>
      </c>
      <c r="B131" s="8" t="str">
        <f>IFERROR(__xludf.DUMMYFUNCTION("TRIM(REGEXEXTRACT(A131,""(iPhone[^(]+)\(""))&amp;"" ""&amp;REGEXEXTRACT(A131,""(\d+)\s*ГБ"")&amp;"" ""&amp;TRIM(REGEXEXTRACT(A131,""ГБ\s+(.+)$""))&amp;"" ""&amp;IF(REGEXMATCH(A131,""\(eSim\)""),""eSim"",""Sim"")"),"#N/A")</f>
        <v>#N/A</v>
      </c>
    </row>
    <row r="132">
      <c r="A132" s="5" t="s">
        <v>1135</v>
      </c>
      <c r="B132" s="8" t="str">
        <f>IFERROR(__xludf.DUMMYFUNCTION("TRIM(REGEXEXTRACT(A132,""(iPhone[^(]+)\(""))&amp;"" ""&amp;REGEXEXTRACT(A132,""(\d+)\s*ГБ"")&amp;"" ""&amp;TRIM(REGEXEXTRACT(A132,""ГБ\s+(.+)$""))&amp;"" ""&amp;IF(REGEXMATCH(A132,""\(eSim\)""),""eSim"",""Sim"")"),"iPhone 18 Pro Max 1024 Бургунди Sim")</f>
        <v>iPhone 18 Pro Max 1024 Бургунди Sim</v>
      </c>
      <c r="C132" s="5" t="s">
        <v>1138</v>
      </c>
    </row>
    <row r="133">
      <c r="A133" s="5" t="s">
        <v>1141</v>
      </c>
      <c r="B133" s="8" t="str">
        <f>IFERROR(__xludf.DUMMYFUNCTION("TRIM(REGEXEXTRACT(A133,""(iPhone[^(]+)\(""))&amp;"" ""&amp;REGEXEXTRACT(A133,""(\d+)\s*ГБ"")&amp;"" ""&amp;TRIM(REGEXEXTRACT(A133,""ГБ\s+(.+)$""))&amp;"" ""&amp;IF(REGEXMATCH(A133,""\(eSim\)""),""eSim"",""Sim"")"),"iPhone 18 Pro Max 1024 Небесно-голубой Sim")</f>
        <v>iPhone 18 Pro Max 1024 Небесно-голубой Sim</v>
      </c>
      <c r="C133" s="5" t="s">
        <v>1145</v>
      </c>
    </row>
    <row r="134">
      <c r="A134" s="5" t="s">
        <v>1146</v>
      </c>
      <c r="B134" s="8" t="str">
        <f>IFERROR(__xludf.DUMMYFUNCTION("TRIM(REGEXEXTRACT(A134,""(iPhone[^(]+)\(""))&amp;"" ""&amp;REGEXEXTRACT(A134,""(\d+)\s*ГБ"")&amp;"" ""&amp;TRIM(REGEXEXTRACT(A134,""ГБ\s+(.+)$""))&amp;"" ""&amp;IF(REGEXMATCH(A134,""\(eSim\)""),""eSim"",""Sim"")"),"iPhone 18 Pro Max 1024 Серебристый Sim")</f>
        <v>iPhone 18 Pro Max 1024 Серебристый Sim</v>
      </c>
      <c r="C134" s="5" t="s">
        <v>1149</v>
      </c>
    </row>
    <row r="135">
      <c r="A135" s="5" t="s">
        <v>1150</v>
      </c>
      <c r="B135" s="8" t="str">
        <f>IFERROR(__xludf.DUMMYFUNCTION("TRIM(REGEXEXTRACT(A135,""(iPhone[^(]+)\(""))&amp;"" ""&amp;REGEXEXTRACT(A135,""(\d+)\s*ГБ"")&amp;"" ""&amp;TRIM(REGEXEXTRACT(A135,""ГБ\s+(.+)$""))&amp;"" ""&amp;IF(REGEXMATCH(A135,""\(eSim\)""),""eSim"",""Sim"")"),"iPhone 18 Pro Max 1024 Черный Sim")</f>
        <v>iPhone 18 Pro Max 1024 Черный Sim</v>
      </c>
      <c r="C135" s="5" t="s">
        <v>1152</v>
      </c>
    </row>
    <row r="136">
      <c r="A136" s="5" t="s">
        <v>1153</v>
      </c>
      <c r="B136" s="8" t="str">
        <f>IFERROR(__xludf.DUMMYFUNCTION("TRIM(REGEXEXTRACT(A136,""(iPhone[^(]+)\(""))&amp;"" ""&amp;REGEXEXTRACT(A136,""(\d+)\s*ГБ"")&amp;"" ""&amp;TRIM(REGEXEXTRACT(A136,""ГБ\s+(.+)$""))&amp;"" ""&amp;IF(REGEXMATCH(A136,""\(eSim\)""),""eSim"",""Sim"")"),"iPhone 18 Pro Max 2048 Бургунди Sim")</f>
        <v>iPhone 18 Pro Max 2048 Бургунди Sim</v>
      </c>
      <c r="C136" s="5" t="s">
        <v>1157</v>
      </c>
    </row>
    <row r="137">
      <c r="A137" s="5" t="s">
        <v>1158</v>
      </c>
      <c r="B137" s="8" t="str">
        <f>IFERROR(__xludf.DUMMYFUNCTION("TRIM(REGEXEXTRACT(A137,""(iPhone[^(]+)\(""))&amp;"" ""&amp;REGEXEXTRACT(A137,""(\d+)\s*ГБ"")&amp;"" ""&amp;TRIM(REGEXEXTRACT(A137,""ГБ\s+(.+)$""))&amp;"" ""&amp;IF(REGEXMATCH(A137,""\(eSim\)""),""eSim"",""Sim"")"),"iPhone 18 Pro Max 2048 Небесно-голубой Sim")</f>
        <v>iPhone 18 Pro Max 2048 Небесно-голубой Sim</v>
      </c>
      <c r="C137" s="5" t="s">
        <v>1159</v>
      </c>
    </row>
    <row r="138">
      <c r="A138" s="5" t="s">
        <v>1160</v>
      </c>
      <c r="B138" s="8" t="str">
        <f>IFERROR(__xludf.DUMMYFUNCTION("TRIM(REGEXEXTRACT(A138,""(iPhone[^(]+)\(""))&amp;"" ""&amp;REGEXEXTRACT(A138,""(\d+)\s*ГБ"")&amp;"" ""&amp;TRIM(REGEXEXTRACT(A138,""ГБ\s+(.+)$""))&amp;"" ""&amp;IF(REGEXMATCH(A138,""\(eSim\)""),""eSim"",""Sim"")"),"iPhone 18 Pro Max 2048 Серебристый Sim")</f>
        <v>iPhone 18 Pro Max 2048 Серебристый Sim</v>
      </c>
      <c r="C138" s="5" t="s">
        <v>1163</v>
      </c>
    </row>
    <row r="139">
      <c r="A139" s="5" t="s">
        <v>1164</v>
      </c>
      <c r="B139" s="8" t="str">
        <f>IFERROR(__xludf.DUMMYFUNCTION("TRIM(REGEXEXTRACT(A139,""(iPhone[^(]+)\(""))&amp;"" ""&amp;REGEXEXTRACT(A139,""(\d+)\s*ГБ"")&amp;"" ""&amp;TRIM(REGEXEXTRACT(A139,""ГБ\s+(.+)$""))&amp;"" ""&amp;IF(REGEXMATCH(A139,""\(eSim\)""),""eSim"",""Sim"")"),"iPhone 18 Pro Max 2048 Черный Sim")</f>
        <v>iPhone 18 Pro Max 2048 Черный Sim</v>
      </c>
      <c r="C139" s="5" t="s">
        <v>1165</v>
      </c>
    </row>
  </sheetData>
  <drawing r:id="rId1"/>
</worksheet>
</file>